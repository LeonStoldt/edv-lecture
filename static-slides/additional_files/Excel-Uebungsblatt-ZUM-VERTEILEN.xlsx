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stoldt\OneDrive - Otto Group\Azubis 2019\Excel Einstufungstest\Kopie zum Bearbeiten\"/>
    </mc:Choice>
  </mc:AlternateContent>
  <bookViews>
    <workbookView xWindow="1520" yWindow="-120" windowWidth="23810" windowHeight="15990" tabRatio="1000" activeTab="3"/>
  </bookViews>
  <sheets>
    <sheet name="cheat sheet" sheetId="9" r:id="rId1"/>
    <sheet name="Aufgabe1" sheetId="1" r:id="rId2"/>
    <sheet name="Aufgabe2" sheetId="10" r:id="rId3"/>
    <sheet name="Aufgabe3" sheetId="3" r:id="rId4"/>
    <sheet name="Aufgabe4" sheetId="7" state="hidden" r:id="rId5"/>
    <sheet name="Aufgabe5" sheetId="14" r:id="rId6"/>
    <sheet name="Aufgabe6" sheetId="28" r:id="rId7"/>
    <sheet name="Auswertung" sheetId="23" r:id="rId8"/>
  </sheets>
  <definedNames>
    <definedName name="_xlnm.Print_Area" localSheetId="6">Aufgabe6!$A$1:$G$29</definedName>
    <definedName name="OMA" localSheetId="6">#REF!</definedName>
    <definedName name="OMA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5" i="14" l="1"/>
  <c r="C25" i="14"/>
  <c r="B25" i="14"/>
  <c r="E7" i="1" l="1"/>
  <c r="E6" i="1"/>
</calcChain>
</file>

<file path=xl/comments1.xml><?xml version="1.0" encoding="utf-8"?>
<comments xmlns="http://schemas.openxmlformats.org/spreadsheetml/2006/main">
  <authors>
    <author>jojansse</author>
  </authors>
  <commentList>
    <comment ref="L3" authorId="0" shapeId="0">
      <text>
        <r>
          <rPr>
            <sz val="9"/>
            <color indexed="81"/>
            <rFont val="Segoe UI"/>
            <family val="2"/>
          </rPr>
          <t>Rechtsklick auf das Tabellenblatt und "Blattschutz aufheben" wählen</t>
        </r>
      </text>
    </comment>
    <comment ref="H4" authorId="0" shapeId="0">
      <text>
        <r>
          <rPr>
            <sz val="9"/>
            <color indexed="81"/>
            <rFont val="Segoe UI"/>
            <family val="2"/>
          </rPr>
          <t>Einblenden:
Rechtsklick auf ein Tabellenblatt und einblenden</t>
        </r>
      </text>
    </comment>
    <comment ref="J7" authorId="0" shapeId="0">
      <text>
        <r>
          <rPr>
            <sz val="9"/>
            <color indexed="81"/>
            <rFont val="Segoe UI"/>
            <family val="2"/>
          </rPr>
          <t xml:space="preserve">Dafür kann z.B. die WENN Funktion verwendet werden. </t>
        </r>
      </text>
    </comment>
  </commentList>
</comments>
</file>

<file path=xl/sharedStrings.xml><?xml version="1.0" encoding="utf-8"?>
<sst xmlns="http://schemas.openxmlformats.org/spreadsheetml/2006/main" count="296" uniqueCount="192">
  <si>
    <t>Hallo, Willkommen bei dem Excel-Einstufungs-Test. Lass uns herausfinden, was du kannst und wo du dich noch verbessern kannst.</t>
  </si>
  <si>
    <t>Spalte1</t>
  </si>
  <si>
    <t>Spalte2</t>
  </si>
  <si>
    <t>Spalte3</t>
  </si>
  <si>
    <t>Spalte4</t>
  </si>
  <si>
    <t>Summe</t>
  </si>
  <si>
    <t>Quartal1</t>
  </si>
  <si>
    <t>Quartal2</t>
  </si>
  <si>
    <t>Quartal3</t>
  </si>
  <si>
    <t>Quartal4</t>
  </si>
  <si>
    <t>In den Zeilen 11-16 sind ein paar Daten, die von einem Mitarbeiter schlecht formatiert wurden. Passe diese bitte dem folgenden Design an.</t>
  </si>
  <si>
    <t>Zudem soll in der letzten Spalte jeweils das Ergebnis der vier Quartale aufsummiert werden. Benutze dafür eine Funktion von Excel.</t>
  </si>
  <si>
    <t>Super, du hast die erste Aufgabe geschafft.</t>
  </si>
  <si>
    <t>Die Zellen sollen als Zahlenformat Währung dargestellt werden.</t>
  </si>
  <si>
    <t>ja</t>
  </si>
  <si>
    <t>Datum</t>
  </si>
  <si>
    <t>Stück</t>
  </si>
  <si>
    <t>Retour</t>
  </si>
  <si>
    <t>Retourenquote</t>
  </si>
  <si>
    <t>Tagesumsatz netto</t>
  </si>
  <si>
    <t>Tagesumsatz brutto</t>
  </si>
  <si>
    <t>Stück ohne Retour</t>
  </si>
  <si>
    <t>Umsatz/Stück brutto</t>
  </si>
  <si>
    <t>Du hast die Aufgabe bekommen, die Liste rechts in Excel zu übertragen und mit diesen Daten einige Auswertungen vorzunehmen</t>
  </si>
  <si>
    <t>Hotelname</t>
  </si>
  <si>
    <t>Zimmer</t>
  </si>
  <si>
    <t>Preis per Nacht</t>
  </si>
  <si>
    <t>Rabatt ab 7 Tagen</t>
  </si>
  <si>
    <t>Frühstück</t>
  </si>
  <si>
    <t>Parkhaus</t>
  </si>
  <si>
    <t>Sterne</t>
  </si>
  <si>
    <t>WLAN</t>
  </si>
  <si>
    <t>ABC-Hotel</t>
  </si>
  <si>
    <t>Hotel de Luxe</t>
  </si>
  <si>
    <t>Hotel ohne Namen</t>
  </si>
  <si>
    <t>Hotel am Hafen</t>
  </si>
  <si>
    <t>Alsterblick Hotel</t>
  </si>
  <si>
    <t>Design Hotel lorem ipsum</t>
  </si>
  <si>
    <t>Zum goldenen Geier</t>
  </si>
  <si>
    <t>Cheap Cheap - Bird Hotel</t>
  </si>
  <si>
    <t>All You Can Sleep Hotel</t>
  </si>
  <si>
    <t>Excellence Hotel Hamburg</t>
  </si>
  <si>
    <t>nein</t>
  </si>
  <si>
    <t>Kollege A</t>
  </si>
  <si>
    <t>max. Raumzahl</t>
  </si>
  <si>
    <t>bleibt Tage</t>
  </si>
  <si>
    <t>Reisebudget</t>
  </si>
  <si>
    <t>Kollege B</t>
  </si>
  <si>
    <t>Kollege C</t>
  </si>
  <si>
    <t>Preis für Nächte</t>
  </si>
  <si>
    <t>braucht Parkhaus</t>
  </si>
  <si>
    <t>braucht Frühstück</t>
  </si>
  <si>
    <t>Deine Kollegin plant einen Besuch für Kollegen eines anderen Standorts und hat anscheinend zu viel Zeit. Deswegen hat sie eine Liste mit Hotels und deren Eigenschaften erstellt.</t>
  </si>
  <si>
    <t>Um die Tabelle zu bearbeiten, musst du den Schutz des Blattes aufheben. Die Kollegin hat das unsichere und einfallslose, aber immerhin leicht zu merkende Passwort "bonprix" gewählt.</t>
  </si>
  <si>
    <t>Für 5 verschiedene Kolleginnen hat sie Ansprüche an die Hotels gesammelt und diese in dem Tabellenblatt Aufgabe4 notiert.</t>
  </si>
  <si>
    <t>Zunächst sollst du für jedes Hotel für eine bis zu acht Nächten den Gesamtpreis ausrechnen.</t>
  </si>
  <si>
    <t>Manche Hotels bieten bei einer Verweildauer von sieben oder mehr Tagen einen Rabatt in Höhe des Preises einer Nacht an. Dieses sollte mit berechnet werden.</t>
  </si>
  <si>
    <t>Anschließend sollst du in der unteren Hotel-Liste auswerten, welche Hotels für jede Kollegin in Frage kommen. Nutze dazu die WENN-Funktion und die UND-Funktion und beziehe dich direkt auf die Werte aus dem Blatt "Aufgabe4".</t>
  </si>
  <si>
    <t>Um es dir einfacher zu machen, denke an relative und absolute Bezüge.</t>
  </si>
  <si>
    <r>
      <rPr>
        <b/>
        <sz val="11"/>
        <color theme="1"/>
        <rFont val="Calibri"/>
        <family val="2"/>
        <scheme val="minor"/>
      </rPr>
      <t>Datum:</t>
    </r>
    <r>
      <rPr>
        <sz val="11"/>
        <color theme="1"/>
        <rFont val="Calibri"/>
        <family val="2"/>
        <scheme val="minor"/>
      </rPr>
      <t xml:space="preserve"> Soll einfach übernommen werden. (Auto-Funktion verwenden)</t>
    </r>
  </si>
  <si>
    <r>
      <rPr>
        <b/>
        <sz val="11"/>
        <color theme="1"/>
        <rFont val="Calibri"/>
        <family val="2"/>
        <scheme val="minor"/>
      </rPr>
      <t>Stück:</t>
    </r>
    <r>
      <rPr>
        <sz val="11"/>
        <color theme="1"/>
        <rFont val="Calibri"/>
        <family val="2"/>
        <scheme val="minor"/>
      </rPr>
      <t xml:space="preserve"> Soll einfach übernommen werden</t>
    </r>
  </si>
  <si>
    <r>
      <rPr>
        <b/>
        <sz val="11"/>
        <color theme="1"/>
        <rFont val="Calibri"/>
        <family val="2"/>
        <scheme val="minor"/>
      </rPr>
      <t>Retour:</t>
    </r>
    <r>
      <rPr>
        <sz val="11"/>
        <color theme="1"/>
        <rFont val="Calibri"/>
        <family val="2"/>
        <scheme val="minor"/>
      </rPr>
      <t xml:space="preserve"> Soll einfach übernommen werden</t>
    </r>
  </si>
  <si>
    <r>
      <rPr>
        <b/>
        <sz val="11"/>
        <color theme="1"/>
        <rFont val="Calibri"/>
        <family val="2"/>
        <scheme val="minor"/>
      </rPr>
      <t>Tagesumsatz brutto:</t>
    </r>
    <r>
      <rPr>
        <sz val="11"/>
        <color theme="1"/>
        <rFont val="Calibri"/>
        <family val="2"/>
        <scheme val="minor"/>
      </rPr>
      <t xml:space="preserve"> Soll einfach übernommen werden</t>
    </r>
  </si>
  <si>
    <r>
      <rPr>
        <b/>
        <sz val="11"/>
        <color theme="1"/>
        <rFont val="Calibri"/>
        <family val="2"/>
        <scheme val="minor"/>
      </rPr>
      <t xml:space="preserve">Stück ohne Retour: </t>
    </r>
    <r>
      <rPr>
        <sz val="11"/>
        <color theme="1"/>
        <rFont val="Calibri"/>
        <family val="2"/>
        <scheme val="minor"/>
      </rPr>
      <t>Soll für jeden Tag die tatsächliche Stückzahl (Stück - Retouren) ausgeben</t>
    </r>
  </si>
  <si>
    <r>
      <rPr>
        <b/>
        <sz val="11"/>
        <color theme="1"/>
        <rFont val="Calibri"/>
        <family val="2"/>
        <scheme val="minor"/>
      </rPr>
      <t xml:space="preserve">Umsatz/Stück brutto: </t>
    </r>
    <r>
      <rPr>
        <sz val="11"/>
        <color theme="1"/>
        <rFont val="Calibri"/>
        <family val="2"/>
        <scheme val="minor"/>
      </rPr>
      <t>Soll den Umsatz auf die tatsächliche Stückzahl berechnen (Format: in € mit zwei Nachkommastellen)</t>
    </r>
  </si>
  <si>
    <r>
      <rPr>
        <b/>
        <sz val="11"/>
        <color theme="1"/>
        <rFont val="Calibri"/>
        <family val="2"/>
        <scheme val="minor"/>
      </rPr>
      <t xml:space="preserve">Retourenquote: </t>
    </r>
    <r>
      <rPr>
        <sz val="11"/>
        <color theme="1"/>
        <rFont val="Calibri"/>
        <family val="2"/>
        <scheme val="minor"/>
      </rPr>
      <t>Prozentzahl, die angibt, wie viel der gesamten Stück retourniert wurden</t>
    </r>
  </si>
  <si>
    <r>
      <rPr>
        <b/>
        <sz val="11"/>
        <color theme="1"/>
        <rFont val="Calibri"/>
        <family val="2"/>
        <scheme val="minor"/>
      </rPr>
      <t>Tagesumsatz netto:</t>
    </r>
    <r>
      <rPr>
        <sz val="11"/>
        <color theme="1"/>
        <rFont val="Calibri"/>
        <family val="2"/>
        <scheme val="minor"/>
      </rPr>
      <t xml:space="preserve"> Gibt den tatsächlichen Umsatz in Abhängigkeit des Wertes von G3 an (= brutto / (100% + USt))</t>
    </r>
  </si>
  <si>
    <t>Zudem sollen zwei einfache Diagramme angezeigt werden. Das erste soll ein Liniendiagramm sein, welches den zeitlichen Verlauf des Bruttoumsatzes anzeigt.</t>
  </si>
  <si>
    <t>Das zweite Diagramm soll ein kombiniertes Säulen und Liniendiagramm sein: Umsatz/Stück als Säulen und Retourenquote als Linie. Dazu sind zwei Y-Achsen zu verwenden</t>
  </si>
  <si>
    <t>Navigation zwischen direkt benachbarten Zellen</t>
  </si>
  <si>
    <t>mit Pfeiltasten</t>
  </si>
  <si>
    <t>Bildschirmseiten auf- / abwärts</t>
  </si>
  <si>
    <r>
      <t xml:space="preserve">Bild ↑, Bild </t>
    </r>
    <r>
      <rPr>
        <sz val="11"/>
        <color theme="1"/>
        <rFont val="Calibri"/>
        <family val="2"/>
      </rPr>
      <t>↓</t>
    </r>
  </si>
  <si>
    <t>Strg + Pfeiltaste</t>
  </si>
  <si>
    <t>An das Ende/den Anfang einer Tabelle springen</t>
  </si>
  <si>
    <t>An das Ende eines Tabellenblatts springen</t>
  </si>
  <si>
    <t>Strg + Ende</t>
  </si>
  <si>
    <t>An den Anfang eines Tabellenblatts springen</t>
  </si>
  <si>
    <t>Strg + Pos1</t>
  </si>
  <si>
    <t>Zusammenhängende Zellen markieren</t>
  </si>
  <si>
    <t>Umschalt gedrückt halten + Pfeiltasten</t>
  </si>
  <si>
    <t>Zusammenhängende Bereiche markieren</t>
  </si>
  <si>
    <t>Strg + Umschalt + Pfeiltasten</t>
  </si>
  <si>
    <t>Ich kann…</t>
  </si>
  <si>
    <t>Diagramme formatieren</t>
  </si>
  <si>
    <t>einen Druckbereich festlegen</t>
  </si>
  <si>
    <t>Autosumme verwenden (Summe, Mittelwert etc.)</t>
  </si>
  <si>
    <t>Benutzerdefinierte Formate verwenden</t>
  </si>
  <si>
    <t>Verkäufer</t>
  </si>
  <si>
    <t>Produkte</t>
  </si>
  <si>
    <t>Umsatz</t>
  </si>
  <si>
    <t>Region</t>
  </si>
  <si>
    <t>Hr. Sommer</t>
  </si>
  <si>
    <t>Fr. Frühling</t>
  </si>
  <si>
    <t>Hr. Herbst</t>
  </si>
  <si>
    <t>Fr. Winter</t>
  </si>
  <si>
    <t>Ost</t>
  </si>
  <si>
    <t>West</t>
  </si>
  <si>
    <t>Süd</t>
  </si>
  <si>
    <t>Nord</t>
  </si>
  <si>
    <t>Was ist der Median der Produkte?</t>
  </si>
  <si>
    <t>Was ist der Mittelwert der Produkte?</t>
  </si>
  <si>
    <t>Was ist der Median des Umsatzes?</t>
  </si>
  <si>
    <t>Was ist der Mittelwert des Umsatzes?</t>
  </si>
  <si>
    <t>Wie viel Produkte wurden minimal verkauft?</t>
  </si>
  <si>
    <t>Wie viel Produkte wurden maximal verkauft?</t>
  </si>
  <si>
    <t>Wie viele Umsatz hat Hr. Sommer erzielt?</t>
  </si>
  <si>
    <t>Wie viele Umsatz hat Fr. Frühling erzielt?</t>
  </si>
  <si>
    <t>Wie viele Umsatz hat Fr. Winter erzielt?</t>
  </si>
  <si>
    <t>Wie viele Umsatz hat Hr. Herbst erzielt?</t>
  </si>
  <si>
    <t>Verwende die bedingte Formatierung, um die Spalten Produkte und Umsatz mit der Grün-Gelb-Rot skala schnell und einfach zu visualisieren.</t>
  </si>
  <si>
    <t>Logische Funktionen verwenden (WENN, UND, ODER)</t>
  </si>
  <si>
    <t>Modell A</t>
  </si>
  <si>
    <t>Modell B</t>
  </si>
  <si>
    <t>Modell C</t>
  </si>
  <si>
    <t>Jahr</t>
  </si>
  <si>
    <t>Anzahl Touristen</t>
  </si>
  <si>
    <t>Wahlen der beliebtesten Getränke</t>
  </si>
  <si>
    <t>Cola</t>
  </si>
  <si>
    <t>Mineralwasser</t>
  </si>
  <si>
    <t>Fruchtsaftgetränke</t>
  </si>
  <si>
    <t>Kaffee</t>
  </si>
  <si>
    <t>Pils</t>
  </si>
  <si>
    <t>Tee</t>
  </si>
  <si>
    <t>Rotwein</t>
  </si>
  <si>
    <t>Weißwein</t>
  </si>
  <si>
    <t>Sekt</t>
  </si>
  <si>
    <t>Limonaden</t>
  </si>
  <si>
    <t>Joghurtgetränke</t>
  </si>
  <si>
    <t>Weizenbier</t>
  </si>
  <si>
    <t>Alkoholfreies Bier</t>
  </si>
  <si>
    <t>Eistee</t>
  </si>
  <si>
    <t>Energy Drinks</t>
  </si>
  <si>
    <t>Kakao</t>
  </si>
  <si>
    <t>Kräuterlikör</t>
  </si>
  <si>
    <t>SPD</t>
  </si>
  <si>
    <t>CDU</t>
  </si>
  <si>
    <t>GRÜNE</t>
  </si>
  <si>
    <t>DIE LINKE</t>
  </si>
  <si>
    <t>FDP</t>
  </si>
  <si>
    <t>AfD</t>
  </si>
  <si>
    <t>NPD</t>
  </si>
  <si>
    <t>Die PARTEI</t>
  </si>
  <si>
    <t>FREIE WÄHLER</t>
  </si>
  <si>
    <t>ÖDP</t>
  </si>
  <si>
    <t>Tierschutzpartei</t>
  </si>
  <si>
    <t>Ergebnisse Landtagswahlen Hamburg 2017 Zweitstimmen</t>
  </si>
  <si>
    <t>BGE</t>
  </si>
  <si>
    <t>DKP</t>
  </si>
  <si>
    <r>
      <t>V-Partei</t>
    </r>
    <r>
      <rPr>
        <vertAlign val="superscript"/>
        <sz val="11"/>
        <color theme="1"/>
        <rFont val="Calibri"/>
        <family val="2"/>
        <scheme val="minor"/>
      </rPr>
      <t>3</t>
    </r>
  </si>
  <si>
    <t>Date</t>
  </si>
  <si>
    <t>Orders 2017</t>
  </si>
  <si>
    <t>Orders 2018</t>
  </si>
  <si>
    <t xml:space="preserve">Reale Daten aus Tracy </t>
  </si>
  <si>
    <t>In dieser Aufgabe geht es darum, einige Funktionen auf Listen anzuwenden. Dazu gehören z.B. die Median-Funktion oder auch der SVERWEIS.</t>
  </si>
  <si>
    <t>Die Diagramme sollten (theoretisch, du musst die jetzt nicht ausdrucken) ausgedruckt werden. Die Tabellen daneben sollen nicht gedruckt werden.</t>
  </si>
  <si>
    <t>Lege also bitte noch den Druckbereich fest und erstelle die Diagramme in den jeweils farbig hinterlegten Bereichen</t>
  </si>
  <si>
    <t>Hier darfst du nun noch deiner "Kreativität" freien Lauf lassen. Gefordert sind verschiedene Diagrammtypen. Rechts siehst du die Mustervorlage.</t>
  </si>
  <si>
    <t>In folgendem Feld soll die Umsatzsteuer von 19 % stehen. Trage diese bitte in das rot markierte Feld ein</t>
  </si>
  <si>
    <t>Zieldesign</t>
  </si>
  <si>
    <t>Absoluten/Relativen Wert/Zeile/Spalte ändern</t>
  </si>
  <si>
    <t>F4</t>
  </si>
  <si>
    <t>Tabellenblätter sperren/entsperren</t>
  </si>
  <si>
    <t>Tabellenblätter ausblenden/einblenden</t>
  </si>
  <si>
    <t>Durchschnitts-temperatur</t>
  </si>
  <si>
    <t>Die untere Tabelle soll, die gleichen Rahmen, Füllungen und Zahlen/Textformate wie die obere Tabelle haben.</t>
  </si>
  <si>
    <t>Die Spaltenüberschriften sind für vier Quartale, die letzte Spalte enthält die Summe aller Quartale.</t>
  </si>
  <si>
    <t>Dazu sollst du die vorgefertige Liste verwenden und die Werte einzutragen bzw. berechnen lassen</t>
  </si>
  <si>
    <t>Beantworte dazu einfach die Fragen, indem du eine Formel in die rot umrahmten Zellen einträgst.</t>
  </si>
  <si>
    <t>Zahlenformate einstellen (Zahl, Währung, Datum etc.)</t>
  </si>
  <si>
    <t>Zelleninhalte löschen</t>
  </si>
  <si>
    <t>Ich weiß…</t>
  </si>
  <si>
    <t>den Unterschied zwicshen verschiedenen Einfüge-Optionen (nur Werte, Formel etc.)</t>
  </si>
  <si>
    <t>Autoausfüllen verwenden (automatische Reihen erzeugen)</t>
  </si>
  <si>
    <t>Doppelklick zwischen zwei Spalten oder Zeilen</t>
  </si>
  <si>
    <t>Spaltenbreite/Zeilenhöhe automatisch optimieren</t>
  </si>
  <si>
    <t>Zellen/Spalten/Reihen einfügen</t>
  </si>
  <si>
    <t>Zellen/Spalten/Reihen löschen</t>
  </si>
  <si>
    <t>Bedingte Formatierungen erstellen</t>
  </si>
  <si>
    <t>Bedingte Formatierungen entfernen/ändern</t>
  </si>
  <si>
    <t>wie absoluter und relativer Bezug funktionieren</t>
  </si>
  <si>
    <t>dass es verschiedene Fehlermeldungen gibt</t>
  </si>
  <si>
    <t>Zellen formatieren (Schriftart, Schriftfarbe, Rahmen, Füllung etc.)</t>
  </si>
  <si>
    <t>verschiedene Diagramme einfügen (Linie, Punkt, XY, Torte, Balken)</t>
  </si>
  <si>
    <t>einfache mathematische Funktionen verwenden</t>
  </si>
  <si>
    <t>dass Einheiten (Währungen etc) durch das Zahlenformat eingestellt werden</t>
  </si>
  <si>
    <t>Tabellen filtern</t>
  </si>
  <si>
    <t>Tabellen sortieren</t>
  </si>
  <si>
    <t>Welcher Verkäufer hat die meisten Produkte verkauft?</t>
  </si>
  <si>
    <t>Wie hoch ist der größte Gesamtumsatz einer Region?</t>
  </si>
  <si>
    <t>Wann wurden die wenigsten Produkte verkauft?</t>
  </si>
  <si>
    <t>Wie viel Umsatz wurde an dem Tag (max Anz Produkten) erzielt?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</si>
</sst>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#,##0.00\ &quot;€&quot;;[Red]\-#,##0.00\ &quot;€&quot;"/>
    <numFmt numFmtId="164" formatCode="#,##0.00\ &quot;€&quot;"/>
    <numFmt numFmtId="165" formatCode="0.00\ \°\C"/>
    <numFmt numFmtId="166" formatCode="0.0%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sz val="11"/>
      <color theme="1"/>
      <name val="Calibri"/>
      <family val="2"/>
    </font>
    <font>
      <sz val="11"/>
      <color indexed="8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11" fillId="0" borderId="0"/>
  </cellStyleXfs>
  <cellXfs count="84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6" xfId="0" applyNumberFormat="1" applyBorder="1"/>
    <xf numFmtId="164" fontId="0" fillId="0" borderId="2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1" xfId="0" applyNumberFormat="1" applyBorder="1"/>
    <xf numFmtId="164" fontId="0" fillId="0" borderId="9" xfId="0" applyNumberFormat="1" applyBorder="1"/>
    <xf numFmtId="0" fontId="2" fillId="0" borderId="0" xfId="0" applyFont="1"/>
    <xf numFmtId="0" fontId="3" fillId="0" borderId="0" xfId="0" applyFont="1"/>
    <xf numFmtId="14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4" fillId="0" borderId="0" xfId="0" applyFont="1"/>
    <xf numFmtId="0" fontId="5" fillId="0" borderId="0" xfId="0" applyFont="1"/>
    <xf numFmtId="0" fontId="0" fillId="4" borderId="10" xfId="0" applyFill="1" applyBorder="1"/>
    <xf numFmtId="0" fontId="6" fillId="0" borderId="10" xfId="0" applyFont="1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1" fillId="0" borderId="14" xfId="0" applyFont="1" applyBorder="1"/>
    <xf numFmtId="10" fontId="0" fillId="0" borderId="14" xfId="0" applyNumberFormat="1" applyBorder="1"/>
    <xf numFmtId="49" fontId="0" fillId="0" borderId="15" xfId="0" applyNumberFormat="1" applyBorder="1"/>
    <xf numFmtId="0" fontId="0" fillId="0" borderId="16" xfId="0" applyBorder="1"/>
    <xf numFmtId="16" fontId="0" fillId="0" borderId="0" xfId="0" applyNumberFormat="1"/>
    <xf numFmtId="8" fontId="0" fillId="0" borderId="0" xfId="0" applyNumberFormat="1"/>
    <xf numFmtId="1" fontId="0" fillId="0" borderId="0" xfId="0" applyNumberFormat="1"/>
    <xf numFmtId="9" fontId="0" fillId="0" borderId="0" xfId="1" applyFont="1"/>
    <xf numFmtId="164" fontId="0" fillId="0" borderId="0" xfId="0" applyNumberFormat="1"/>
    <xf numFmtId="0" fontId="0" fillId="0" borderId="17" xfId="0" applyBorder="1"/>
    <xf numFmtId="0" fontId="8" fillId="0" borderId="0" xfId="0" applyFont="1"/>
    <xf numFmtId="0" fontId="0" fillId="0" borderId="22" xfId="0" applyBorder="1"/>
    <xf numFmtId="0" fontId="0" fillId="0" borderId="21" xfId="0" applyBorder="1"/>
    <xf numFmtId="0" fontId="0" fillId="0" borderId="24" xfId="0" applyBorder="1"/>
    <xf numFmtId="0" fontId="0" fillId="0" borderId="25" xfId="0" applyBorder="1"/>
    <xf numFmtId="0" fontId="0" fillId="0" borderId="23" xfId="0" applyBorder="1"/>
    <xf numFmtId="0" fontId="8" fillId="0" borderId="24" xfId="0" applyFont="1" applyBorder="1"/>
    <xf numFmtId="0" fontId="8" fillId="0" borderId="25" xfId="0" applyFon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164" fontId="0" fillId="5" borderId="0" xfId="0" applyNumberForma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9" fontId="0" fillId="7" borderId="0" xfId="0" applyNumberFormat="1" applyFill="1"/>
    <xf numFmtId="16" fontId="0" fillId="7" borderId="0" xfId="0" applyNumberFormat="1" applyFill="1"/>
    <xf numFmtId="8" fontId="0" fillId="7" borderId="0" xfId="0" applyNumberFormat="1" applyFill="1"/>
    <xf numFmtId="1" fontId="0" fillId="7" borderId="0" xfId="0" applyNumberFormat="1" applyFill="1"/>
    <xf numFmtId="0" fontId="0" fillId="8" borderId="0" xfId="0" applyFill="1"/>
    <xf numFmtId="164" fontId="0" fillId="8" borderId="0" xfId="0" applyNumberFormat="1" applyFill="1"/>
    <xf numFmtId="0" fontId="0" fillId="0" borderId="0" xfId="0" applyAlignment="1">
      <alignment horizontal="center"/>
    </xf>
    <xf numFmtId="0" fontId="0" fillId="0" borderId="0" xfId="0" applyBorder="1"/>
    <xf numFmtId="164" fontId="0" fillId="0" borderId="17" xfId="0" applyNumberFormat="1" applyBorder="1"/>
    <xf numFmtId="16" fontId="0" fillId="8" borderId="0" xfId="0" applyNumberFormat="1" applyFill="1"/>
    <xf numFmtId="0" fontId="0" fillId="9" borderId="0" xfId="0" applyFill="1"/>
    <xf numFmtId="0" fontId="0" fillId="9" borderId="0" xfId="0" applyFill="1" applyAlignment="1">
      <alignment wrapText="1"/>
    </xf>
    <xf numFmtId="165" fontId="0" fillId="9" borderId="0" xfId="0" applyNumberFormat="1" applyFill="1"/>
    <xf numFmtId="0" fontId="0" fillId="10" borderId="0" xfId="0" applyFill="1"/>
    <xf numFmtId="166" fontId="0" fillId="10" borderId="0" xfId="1" applyNumberFormat="1" applyFont="1" applyFill="1"/>
    <xf numFmtId="16" fontId="0" fillId="5" borderId="0" xfId="0" applyNumberFormat="1" applyFill="1"/>
    <xf numFmtId="3" fontId="0" fillId="5" borderId="0" xfId="0" applyNumberFormat="1" applyFill="1" applyAlignment="1">
      <alignment horizontal="right"/>
    </xf>
    <xf numFmtId="0" fontId="0" fillId="11" borderId="18" xfId="0" applyFill="1" applyBorder="1"/>
    <xf numFmtId="0" fontId="0" fillId="11" borderId="19" xfId="0" applyFill="1" applyBorder="1"/>
    <xf numFmtId="0" fontId="0" fillId="11" borderId="20" xfId="0" applyFill="1" applyBorder="1"/>
    <xf numFmtId="0" fontId="0" fillId="11" borderId="21" xfId="0" applyFill="1" applyBorder="1"/>
    <xf numFmtId="0" fontId="0" fillId="11" borderId="0" xfId="0" applyFill="1" applyBorder="1"/>
    <xf numFmtId="0" fontId="0" fillId="11" borderId="22" xfId="0" applyFill="1" applyBorder="1"/>
    <xf numFmtId="0" fontId="0" fillId="11" borderId="23" xfId="0" applyFill="1" applyBorder="1"/>
    <xf numFmtId="0" fontId="0" fillId="11" borderId="24" xfId="0" applyFill="1" applyBorder="1"/>
    <xf numFmtId="0" fontId="0" fillId="11" borderId="25" xfId="0" applyFill="1" applyBorder="1"/>
    <xf numFmtId="0" fontId="0" fillId="0" borderId="0" xfId="0" applyFill="1"/>
    <xf numFmtId="16" fontId="0" fillId="0" borderId="0" xfId="0" applyNumberFormat="1" applyFill="1"/>
    <xf numFmtId="8" fontId="0" fillId="0" borderId="0" xfId="0" applyNumberFormat="1" applyFill="1"/>
    <xf numFmtId="1" fontId="0" fillId="0" borderId="0" xfId="0" applyNumberFormat="1" applyFill="1"/>
    <xf numFmtId="0" fontId="13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0" fillId="11" borderId="0" xfId="0" applyFill="1" applyBorder="1" applyAlignment="1">
      <alignment horizontal="center"/>
    </xf>
    <xf numFmtId="14" fontId="0" fillId="0" borderId="17" xfId="0" applyNumberFormat="1" applyBorder="1"/>
  </cellXfs>
  <cellStyles count="3">
    <cellStyle name="Prozent" xfId="1" builtinId="5"/>
    <cellStyle name="Standard" xfId="0" builtinId="0"/>
    <cellStyle name="Standard 7" xfId="2"/>
  </cellStyles>
  <dxfs count="0"/>
  <tableStyles count="0" defaultTableStyle="TableStyleMedium2" defaultPivotStyle="PivotStyleLight16"/>
  <colors>
    <mruColors>
      <color rgb="FFCC0000"/>
      <color rgb="FF996633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727075</xdr:colOff>
      <xdr:row>3</xdr:row>
      <xdr:rowOff>101600</xdr:rowOff>
    </xdr:from>
    <xdr:to>
      <xdr:col>10</xdr:col>
      <xdr:colOff>676275</xdr:colOff>
      <xdr:row>14</xdr:row>
      <xdr:rowOff>15469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xmlns="" id="{5E5DADAA-C189-498E-AADC-D9AD6FF0FD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57129"/>
        <a:stretch/>
      </xdr:blipFill>
      <xdr:spPr>
        <a:xfrm>
          <a:off x="8013700" y="701675"/>
          <a:ext cx="3292475" cy="2018894"/>
        </a:xfrm>
        <a:prstGeom prst="rect">
          <a:avLst/>
        </a:prstGeom>
        <a:ln w="76200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200025</xdr:colOff>
      <xdr:row>10</xdr:row>
      <xdr:rowOff>24665</xdr:rowOff>
    </xdr:from>
    <xdr:to>
      <xdr:col>16</xdr:col>
      <xdr:colOff>570842</xdr:colOff>
      <xdr:row>17</xdr:row>
      <xdr:rowOff>190129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xmlns="" id="{AA363D88-2199-435E-BE57-B4F50E500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06025" y="1929665"/>
          <a:ext cx="2656817" cy="1498964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76200</xdr:colOff>
      <xdr:row>91</xdr:row>
      <xdr:rowOff>69350</xdr:rowOff>
    </xdr:from>
    <xdr:to>
      <xdr:col>16</xdr:col>
      <xdr:colOff>549079</xdr:colOff>
      <xdr:row>101</xdr:row>
      <xdr:rowOff>133349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xmlns="" id="{523E9289-9F43-4A18-A7B0-327A8FD55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82200" y="18004925"/>
          <a:ext cx="2752529" cy="1968999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76200</xdr:colOff>
      <xdr:row>69</xdr:row>
      <xdr:rowOff>33466</xdr:rowOff>
    </xdr:from>
    <xdr:to>
      <xdr:col>16</xdr:col>
      <xdr:colOff>662939</xdr:colOff>
      <xdr:row>77</xdr:row>
      <xdr:rowOff>57150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xmlns="" id="{432DC904-38A1-4507-B3C4-940AB2B9B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82200" y="13749466"/>
          <a:ext cx="2863214" cy="1547684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180974</xdr:colOff>
      <xdr:row>47</xdr:row>
      <xdr:rowOff>123462</xdr:rowOff>
    </xdr:from>
    <xdr:to>
      <xdr:col>16</xdr:col>
      <xdr:colOff>606615</xdr:colOff>
      <xdr:row>58</xdr:row>
      <xdr:rowOff>171450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xmlns="" id="{A80E6449-A2AB-495A-9796-EEE49A214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086974" y="9457962"/>
          <a:ext cx="2711641" cy="2143488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180975</xdr:colOff>
      <xdr:row>27</xdr:row>
      <xdr:rowOff>103866</xdr:rowOff>
    </xdr:from>
    <xdr:to>
      <xdr:col>16</xdr:col>
      <xdr:colOff>685773</xdr:colOff>
      <xdr:row>37</xdr:row>
      <xdr:rowOff>95250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xmlns="" id="{BB0470E4-722F-41EC-8833-3D755AC13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86975" y="5628366"/>
          <a:ext cx="2790798" cy="18963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zoomScaleNormal="100" workbookViewId="0">
      <selection activeCell="A16" sqref="A16"/>
    </sheetView>
  </sheetViews>
  <sheetFormatPr baseColWidth="10" defaultRowHeight="14.5" x14ac:dyDescent="0.35"/>
  <cols>
    <col min="1" max="1" width="55.7265625" bestFit="1" customWidth="1"/>
    <col min="2" max="2" width="39.7265625" customWidth="1"/>
  </cols>
  <sheetData>
    <row r="1" spans="1:2" x14ac:dyDescent="0.35">
      <c r="A1" t="s">
        <v>0</v>
      </c>
    </row>
    <row r="3" spans="1:2" s="54" customFormat="1" ht="21.75" customHeight="1" x14ac:dyDescent="0.35">
      <c r="A3" t="s">
        <v>69</v>
      </c>
      <c r="B3" t="s">
        <v>70</v>
      </c>
    </row>
    <row r="4" spans="1:2" x14ac:dyDescent="0.35">
      <c r="A4" s="54" t="s">
        <v>71</v>
      </c>
      <c r="B4" s="54" t="s">
        <v>72</v>
      </c>
    </row>
    <row r="5" spans="1:2" x14ac:dyDescent="0.35">
      <c r="A5" t="s">
        <v>74</v>
      </c>
      <c r="B5" t="s">
        <v>73</v>
      </c>
    </row>
    <row r="6" spans="1:2" x14ac:dyDescent="0.35">
      <c r="A6" t="s">
        <v>75</v>
      </c>
      <c r="B6" t="s">
        <v>76</v>
      </c>
    </row>
    <row r="7" spans="1:2" x14ac:dyDescent="0.35">
      <c r="A7" t="s">
        <v>77</v>
      </c>
      <c r="B7" t="s">
        <v>78</v>
      </c>
    </row>
    <row r="8" spans="1:2" x14ac:dyDescent="0.35">
      <c r="A8" t="s">
        <v>79</v>
      </c>
      <c r="B8" t="s">
        <v>80</v>
      </c>
    </row>
    <row r="9" spans="1:2" x14ac:dyDescent="0.35">
      <c r="A9" t="s">
        <v>81</v>
      </c>
      <c r="B9" t="s">
        <v>82</v>
      </c>
    </row>
    <row r="10" spans="1:2" x14ac:dyDescent="0.35">
      <c r="A10" t="s">
        <v>160</v>
      </c>
      <c r="B10" t="s">
        <v>161</v>
      </c>
    </row>
    <row r="11" spans="1:2" x14ac:dyDescent="0.35">
      <c r="A11" t="s">
        <v>175</v>
      </c>
      <c r="B11" t="s">
        <v>174</v>
      </c>
    </row>
    <row r="13" spans="1:2" x14ac:dyDescent="0.35">
      <c r="A13" s="74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18"/>
  <sheetViews>
    <sheetView workbookViewId="0">
      <selection activeCell="F5" sqref="F5"/>
    </sheetView>
  </sheetViews>
  <sheetFormatPr baseColWidth="10" defaultRowHeight="14.5" x14ac:dyDescent="0.35"/>
  <sheetData>
    <row r="1" spans="1:11" x14ac:dyDescent="0.35">
      <c r="A1" t="s">
        <v>10</v>
      </c>
    </row>
    <row r="2" spans="1:11" x14ac:dyDescent="0.35">
      <c r="A2" s="79" t="s">
        <v>165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1" x14ac:dyDescent="0.35">
      <c r="A3" s="79" t="s">
        <v>166</v>
      </c>
      <c r="B3" s="79"/>
      <c r="C3" s="79"/>
      <c r="D3" s="79"/>
      <c r="E3" s="79"/>
      <c r="F3" s="79"/>
      <c r="G3" s="79"/>
      <c r="H3" s="79"/>
      <c r="I3" s="79"/>
      <c r="J3" s="79"/>
      <c r="K3" s="79"/>
    </row>
    <row r="4" spans="1:11" ht="15" thickBot="1" x14ac:dyDescent="0.4"/>
    <row r="5" spans="1:11" ht="15" thickBot="1" x14ac:dyDescent="0.4">
      <c r="A5" s="1" t="s">
        <v>1</v>
      </c>
      <c r="B5" s="2" t="s">
        <v>2</v>
      </c>
      <c r="C5" s="2" t="s">
        <v>3</v>
      </c>
      <c r="D5" s="2" t="s">
        <v>4</v>
      </c>
      <c r="E5" s="3" t="s">
        <v>5</v>
      </c>
    </row>
    <row r="6" spans="1:11" x14ac:dyDescent="0.35">
      <c r="A6" s="4">
        <v>1</v>
      </c>
      <c r="B6" s="5">
        <v>2</v>
      </c>
      <c r="C6" s="5">
        <v>3</v>
      </c>
      <c r="D6" s="5">
        <v>4</v>
      </c>
      <c r="E6" s="6">
        <f>SUM(A6:D6)</f>
        <v>10</v>
      </c>
    </row>
    <row r="7" spans="1:11" ht="15" thickBot="1" x14ac:dyDescent="0.4">
      <c r="A7" s="7">
        <v>6</v>
      </c>
      <c r="B7" s="8">
        <v>7</v>
      </c>
      <c r="C7" s="8">
        <v>8</v>
      </c>
      <c r="D7" s="8">
        <v>9</v>
      </c>
      <c r="E7" s="9">
        <f>SUM(A7:D7)</f>
        <v>30</v>
      </c>
    </row>
    <row r="9" spans="1:11" x14ac:dyDescent="0.35">
      <c r="A9" s="79" t="s">
        <v>11</v>
      </c>
      <c r="B9" s="79"/>
      <c r="C9" s="79"/>
      <c r="D9" s="79"/>
      <c r="E9" s="79"/>
      <c r="F9" s="79"/>
      <c r="G9" s="79"/>
      <c r="H9" s="79"/>
      <c r="I9" s="79"/>
      <c r="J9" s="79"/>
      <c r="K9" s="79"/>
    </row>
    <row r="10" spans="1:11" x14ac:dyDescent="0.35">
      <c r="A10" s="79" t="s">
        <v>13</v>
      </c>
      <c r="B10" s="79"/>
      <c r="C10" s="79"/>
      <c r="D10" s="79"/>
      <c r="E10" s="79"/>
      <c r="F10" s="79"/>
      <c r="G10" s="79"/>
      <c r="H10" s="79"/>
      <c r="I10" s="79"/>
      <c r="J10" s="79"/>
      <c r="K10" s="79"/>
    </row>
    <row r="12" spans="1:11" x14ac:dyDescent="0.35">
      <c r="A12" t="s">
        <v>6</v>
      </c>
      <c r="B12" s="10" t="s">
        <v>7</v>
      </c>
      <c r="C12" s="20" t="s">
        <v>8</v>
      </c>
      <c r="D12" s="21" t="s">
        <v>9</v>
      </c>
      <c r="E12" s="11" t="s">
        <v>5</v>
      </c>
    </row>
    <row r="13" spans="1:11" x14ac:dyDescent="0.35">
      <c r="A13" s="17">
        <v>789</v>
      </c>
      <c r="B13" s="12">
        <v>84</v>
      </c>
      <c r="C13" s="22">
        <v>33</v>
      </c>
      <c r="D13" s="23">
        <v>54</v>
      </c>
    </row>
    <row r="14" spans="1:11" x14ac:dyDescent="0.35">
      <c r="A14">
        <v>32</v>
      </c>
      <c r="B14" s="14">
        <v>473</v>
      </c>
      <c r="C14" s="22">
        <v>1</v>
      </c>
      <c r="D14" s="24">
        <v>76</v>
      </c>
    </row>
    <row r="15" spans="1:11" x14ac:dyDescent="0.35">
      <c r="A15" s="13">
        <v>4123</v>
      </c>
      <c r="B15" s="16">
        <v>6457</v>
      </c>
      <c r="C15" s="25">
        <v>3</v>
      </c>
      <c r="D15" s="26">
        <v>47</v>
      </c>
    </row>
    <row r="16" spans="1:11" x14ac:dyDescent="0.35">
      <c r="A16">
        <v>22</v>
      </c>
      <c r="B16">
        <v>236</v>
      </c>
      <c r="C16">
        <v>57</v>
      </c>
      <c r="D16" s="15">
        <v>234</v>
      </c>
    </row>
    <row r="17" spans="1:4" ht="15" thickBot="1" x14ac:dyDescent="0.4">
      <c r="A17" s="18">
        <v>9</v>
      </c>
      <c r="B17" s="19">
        <v>289</v>
      </c>
      <c r="C17">
        <v>662</v>
      </c>
      <c r="D17">
        <v>4</v>
      </c>
    </row>
    <row r="18" spans="1:4" ht="15" thickTop="1" x14ac:dyDescent="0.35"/>
  </sheetData>
  <mergeCells count="4">
    <mergeCell ref="A2:K2"/>
    <mergeCell ref="A3:K3"/>
    <mergeCell ref="A9:K9"/>
    <mergeCell ref="A10:K10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59"/>
  <sheetViews>
    <sheetView workbookViewId="0">
      <selection activeCell="A12" sqref="A12"/>
    </sheetView>
  </sheetViews>
  <sheetFormatPr baseColWidth="10" defaultRowHeight="14.5" x14ac:dyDescent="0.35"/>
  <cols>
    <col min="4" max="4" width="18.453125" bestFit="1" customWidth="1"/>
    <col min="5" max="5" width="17.26953125" bestFit="1" customWidth="1"/>
    <col min="6" max="6" width="24.7265625" customWidth="1"/>
    <col min="7" max="7" width="14.54296875" bestFit="1" customWidth="1"/>
    <col min="8" max="8" width="17.7265625" bestFit="1" customWidth="1"/>
    <col min="9" max="9" width="14.7265625" customWidth="1"/>
    <col min="10" max="10" width="17.7265625" bestFit="1" customWidth="1"/>
  </cols>
  <sheetData>
    <row r="1" spans="1:8" x14ac:dyDescent="0.35">
      <c r="A1" t="s">
        <v>12</v>
      </c>
    </row>
    <row r="2" spans="1:8" ht="15" thickBot="1" x14ac:dyDescent="0.4"/>
    <row r="3" spans="1:8" ht="15.5" thickTop="1" thickBot="1" x14ac:dyDescent="0.4">
      <c r="A3" t="s">
        <v>158</v>
      </c>
      <c r="G3" s="32"/>
    </row>
    <row r="4" spans="1:8" ht="15" thickTop="1" x14ac:dyDescent="0.35"/>
    <row r="5" spans="1:8" x14ac:dyDescent="0.35">
      <c r="A5" s="47" t="s">
        <v>23</v>
      </c>
      <c r="B5" s="47"/>
      <c r="C5" s="47"/>
      <c r="D5" s="47"/>
      <c r="E5" s="47"/>
      <c r="F5" s="47"/>
      <c r="G5" s="47"/>
      <c r="H5" s="47"/>
    </row>
    <row r="6" spans="1:8" x14ac:dyDescent="0.35">
      <c r="A6" s="47" t="s">
        <v>167</v>
      </c>
      <c r="B6" s="47"/>
      <c r="C6" s="47"/>
      <c r="D6" s="47"/>
      <c r="E6" s="47"/>
      <c r="F6" s="47"/>
      <c r="G6" s="47"/>
      <c r="H6" s="47"/>
    </row>
    <row r="7" spans="1:8" x14ac:dyDescent="0.35">
      <c r="A7" s="47" t="s">
        <v>59</v>
      </c>
      <c r="B7" s="47"/>
      <c r="C7" s="47"/>
      <c r="D7" s="47"/>
      <c r="E7" s="47"/>
      <c r="F7" s="47"/>
      <c r="G7" s="47"/>
      <c r="H7" s="47"/>
    </row>
    <row r="8" spans="1:8" x14ac:dyDescent="0.35">
      <c r="A8" s="47" t="s">
        <v>60</v>
      </c>
      <c r="B8" s="47"/>
      <c r="C8" s="47"/>
      <c r="D8" s="47"/>
      <c r="E8" s="47"/>
      <c r="F8" s="47"/>
      <c r="G8" s="47"/>
      <c r="H8" s="47"/>
    </row>
    <row r="9" spans="1:8" x14ac:dyDescent="0.35">
      <c r="A9" s="47" t="s">
        <v>61</v>
      </c>
      <c r="B9" s="47"/>
      <c r="C9" s="47"/>
      <c r="D9" s="47"/>
      <c r="E9" s="47"/>
      <c r="F9" s="47"/>
      <c r="G9" s="47"/>
      <c r="H9" s="47"/>
    </row>
    <row r="10" spans="1:8" x14ac:dyDescent="0.35">
      <c r="A10" s="47" t="s">
        <v>62</v>
      </c>
      <c r="B10" s="47"/>
      <c r="C10" s="47"/>
      <c r="D10" s="47"/>
      <c r="E10" s="47"/>
      <c r="F10" s="47"/>
      <c r="G10" s="47"/>
      <c r="H10" s="47"/>
    </row>
    <row r="11" spans="1:8" x14ac:dyDescent="0.35">
      <c r="A11" s="47" t="s">
        <v>63</v>
      </c>
      <c r="B11" s="47"/>
      <c r="C11" s="47"/>
      <c r="D11" s="47"/>
      <c r="E11" s="47"/>
      <c r="F11" s="47"/>
      <c r="G11" s="47"/>
      <c r="H11" s="47"/>
    </row>
    <row r="12" spans="1:8" x14ac:dyDescent="0.35">
      <c r="A12" s="47" t="s">
        <v>64</v>
      </c>
      <c r="B12" s="47"/>
      <c r="C12" s="47"/>
      <c r="D12" s="47"/>
      <c r="E12" s="47"/>
      <c r="F12" s="47"/>
      <c r="G12" s="47"/>
      <c r="H12" s="47"/>
    </row>
    <row r="13" spans="1:8" x14ac:dyDescent="0.35">
      <c r="A13" s="47" t="s">
        <v>65</v>
      </c>
      <c r="B13" s="47"/>
      <c r="C13" s="47"/>
      <c r="D13" s="47"/>
      <c r="E13" s="47"/>
      <c r="F13" s="47"/>
      <c r="G13" s="47"/>
      <c r="H13" s="47"/>
    </row>
    <row r="14" spans="1:8" x14ac:dyDescent="0.35">
      <c r="A14" s="47" t="s">
        <v>66</v>
      </c>
      <c r="B14" s="47"/>
      <c r="C14" s="47"/>
      <c r="D14" s="47"/>
      <c r="E14" s="47"/>
      <c r="F14" s="47"/>
      <c r="G14" s="47"/>
      <c r="H14" s="47"/>
    </row>
    <row r="17" spans="1:10" x14ac:dyDescent="0.35">
      <c r="A17" s="33" t="s">
        <v>15</v>
      </c>
      <c r="B17" s="33" t="s">
        <v>16</v>
      </c>
      <c r="C17" s="33" t="s">
        <v>17</v>
      </c>
      <c r="D17" s="33" t="s">
        <v>20</v>
      </c>
      <c r="E17" s="33" t="s">
        <v>21</v>
      </c>
      <c r="F17" s="33" t="s">
        <v>22</v>
      </c>
      <c r="G17" s="33" t="s">
        <v>18</v>
      </c>
      <c r="H17" s="33" t="s">
        <v>19</v>
      </c>
    </row>
    <row r="18" spans="1:10" x14ac:dyDescent="0.35">
      <c r="A18" s="47"/>
      <c r="B18" s="47"/>
      <c r="C18" s="47"/>
      <c r="D18" s="47"/>
      <c r="E18" s="47"/>
      <c r="F18" s="47"/>
      <c r="G18" s="47"/>
      <c r="H18" s="47"/>
    </row>
    <row r="19" spans="1:10" x14ac:dyDescent="0.35">
      <c r="A19" s="47"/>
      <c r="B19" s="47"/>
      <c r="C19" s="47"/>
      <c r="D19" s="47"/>
      <c r="E19" s="48"/>
      <c r="F19" s="47"/>
      <c r="G19" s="47"/>
      <c r="H19" s="47"/>
    </row>
    <row r="20" spans="1:10" x14ac:dyDescent="0.35">
      <c r="A20" s="47"/>
      <c r="B20" s="47"/>
      <c r="C20" s="47"/>
      <c r="D20" s="47"/>
      <c r="E20" s="47"/>
      <c r="F20" s="47"/>
      <c r="G20" s="47"/>
      <c r="H20" s="47"/>
    </row>
    <row r="21" spans="1:10" x14ac:dyDescent="0.35">
      <c r="A21" s="47"/>
      <c r="B21" s="47"/>
      <c r="C21" s="47"/>
      <c r="D21" s="47"/>
      <c r="E21" s="47"/>
      <c r="F21" s="47"/>
      <c r="G21" s="47"/>
      <c r="H21" s="47"/>
    </row>
    <row r="22" spans="1:10" x14ac:dyDescent="0.35">
      <c r="A22" s="47"/>
      <c r="B22" s="47"/>
      <c r="C22" s="49"/>
      <c r="D22" s="47"/>
      <c r="E22" s="47"/>
      <c r="F22" s="50"/>
      <c r="G22" s="51"/>
      <c r="H22" s="50"/>
      <c r="I22" s="30"/>
    </row>
    <row r="23" spans="1:10" x14ac:dyDescent="0.35">
      <c r="A23" s="47"/>
      <c r="B23" s="47"/>
      <c r="C23" s="49"/>
      <c r="D23" s="47"/>
      <c r="E23" s="47"/>
      <c r="F23" s="50"/>
      <c r="G23" s="51"/>
      <c r="H23" s="50"/>
      <c r="I23" s="30"/>
    </row>
    <row r="24" spans="1:10" x14ac:dyDescent="0.35">
      <c r="A24" s="47"/>
      <c r="B24" s="47"/>
      <c r="C24" s="49"/>
      <c r="D24" s="47"/>
      <c r="E24" s="47"/>
      <c r="F24" s="50"/>
      <c r="G24" s="51"/>
      <c r="H24" s="50"/>
      <c r="I24" s="30"/>
    </row>
    <row r="25" spans="1:10" x14ac:dyDescent="0.35">
      <c r="A25" s="47"/>
      <c r="B25" s="47"/>
      <c r="C25" s="49"/>
      <c r="D25" s="47"/>
      <c r="E25" s="47"/>
      <c r="F25" s="50"/>
      <c r="G25" s="51"/>
      <c r="H25" s="50"/>
      <c r="I25" s="30"/>
    </row>
    <row r="26" spans="1:10" x14ac:dyDescent="0.35">
      <c r="A26" s="47"/>
      <c r="B26" s="47"/>
      <c r="C26" s="49"/>
      <c r="D26" s="47"/>
      <c r="E26" s="47"/>
      <c r="F26" s="50"/>
      <c r="G26" s="51"/>
      <c r="H26" s="50"/>
      <c r="I26" s="30"/>
    </row>
    <row r="27" spans="1:10" x14ac:dyDescent="0.35">
      <c r="A27" s="47"/>
      <c r="B27" s="47"/>
      <c r="C27" s="49"/>
      <c r="D27" s="47"/>
      <c r="E27" s="47"/>
      <c r="F27" s="50"/>
      <c r="G27" s="51"/>
      <c r="H27" s="50"/>
      <c r="I27" s="30"/>
    </row>
    <row r="28" spans="1:10" x14ac:dyDescent="0.35">
      <c r="A28" s="74"/>
      <c r="B28" s="74"/>
      <c r="C28" s="75"/>
      <c r="D28" s="74"/>
      <c r="E28" s="74"/>
      <c r="F28" s="76"/>
      <c r="G28" s="77"/>
      <c r="H28" s="76"/>
      <c r="I28" s="30"/>
    </row>
    <row r="29" spans="1:10" x14ac:dyDescent="0.35">
      <c r="A29" s="52" t="s">
        <v>67</v>
      </c>
      <c r="B29" s="52"/>
      <c r="C29" s="52"/>
      <c r="D29" s="52"/>
      <c r="E29" s="52"/>
      <c r="F29" s="52"/>
      <c r="G29" s="52"/>
      <c r="H29" s="52"/>
      <c r="I29" s="52"/>
      <c r="J29" s="52"/>
    </row>
    <row r="30" spans="1:10" x14ac:dyDescent="0.35">
      <c r="A30" s="52" t="s">
        <v>68</v>
      </c>
      <c r="B30" s="52"/>
      <c r="C30" s="52"/>
      <c r="D30" s="52"/>
      <c r="E30" s="52"/>
      <c r="F30" s="52"/>
      <c r="G30" s="52"/>
      <c r="H30" s="52"/>
      <c r="I30" s="52"/>
      <c r="J30" s="52"/>
    </row>
    <row r="31" spans="1:10" x14ac:dyDescent="0.35">
      <c r="A31" s="74"/>
      <c r="B31" s="74"/>
      <c r="C31" s="75"/>
      <c r="D31" s="74"/>
      <c r="E31" s="74"/>
      <c r="F31" s="76"/>
      <c r="G31" s="77"/>
      <c r="H31" s="76"/>
      <c r="I31" s="30"/>
    </row>
    <row r="32" spans="1:10" x14ac:dyDescent="0.35">
      <c r="A32" s="53"/>
      <c r="B32" s="52"/>
      <c r="C32" s="52"/>
      <c r="D32" s="52"/>
      <c r="E32" s="52"/>
      <c r="F32" s="52"/>
      <c r="G32" s="77"/>
      <c r="H32" s="76"/>
      <c r="I32" s="30"/>
    </row>
    <row r="33" spans="1:9" x14ac:dyDescent="0.35">
      <c r="A33" s="53"/>
      <c r="B33" s="52"/>
      <c r="C33" s="52"/>
      <c r="D33" s="52"/>
      <c r="E33" s="52"/>
      <c r="F33" s="52"/>
      <c r="G33" s="77"/>
      <c r="H33" s="76"/>
      <c r="I33" s="30"/>
    </row>
    <row r="34" spans="1:9" x14ac:dyDescent="0.35">
      <c r="A34" s="53"/>
      <c r="B34" s="52"/>
      <c r="C34" s="52"/>
      <c r="D34" s="52"/>
      <c r="E34" s="52"/>
      <c r="F34" s="52"/>
      <c r="G34" s="77"/>
      <c r="H34" s="76"/>
      <c r="I34" s="30"/>
    </row>
    <row r="35" spans="1:9" x14ac:dyDescent="0.35">
      <c r="A35" s="53"/>
      <c r="B35" s="52"/>
      <c r="C35" s="52"/>
      <c r="D35" s="52"/>
      <c r="E35" s="52"/>
      <c r="F35" s="52"/>
      <c r="G35" s="77"/>
      <c r="H35" s="76"/>
      <c r="I35" s="30"/>
    </row>
    <row r="36" spans="1:9" x14ac:dyDescent="0.35">
      <c r="A36" s="53"/>
      <c r="B36" s="52"/>
      <c r="C36" s="52"/>
      <c r="D36" s="52"/>
      <c r="E36" s="52"/>
      <c r="F36" s="52"/>
      <c r="G36" s="77"/>
      <c r="H36" s="76"/>
      <c r="I36" s="30"/>
    </row>
    <row r="37" spans="1:9" x14ac:dyDescent="0.35">
      <c r="A37" s="53"/>
      <c r="B37" s="52"/>
      <c r="C37" s="52"/>
      <c r="D37" s="52"/>
      <c r="E37" s="52"/>
      <c r="F37" s="52"/>
      <c r="G37" s="29"/>
      <c r="H37" s="28"/>
      <c r="I37" s="30"/>
    </row>
    <row r="38" spans="1:9" x14ac:dyDescent="0.35">
      <c r="A38" s="53"/>
      <c r="B38" s="52"/>
      <c r="C38" s="52"/>
      <c r="D38" s="52"/>
      <c r="E38" s="52"/>
      <c r="F38" s="52"/>
      <c r="G38" s="29"/>
      <c r="H38" s="28"/>
      <c r="I38" s="30"/>
    </row>
    <row r="39" spans="1:9" x14ac:dyDescent="0.35">
      <c r="A39" s="53"/>
      <c r="B39" s="52"/>
      <c r="C39" s="52"/>
      <c r="D39" s="52"/>
      <c r="E39" s="52"/>
      <c r="F39" s="52"/>
      <c r="G39" s="29"/>
      <c r="H39" s="28"/>
      <c r="I39" s="30"/>
    </row>
    <row r="40" spans="1:9" x14ac:dyDescent="0.35">
      <c r="A40" s="53"/>
      <c r="B40" s="52"/>
      <c r="C40" s="52"/>
      <c r="D40" s="52"/>
      <c r="E40" s="52"/>
      <c r="F40" s="52"/>
      <c r="G40" s="29"/>
      <c r="H40" s="28"/>
      <c r="I40" s="30"/>
    </row>
    <row r="41" spans="1:9" x14ac:dyDescent="0.35">
      <c r="A41" s="53"/>
      <c r="B41" s="52"/>
      <c r="C41" s="52"/>
      <c r="D41" s="52"/>
      <c r="E41" s="52"/>
      <c r="F41" s="52"/>
    </row>
    <row r="42" spans="1:9" x14ac:dyDescent="0.35">
      <c r="A42" s="53"/>
      <c r="B42" s="52"/>
      <c r="C42" s="52"/>
      <c r="D42" s="52"/>
      <c r="E42" s="52"/>
      <c r="F42" s="52"/>
    </row>
    <row r="43" spans="1:9" x14ac:dyDescent="0.35">
      <c r="A43" s="53"/>
      <c r="B43" s="52"/>
      <c r="C43" s="52"/>
      <c r="D43" s="52"/>
      <c r="E43" s="52"/>
      <c r="F43" s="52"/>
    </row>
    <row r="44" spans="1:9" x14ac:dyDescent="0.35">
      <c r="A44" s="53"/>
      <c r="B44" s="52"/>
      <c r="C44" s="52"/>
      <c r="D44" s="52"/>
      <c r="E44" s="52"/>
      <c r="F44" s="52"/>
    </row>
    <row r="45" spans="1:9" x14ac:dyDescent="0.35">
      <c r="A45" s="53"/>
      <c r="B45" s="52"/>
      <c r="C45" s="52"/>
      <c r="D45" s="52"/>
      <c r="E45" s="52"/>
      <c r="F45" s="52"/>
    </row>
    <row r="46" spans="1:9" x14ac:dyDescent="0.35">
      <c r="A46" s="53"/>
      <c r="B46" s="52"/>
      <c r="C46" s="52"/>
      <c r="D46" s="52"/>
      <c r="E46" s="52"/>
      <c r="F46" s="52"/>
    </row>
    <row r="47" spans="1:9" x14ac:dyDescent="0.35">
      <c r="A47" s="52"/>
      <c r="B47" s="52"/>
      <c r="C47" s="52"/>
      <c r="D47" s="52"/>
      <c r="E47" s="52"/>
      <c r="F47" s="52"/>
    </row>
    <row r="48" spans="1:9" x14ac:dyDescent="0.35">
      <c r="A48" s="52"/>
      <c r="B48" s="52"/>
      <c r="C48" s="52"/>
      <c r="D48" s="52"/>
      <c r="E48" s="52"/>
      <c r="F48" s="52"/>
    </row>
    <row r="49" spans="1:6" x14ac:dyDescent="0.35">
      <c r="A49" s="52"/>
      <c r="B49" s="52"/>
      <c r="C49" s="52"/>
      <c r="D49" s="52"/>
      <c r="E49" s="52"/>
      <c r="F49" s="52"/>
    </row>
    <row r="50" spans="1:6" x14ac:dyDescent="0.35">
      <c r="A50" s="52"/>
      <c r="B50" s="52"/>
      <c r="C50" s="52"/>
      <c r="D50" s="52"/>
      <c r="E50" s="52"/>
      <c r="F50" s="52"/>
    </row>
    <row r="51" spans="1:6" x14ac:dyDescent="0.35">
      <c r="A51" s="52"/>
      <c r="B51" s="52"/>
      <c r="C51" s="52"/>
      <c r="D51" s="52"/>
      <c r="E51" s="52"/>
      <c r="F51" s="52"/>
    </row>
    <row r="52" spans="1:6" x14ac:dyDescent="0.35">
      <c r="A52" s="52"/>
      <c r="B52" s="52"/>
      <c r="C52" s="52"/>
      <c r="D52" s="52"/>
      <c r="E52" s="52"/>
      <c r="F52" s="52"/>
    </row>
    <row r="53" spans="1:6" x14ac:dyDescent="0.35">
      <c r="A53" s="52"/>
      <c r="B53" s="52"/>
      <c r="C53" s="52"/>
      <c r="D53" s="52"/>
      <c r="E53" s="52"/>
      <c r="F53" s="52"/>
    </row>
    <row r="54" spans="1:6" x14ac:dyDescent="0.35">
      <c r="A54" s="52"/>
      <c r="B54" s="52"/>
      <c r="C54" s="52"/>
      <c r="D54" s="52"/>
      <c r="E54" s="52"/>
      <c r="F54" s="52"/>
    </row>
    <row r="55" spans="1:6" x14ac:dyDescent="0.35">
      <c r="A55" s="52"/>
      <c r="B55" s="52"/>
      <c r="C55" s="52"/>
      <c r="D55" s="52"/>
      <c r="E55" s="52"/>
      <c r="F55" s="52"/>
    </row>
    <row r="56" spans="1:6" x14ac:dyDescent="0.35">
      <c r="A56" s="52"/>
      <c r="B56" s="52"/>
      <c r="C56" s="52"/>
      <c r="D56" s="52"/>
      <c r="E56" s="52"/>
      <c r="F56" s="52"/>
    </row>
    <row r="57" spans="1:6" x14ac:dyDescent="0.35">
      <c r="A57" s="52"/>
      <c r="B57" s="52"/>
      <c r="C57" s="52"/>
      <c r="D57" s="52"/>
      <c r="E57" s="52"/>
      <c r="F57" s="52"/>
    </row>
    <row r="58" spans="1:6" x14ac:dyDescent="0.35">
      <c r="A58" s="52"/>
      <c r="B58" s="52"/>
      <c r="C58" s="52"/>
      <c r="D58" s="52"/>
      <c r="E58" s="52"/>
      <c r="F58" s="52"/>
    </row>
    <row r="59" spans="1:6" x14ac:dyDescent="0.35">
      <c r="A59" s="52"/>
      <c r="B59" s="52"/>
      <c r="C59" s="52"/>
      <c r="D59" s="52"/>
      <c r="E59" s="52"/>
      <c r="F59" s="52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M30"/>
  <sheetViews>
    <sheetView tabSelected="1" workbookViewId="0">
      <selection activeCell="G22" sqref="G22"/>
    </sheetView>
  </sheetViews>
  <sheetFormatPr baseColWidth="10" defaultRowHeight="14.5" x14ac:dyDescent="0.35"/>
  <cols>
    <col min="13" max="13" width="24.7265625" customWidth="1"/>
  </cols>
  <sheetData>
    <row r="1" spans="1:13" x14ac:dyDescent="0.35">
      <c r="A1" t="s">
        <v>154</v>
      </c>
    </row>
    <row r="2" spans="1:13" x14ac:dyDescent="0.35">
      <c r="A2" t="s">
        <v>168</v>
      </c>
    </row>
    <row r="4" spans="1:13" x14ac:dyDescent="0.35">
      <c r="A4" s="33" t="s">
        <v>88</v>
      </c>
      <c r="B4" s="33" t="s">
        <v>15</v>
      </c>
      <c r="C4" s="33" t="s">
        <v>89</v>
      </c>
      <c r="D4" s="33" t="s">
        <v>90</v>
      </c>
      <c r="E4" s="33" t="s">
        <v>91</v>
      </c>
    </row>
    <row r="5" spans="1:13" ht="15" thickBot="1" x14ac:dyDescent="0.4">
      <c r="A5" t="s">
        <v>92</v>
      </c>
      <c r="B5" s="27">
        <v>43473</v>
      </c>
      <c r="C5">
        <v>6</v>
      </c>
      <c r="D5" s="31">
        <v>2976.66</v>
      </c>
      <c r="E5" t="s">
        <v>96</v>
      </c>
      <c r="J5" s="55"/>
      <c r="K5" s="55"/>
      <c r="L5" s="55"/>
    </row>
    <row r="6" spans="1:13" ht="15.5" thickTop="1" thickBot="1" x14ac:dyDescent="0.4">
      <c r="A6" t="s">
        <v>93</v>
      </c>
      <c r="B6" s="27">
        <v>43480</v>
      </c>
      <c r="C6">
        <v>4</v>
      </c>
      <c r="D6" s="31">
        <v>209.68</v>
      </c>
      <c r="E6" t="s">
        <v>97</v>
      </c>
      <c r="G6" t="s">
        <v>100</v>
      </c>
      <c r="K6" s="32"/>
      <c r="M6" s="80"/>
    </row>
    <row r="7" spans="1:13" ht="15.5" thickTop="1" thickBot="1" x14ac:dyDescent="0.4">
      <c r="A7" t="s">
        <v>92</v>
      </c>
      <c r="B7" s="27">
        <v>43481</v>
      </c>
      <c r="C7">
        <v>10</v>
      </c>
      <c r="D7" s="31">
        <v>58.13</v>
      </c>
      <c r="E7" t="s">
        <v>98</v>
      </c>
      <c r="G7" t="s">
        <v>101</v>
      </c>
      <c r="K7" s="32"/>
      <c r="M7" s="80"/>
    </row>
    <row r="8" spans="1:13" ht="15.5" thickTop="1" thickBot="1" x14ac:dyDescent="0.4">
      <c r="A8" t="s">
        <v>94</v>
      </c>
      <c r="B8" s="27">
        <v>43492</v>
      </c>
      <c r="C8">
        <v>2</v>
      </c>
      <c r="D8" s="31">
        <v>195.85</v>
      </c>
      <c r="E8" t="s">
        <v>99</v>
      </c>
      <c r="G8" s="55"/>
      <c r="H8" s="55"/>
      <c r="I8" s="55"/>
      <c r="J8" s="55"/>
      <c r="K8" s="55"/>
      <c r="M8" s="80"/>
    </row>
    <row r="9" spans="1:13" ht="15.5" thickTop="1" thickBot="1" x14ac:dyDescent="0.4">
      <c r="A9" t="s">
        <v>95</v>
      </c>
      <c r="B9" s="27">
        <v>43494</v>
      </c>
      <c r="C9">
        <v>3</v>
      </c>
      <c r="D9" s="31">
        <v>11.05</v>
      </c>
      <c r="E9" t="s">
        <v>99</v>
      </c>
      <c r="G9" t="s">
        <v>102</v>
      </c>
      <c r="K9" s="56"/>
      <c r="M9" s="80"/>
    </row>
    <row r="10" spans="1:13" ht="15.5" thickTop="1" thickBot="1" x14ac:dyDescent="0.4">
      <c r="A10" t="s">
        <v>95</v>
      </c>
      <c r="B10" s="27">
        <v>43499</v>
      </c>
      <c r="C10">
        <v>14</v>
      </c>
      <c r="D10" s="31">
        <v>762.27</v>
      </c>
      <c r="E10" t="s">
        <v>96</v>
      </c>
      <c r="G10" t="s">
        <v>103</v>
      </c>
      <c r="K10" s="56"/>
      <c r="M10" s="80"/>
    </row>
    <row r="11" spans="1:13" ht="15.5" thickTop="1" thickBot="1" x14ac:dyDescent="0.4">
      <c r="A11" t="s">
        <v>94</v>
      </c>
      <c r="B11" s="27">
        <v>43502</v>
      </c>
      <c r="C11">
        <v>21</v>
      </c>
      <c r="D11" s="31">
        <v>1721.39</v>
      </c>
      <c r="E11" t="s">
        <v>97</v>
      </c>
    </row>
    <row r="12" spans="1:13" ht="15.5" thickTop="1" thickBot="1" x14ac:dyDescent="0.4">
      <c r="A12" t="s">
        <v>93</v>
      </c>
      <c r="B12" s="27">
        <v>43503</v>
      </c>
      <c r="C12">
        <v>3</v>
      </c>
      <c r="D12" s="31">
        <v>164.45</v>
      </c>
      <c r="E12" t="s">
        <v>96</v>
      </c>
      <c r="G12" t="s">
        <v>104</v>
      </c>
      <c r="K12" s="32"/>
    </row>
    <row r="13" spans="1:13" ht="15.5" thickTop="1" thickBot="1" x14ac:dyDescent="0.4">
      <c r="A13" t="s">
        <v>92</v>
      </c>
      <c r="B13" s="27">
        <v>43504</v>
      </c>
      <c r="C13">
        <v>6</v>
      </c>
      <c r="D13" s="31">
        <v>468.82</v>
      </c>
      <c r="E13" t="s">
        <v>98</v>
      </c>
      <c r="G13" t="s">
        <v>105</v>
      </c>
      <c r="K13" s="32"/>
    </row>
    <row r="14" spans="1:13" ht="15.5" thickTop="1" thickBot="1" x14ac:dyDescent="0.4">
      <c r="A14" t="s">
        <v>94</v>
      </c>
      <c r="B14" s="27">
        <v>43508</v>
      </c>
      <c r="C14">
        <v>17</v>
      </c>
      <c r="D14" s="31">
        <v>1448.97</v>
      </c>
      <c r="E14" t="s">
        <v>99</v>
      </c>
    </row>
    <row r="15" spans="1:13" ht="15.5" thickTop="1" thickBot="1" x14ac:dyDescent="0.4">
      <c r="A15" t="s">
        <v>95</v>
      </c>
      <c r="B15" s="27">
        <v>43510</v>
      </c>
      <c r="C15">
        <v>12</v>
      </c>
      <c r="D15" s="31">
        <v>682.76</v>
      </c>
      <c r="E15" t="s">
        <v>96</v>
      </c>
      <c r="G15" t="s">
        <v>108</v>
      </c>
      <c r="K15" s="32"/>
    </row>
    <row r="16" spans="1:13" ht="15.5" thickTop="1" thickBot="1" x14ac:dyDescent="0.4">
      <c r="A16" t="s">
        <v>92</v>
      </c>
      <c r="B16" s="27">
        <v>43513</v>
      </c>
      <c r="C16">
        <v>9</v>
      </c>
      <c r="D16" s="31">
        <v>329.7</v>
      </c>
      <c r="E16" t="s">
        <v>98</v>
      </c>
      <c r="G16" t="s">
        <v>107</v>
      </c>
      <c r="K16" s="32"/>
    </row>
    <row r="17" spans="1:12" ht="15.5" thickTop="1" thickBot="1" x14ac:dyDescent="0.4">
      <c r="A17" t="s">
        <v>93</v>
      </c>
      <c r="B17" s="27">
        <v>43520</v>
      </c>
      <c r="C17">
        <v>1</v>
      </c>
      <c r="D17" s="31">
        <v>42.13</v>
      </c>
      <c r="E17" t="s">
        <v>99</v>
      </c>
      <c r="G17" t="s">
        <v>106</v>
      </c>
      <c r="K17" s="32"/>
      <c r="L17" s="55"/>
    </row>
    <row r="18" spans="1:12" ht="15.5" thickTop="1" thickBot="1" x14ac:dyDescent="0.4">
      <c r="A18" t="s">
        <v>94</v>
      </c>
      <c r="B18" s="27">
        <v>43524</v>
      </c>
      <c r="C18">
        <v>19</v>
      </c>
      <c r="D18" s="31">
        <v>209.79</v>
      </c>
      <c r="E18" t="s">
        <v>99</v>
      </c>
      <c r="G18" t="s">
        <v>109</v>
      </c>
      <c r="K18" s="32"/>
    </row>
    <row r="19" spans="1:12" ht="15.5" thickTop="1" thickBot="1" x14ac:dyDescent="0.4">
      <c r="A19" t="s">
        <v>93</v>
      </c>
      <c r="B19" s="27">
        <v>43527</v>
      </c>
      <c r="C19">
        <v>8</v>
      </c>
      <c r="D19" s="31">
        <v>449.78</v>
      </c>
      <c r="E19" t="s">
        <v>96</v>
      </c>
      <c r="L19" s="55"/>
    </row>
    <row r="20" spans="1:12" ht="15.5" thickTop="1" thickBot="1" x14ac:dyDescent="0.4">
      <c r="A20" t="s">
        <v>95</v>
      </c>
      <c r="B20" s="27">
        <v>43529</v>
      </c>
      <c r="C20">
        <v>16</v>
      </c>
      <c r="D20" s="31">
        <v>1071.72</v>
      </c>
      <c r="E20" t="s">
        <v>98</v>
      </c>
      <c r="G20" t="s">
        <v>190</v>
      </c>
      <c r="L20" s="83"/>
    </row>
    <row r="21" spans="1:12" ht="15.5" thickTop="1" thickBot="1" x14ac:dyDescent="0.4">
      <c r="A21" t="s">
        <v>92</v>
      </c>
      <c r="B21" s="27">
        <v>43530</v>
      </c>
      <c r="C21">
        <v>5</v>
      </c>
      <c r="D21" s="31">
        <v>199.09</v>
      </c>
      <c r="E21" t="s">
        <v>97</v>
      </c>
      <c r="G21" t="s">
        <v>191</v>
      </c>
      <c r="L21" s="32"/>
    </row>
    <row r="22" spans="1:12" ht="15.5" thickTop="1" thickBot="1" x14ac:dyDescent="0.4">
      <c r="A22" t="s">
        <v>92</v>
      </c>
      <c r="B22" s="27">
        <v>43536</v>
      </c>
      <c r="C22">
        <v>4</v>
      </c>
      <c r="D22" s="31">
        <v>69.95</v>
      </c>
      <c r="E22" t="s">
        <v>97</v>
      </c>
    </row>
    <row r="23" spans="1:12" ht="15.5" thickTop="1" thickBot="1" x14ac:dyDescent="0.4">
      <c r="A23" t="s">
        <v>94</v>
      </c>
      <c r="B23" s="27">
        <v>43539</v>
      </c>
      <c r="C23">
        <v>22</v>
      </c>
      <c r="D23" s="31">
        <v>811.46</v>
      </c>
      <c r="E23" t="s">
        <v>99</v>
      </c>
      <c r="G23" t="s">
        <v>188</v>
      </c>
      <c r="L23" s="32"/>
    </row>
    <row r="24" spans="1:12" ht="15.5" thickTop="1" thickBot="1" x14ac:dyDescent="0.4">
      <c r="A24" t="s">
        <v>92</v>
      </c>
      <c r="B24" s="27">
        <v>43542</v>
      </c>
      <c r="C24">
        <v>19</v>
      </c>
      <c r="D24" s="31">
        <v>1619.97</v>
      </c>
      <c r="E24" t="s">
        <v>97</v>
      </c>
      <c r="G24" t="s">
        <v>189</v>
      </c>
      <c r="L24" s="32"/>
    </row>
    <row r="25" spans="1:12" ht="15" thickTop="1" x14ac:dyDescent="0.35">
      <c r="A25" t="s">
        <v>93</v>
      </c>
      <c r="B25" s="27">
        <v>43544</v>
      </c>
      <c r="C25">
        <v>9</v>
      </c>
      <c r="D25" s="31">
        <v>248.85</v>
      </c>
      <c r="E25" t="s">
        <v>96</v>
      </c>
    </row>
    <row r="26" spans="1:12" x14ac:dyDescent="0.35">
      <c r="A26" t="s">
        <v>95</v>
      </c>
      <c r="B26" s="27">
        <v>43546</v>
      </c>
      <c r="C26">
        <v>11</v>
      </c>
      <c r="D26" s="31">
        <v>974.85</v>
      </c>
      <c r="E26" t="s">
        <v>98</v>
      </c>
    </row>
    <row r="27" spans="1:12" x14ac:dyDescent="0.35">
      <c r="A27" t="s">
        <v>94</v>
      </c>
      <c r="B27" s="27">
        <v>43551</v>
      </c>
      <c r="C27">
        <v>18</v>
      </c>
      <c r="D27" s="31">
        <v>253.08</v>
      </c>
      <c r="E27" t="s">
        <v>98</v>
      </c>
    </row>
    <row r="28" spans="1:12" x14ac:dyDescent="0.35">
      <c r="A28" t="s">
        <v>94</v>
      </c>
      <c r="B28" s="27">
        <v>43552</v>
      </c>
      <c r="C28">
        <v>13</v>
      </c>
      <c r="D28" s="31">
        <v>554.87</v>
      </c>
      <c r="E28" t="s">
        <v>99</v>
      </c>
      <c r="G28" t="s">
        <v>110</v>
      </c>
    </row>
    <row r="29" spans="1:12" x14ac:dyDescent="0.35">
      <c r="A29" t="s">
        <v>93</v>
      </c>
      <c r="B29" s="27">
        <v>43553</v>
      </c>
      <c r="C29">
        <v>7</v>
      </c>
      <c r="D29" s="31">
        <v>501.05</v>
      </c>
      <c r="E29" t="s">
        <v>96</v>
      </c>
    </row>
    <row r="30" spans="1:12" x14ac:dyDescent="0.35">
      <c r="A30" t="s">
        <v>95</v>
      </c>
      <c r="B30" s="27">
        <v>43555</v>
      </c>
      <c r="C30">
        <v>2</v>
      </c>
      <c r="D30" s="31">
        <v>51.6</v>
      </c>
      <c r="E30" t="s">
        <v>97</v>
      </c>
    </row>
  </sheetData>
  <mergeCells count="1">
    <mergeCell ref="M6:M10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C1" sqref="C1"/>
    </sheetView>
  </sheetViews>
  <sheetFormatPr baseColWidth="10" defaultRowHeight="14.5" x14ac:dyDescent="0.35"/>
  <cols>
    <col min="1" max="1" width="16.81640625" bestFit="1" customWidth="1"/>
    <col min="2" max="2" width="14.26953125" bestFit="1" customWidth="1"/>
    <col min="3" max="3" width="16.26953125" bestFit="1" customWidth="1"/>
  </cols>
  <sheetData>
    <row r="1" spans="1:4" s="33" customFormat="1" ht="15" thickBot="1" x14ac:dyDescent="0.4">
      <c r="B1" s="33" t="s">
        <v>43</v>
      </c>
      <c r="C1" s="33" t="s">
        <v>47</v>
      </c>
      <c r="D1" s="33" t="s">
        <v>48</v>
      </c>
    </row>
    <row r="2" spans="1:4" x14ac:dyDescent="0.35">
      <c r="A2" s="33" t="s">
        <v>44</v>
      </c>
      <c r="B2" s="41">
        <v>50</v>
      </c>
      <c r="C2" s="42">
        <v>200</v>
      </c>
      <c r="D2" s="43">
        <v>72</v>
      </c>
    </row>
    <row r="3" spans="1:4" x14ac:dyDescent="0.35">
      <c r="A3" s="33" t="s">
        <v>51</v>
      </c>
      <c r="B3" s="35" t="s">
        <v>14</v>
      </c>
      <c r="C3" t="s">
        <v>14</v>
      </c>
      <c r="D3" s="34" t="s">
        <v>14</v>
      </c>
    </row>
    <row r="4" spans="1:4" x14ac:dyDescent="0.35">
      <c r="A4" s="33" t="s">
        <v>50</v>
      </c>
      <c r="B4" s="35" t="s">
        <v>42</v>
      </c>
      <c r="C4" t="s">
        <v>42</v>
      </c>
      <c r="D4" s="34" t="s">
        <v>14</v>
      </c>
    </row>
    <row r="5" spans="1:4" x14ac:dyDescent="0.35">
      <c r="A5" s="33" t="s">
        <v>45</v>
      </c>
      <c r="B5" s="35">
        <v>7</v>
      </c>
      <c r="C5">
        <v>8</v>
      </c>
      <c r="D5" s="34">
        <v>2</v>
      </c>
    </row>
    <row r="6" spans="1:4" ht="15" thickBot="1" x14ac:dyDescent="0.4">
      <c r="A6" s="33" t="s">
        <v>46</v>
      </c>
      <c r="B6" s="38">
        <v>622</v>
      </c>
      <c r="C6" s="36">
        <v>1243</v>
      </c>
      <c r="D6" s="37">
        <v>398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P35"/>
  <sheetViews>
    <sheetView topLeftCell="A5" workbookViewId="0">
      <selection activeCell="O14" sqref="O14"/>
    </sheetView>
  </sheetViews>
  <sheetFormatPr baseColWidth="10" defaultRowHeight="14.5" x14ac:dyDescent="0.35"/>
  <cols>
    <col min="1" max="1" width="25.81640625" customWidth="1"/>
    <col min="3" max="3" width="14.453125" bestFit="1" customWidth="1"/>
    <col min="4" max="4" width="16.54296875" bestFit="1" customWidth="1"/>
  </cols>
  <sheetData>
    <row r="1" spans="1:16" x14ac:dyDescent="0.35">
      <c r="A1" t="s">
        <v>52</v>
      </c>
    </row>
    <row r="3" spans="1:16" x14ac:dyDescent="0.35">
      <c r="A3" t="s">
        <v>53</v>
      </c>
    </row>
    <row r="4" spans="1:16" x14ac:dyDescent="0.35">
      <c r="A4" t="s">
        <v>54</v>
      </c>
    </row>
    <row r="6" spans="1:16" x14ac:dyDescent="0.35">
      <c r="A6" s="45" t="s">
        <v>55</v>
      </c>
      <c r="B6" s="45"/>
      <c r="C6" s="45"/>
      <c r="D6" s="45"/>
      <c r="E6" s="45"/>
      <c r="F6" s="45"/>
      <c r="G6" s="45"/>
      <c r="H6" s="45"/>
      <c r="I6" s="45"/>
      <c r="J6" s="45"/>
    </row>
    <row r="7" spans="1:16" x14ac:dyDescent="0.35">
      <c r="A7" s="45" t="s">
        <v>56</v>
      </c>
      <c r="B7" s="45"/>
      <c r="C7" s="45"/>
      <c r="D7" s="45"/>
      <c r="E7" s="45"/>
      <c r="F7" s="45"/>
      <c r="G7" s="45"/>
      <c r="H7" s="45"/>
      <c r="I7" s="45"/>
      <c r="J7" s="45"/>
    </row>
    <row r="9" spans="1:16" x14ac:dyDescent="0.35">
      <c r="A9" s="46" t="s">
        <v>57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</row>
    <row r="10" spans="1:16" x14ac:dyDescent="0.35">
      <c r="A10" s="46" t="s">
        <v>58</v>
      </c>
      <c r="B10" s="46"/>
      <c r="C10" s="46"/>
      <c r="D10" s="46"/>
    </row>
    <row r="11" spans="1:16" x14ac:dyDescent="0.35">
      <c r="I11" s="81" t="s">
        <v>49</v>
      </c>
      <c r="J11" s="81"/>
      <c r="K11" s="81"/>
      <c r="L11" s="81"/>
      <c r="M11" s="81"/>
      <c r="N11" s="81"/>
      <c r="O11" s="81"/>
      <c r="P11" s="81"/>
    </row>
    <row r="12" spans="1:16" ht="15" thickBot="1" x14ac:dyDescent="0.4">
      <c r="A12" s="39" t="s">
        <v>24</v>
      </c>
      <c r="B12" s="39" t="s">
        <v>25</v>
      </c>
      <c r="C12" s="39" t="s">
        <v>26</v>
      </c>
      <c r="D12" s="39" t="s">
        <v>27</v>
      </c>
      <c r="E12" s="39" t="s">
        <v>28</v>
      </c>
      <c r="F12" s="39" t="s">
        <v>29</v>
      </c>
      <c r="G12" s="39" t="s">
        <v>30</v>
      </c>
      <c r="H12" s="40" t="s">
        <v>31</v>
      </c>
      <c r="I12" s="39">
        <v>1</v>
      </c>
      <c r="J12" s="39">
        <v>2</v>
      </c>
      <c r="K12" s="39">
        <v>3</v>
      </c>
      <c r="L12" s="39">
        <v>4</v>
      </c>
      <c r="M12" s="39">
        <v>5</v>
      </c>
      <c r="N12" s="39">
        <v>6</v>
      </c>
      <c r="O12" s="39">
        <v>7</v>
      </c>
      <c r="P12" s="39">
        <v>8</v>
      </c>
    </row>
    <row r="13" spans="1:16" x14ac:dyDescent="0.35">
      <c r="A13" t="s">
        <v>32</v>
      </c>
      <c r="B13">
        <v>128</v>
      </c>
      <c r="C13" s="31">
        <v>45</v>
      </c>
      <c r="D13" t="s">
        <v>14</v>
      </c>
      <c r="E13" t="s">
        <v>42</v>
      </c>
      <c r="F13" t="s">
        <v>42</v>
      </c>
      <c r="G13">
        <v>3</v>
      </c>
      <c r="H13" s="34" t="s">
        <v>14</v>
      </c>
      <c r="I13" s="44"/>
      <c r="J13" s="44"/>
      <c r="K13" s="44"/>
      <c r="L13" s="44"/>
      <c r="M13" s="44"/>
      <c r="N13" s="44"/>
      <c r="O13" s="44"/>
      <c r="P13" s="44"/>
    </row>
    <row r="14" spans="1:16" x14ac:dyDescent="0.35">
      <c r="A14" t="s">
        <v>33</v>
      </c>
      <c r="B14">
        <v>72</v>
      </c>
      <c r="C14" s="31">
        <v>263</v>
      </c>
      <c r="D14" t="s">
        <v>42</v>
      </c>
      <c r="E14" t="s">
        <v>14</v>
      </c>
      <c r="F14" t="s">
        <v>14</v>
      </c>
      <c r="G14">
        <v>5</v>
      </c>
      <c r="H14" s="34" t="s">
        <v>14</v>
      </c>
      <c r="I14" s="44"/>
      <c r="J14" s="44"/>
      <c r="K14" s="44"/>
      <c r="L14" s="44"/>
      <c r="M14" s="44"/>
      <c r="N14" s="44"/>
      <c r="O14" s="44"/>
      <c r="P14" s="44"/>
    </row>
    <row r="15" spans="1:16" x14ac:dyDescent="0.35">
      <c r="A15" t="s">
        <v>34</v>
      </c>
      <c r="B15">
        <v>44</v>
      </c>
      <c r="C15" s="31">
        <v>52</v>
      </c>
      <c r="D15" t="s">
        <v>14</v>
      </c>
      <c r="E15" t="s">
        <v>42</v>
      </c>
      <c r="F15" t="s">
        <v>14</v>
      </c>
      <c r="G15">
        <v>3</v>
      </c>
      <c r="H15" s="34" t="s">
        <v>14</v>
      </c>
      <c r="I15" s="44"/>
      <c r="J15" s="44"/>
      <c r="K15" s="44"/>
      <c r="L15" s="44"/>
      <c r="M15" s="44"/>
      <c r="N15" s="44"/>
      <c r="O15" s="44"/>
      <c r="P15" s="44"/>
    </row>
    <row r="16" spans="1:16" x14ac:dyDescent="0.35">
      <c r="A16" t="s">
        <v>35</v>
      </c>
      <c r="B16">
        <v>45</v>
      </c>
      <c r="C16" s="31">
        <v>78</v>
      </c>
      <c r="D16" t="s">
        <v>14</v>
      </c>
      <c r="E16" t="s">
        <v>14</v>
      </c>
      <c r="F16" t="s">
        <v>42</v>
      </c>
      <c r="G16">
        <v>3</v>
      </c>
      <c r="H16" s="34" t="s">
        <v>14</v>
      </c>
      <c r="I16" s="44"/>
      <c r="J16" s="44"/>
      <c r="K16" s="44"/>
      <c r="L16" s="44"/>
      <c r="M16" s="44"/>
      <c r="N16" s="44"/>
      <c r="O16" s="44"/>
      <c r="P16" s="44"/>
    </row>
    <row r="17" spans="1:16" x14ac:dyDescent="0.35">
      <c r="A17" t="s">
        <v>36</v>
      </c>
      <c r="B17">
        <v>38</v>
      </c>
      <c r="C17" s="31">
        <v>126</v>
      </c>
      <c r="D17" t="s">
        <v>42</v>
      </c>
      <c r="E17" t="s">
        <v>14</v>
      </c>
      <c r="F17" t="s">
        <v>14</v>
      </c>
      <c r="G17">
        <v>5</v>
      </c>
      <c r="H17" s="34" t="s">
        <v>14</v>
      </c>
      <c r="I17" s="44"/>
      <c r="J17" s="44"/>
      <c r="K17" s="44"/>
      <c r="L17" s="44"/>
      <c r="M17" s="44"/>
      <c r="N17" s="44"/>
      <c r="O17" s="44"/>
      <c r="P17" s="44"/>
    </row>
    <row r="18" spans="1:16" x14ac:dyDescent="0.35">
      <c r="A18" t="s">
        <v>37</v>
      </c>
      <c r="B18">
        <v>63</v>
      </c>
      <c r="C18" s="31">
        <v>110</v>
      </c>
      <c r="D18" t="s">
        <v>42</v>
      </c>
      <c r="E18" t="s">
        <v>14</v>
      </c>
      <c r="F18" t="s">
        <v>14</v>
      </c>
      <c r="G18">
        <v>4</v>
      </c>
      <c r="H18" s="34" t="s">
        <v>14</v>
      </c>
      <c r="I18" s="44"/>
      <c r="J18" s="44"/>
      <c r="K18" s="44"/>
      <c r="L18" s="44"/>
      <c r="M18" s="44"/>
      <c r="N18" s="44"/>
      <c r="O18" s="44"/>
      <c r="P18" s="44"/>
    </row>
    <row r="19" spans="1:16" x14ac:dyDescent="0.35">
      <c r="A19" t="s">
        <v>38</v>
      </c>
      <c r="B19">
        <v>24</v>
      </c>
      <c r="C19" s="31">
        <v>89</v>
      </c>
      <c r="D19" t="s">
        <v>42</v>
      </c>
      <c r="E19" t="s">
        <v>14</v>
      </c>
      <c r="F19" t="s">
        <v>42</v>
      </c>
      <c r="G19">
        <v>4</v>
      </c>
      <c r="H19" s="34" t="s">
        <v>14</v>
      </c>
      <c r="I19" s="44"/>
      <c r="J19" s="44"/>
      <c r="K19" s="44"/>
      <c r="L19" s="44"/>
      <c r="M19" s="44"/>
      <c r="N19" s="44"/>
      <c r="O19" s="44"/>
      <c r="P19" s="44"/>
    </row>
    <row r="20" spans="1:16" x14ac:dyDescent="0.35">
      <c r="A20" t="s">
        <v>39</v>
      </c>
      <c r="B20">
        <v>160</v>
      </c>
      <c r="C20" s="31">
        <v>23</v>
      </c>
      <c r="D20" t="s">
        <v>14</v>
      </c>
      <c r="E20" t="s">
        <v>42</v>
      </c>
      <c r="F20" t="s">
        <v>42</v>
      </c>
      <c r="G20">
        <v>2</v>
      </c>
      <c r="H20" s="34" t="s">
        <v>42</v>
      </c>
      <c r="I20" s="44"/>
      <c r="J20" s="44"/>
      <c r="K20" s="44"/>
      <c r="L20" s="44"/>
      <c r="M20" s="44"/>
      <c r="N20" s="44"/>
      <c r="O20" s="44"/>
      <c r="P20" s="44"/>
    </row>
    <row r="21" spans="1:16" x14ac:dyDescent="0.35">
      <c r="A21" t="s">
        <v>40</v>
      </c>
      <c r="B21">
        <v>106</v>
      </c>
      <c r="C21" s="31">
        <v>62</v>
      </c>
      <c r="D21" t="s">
        <v>14</v>
      </c>
      <c r="E21" t="s">
        <v>14</v>
      </c>
      <c r="F21" t="s">
        <v>14</v>
      </c>
      <c r="G21">
        <v>3</v>
      </c>
      <c r="H21" s="34" t="s">
        <v>14</v>
      </c>
      <c r="I21" s="44"/>
      <c r="J21" s="44"/>
      <c r="K21" s="44"/>
      <c r="L21" s="44"/>
      <c r="M21" s="44"/>
      <c r="N21" s="44"/>
      <c r="O21" s="44"/>
      <c r="P21" s="44"/>
    </row>
    <row r="22" spans="1:16" x14ac:dyDescent="0.35">
      <c r="A22" t="s">
        <v>41</v>
      </c>
      <c r="B22">
        <v>68</v>
      </c>
      <c r="C22" s="31">
        <v>198</v>
      </c>
      <c r="D22" t="s">
        <v>42</v>
      </c>
      <c r="E22" t="s">
        <v>14</v>
      </c>
      <c r="F22" t="s">
        <v>14</v>
      </c>
      <c r="G22">
        <v>5</v>
      </c>
      <c r="H22" s="34" t="s">
        <v>14</v>
      </c>
      <c r="I22" s="44"/>
      <c r="J22" s="44"/>
      <c r="K22" s="44"/>
      <c r="L22" s="44"/>
      <c r="M22" s="44"/>
      <c r="N22" s="44"/>
      <c r="O22" s="44"/>
      <c r="P22" s="44"/>
    </row>
    <row r="25" spans="1:16" ht="15" thickBot="1" x14ac:dyDescent="0.4">
      <c r="A25" s="39" t="s">
        <v>24</v>
      </c>
      <c r="B25" s="36" t="str">
        <f>Aufgabe4!B1</f>
        <v>Kollege A</v>
      </c>
      <c r="C25" s="36" t="str">
        <f>Aufgabe4!C1</f>
        <v>Kollege B</v>
      </c>
      <c r="D25" s="36" t="str">
        <f>Aufgabe4!D1</f>
        <v>Kollege C</v>
      </c>
      <c r="E25" s="74"/>
      <c r="F25" s="74"/>
    </row>
    <row r="26" spans="1:16" x14ac:dyDescent="0.35">
      <c r="A26" t="s">
        <v>32</v>
      </c>
      <c r="B26" s="46"/>
      <c r="C26" s="46"/>
      <c r="D26" s="46"/>
      <c r="E26" s="74"/>
      <c r="F26" s="74"/>
    </row>
    <row r="27" spans="1:16" x14ac:dyDescent="0.35">
      <c r="A27" t="s">
        <v>33</v>
      </c>
      <c r="B27" s="46"/>
      <c r="C27" s="46"/>
      <c r="D27" s="46"/>
      <c r="E27" s="74"/>
      <c r="F27" s="74"/>
    </row>
    <row r="28" spans="1:16" x14ac:dyDescent="0.35">
      <c r="A28" t="s">
        <v>34</v>
      </c>
      <c r="B28" s="46"/>
      <c r="C28" s="46"/>
      <c r="D28" s="46"/>
      <c r="E28" s="74"/>
      <c r="F28" s="74"/>
    </row>
    <row r="29" spans="1:16" x14ac:dyDescent="0.35">
      <c r="A29" t="s">
        <v>35</v>
      </c>
      <c r="B29" s="46"/>
      <c r="C29" s="46"/>
      <c r="D29" s="46"/>
      <c r="E29" s="74"/>
      <c r="F29" s="74"/>
    </row>
    <row r="30" spans="1:16" x14ac:dyDescent="0.35">
      <c r="A30" t="s">
        <v>36</v>
      </c>
      <c r="B30" s="46"/>
      <c r="C30" s="46"/>
      <c r="D30" s="46"/>
      <c r="E30" s="74"/>
      <c r="F30" s="74"/>
    </row>
    <row r="31" spans="1:16" x14ac:dyDescent="0.35">
      <c r="A31" t="s">
        <v>37</v>
      </c>
      <c r="B31" s="46"/>
      <c r="C31" s="46"/>
      <c r="D31" s="46"/>
      <c r="E31" s="74"/>
      <c r="F31" s="74"/>
    </row>
    <row r="32" spans="1:16" x14ac:dyDescent="0.35">
      <c r="A32" t="s">
        <v>38</v>
      </c>
      <c r="B32" s="46"/>
      <c r="C32" s="46"/>
      <c r="D32" s="46"/>
      <c r="E32" s="74"/>
      <c r="F32" s="74"/>
    </row>
    <row r="33" spans="1:6" x14ac:dyDescent="0.35">
      <c r="A33" t="s">
        <v>39</v>
      </c>
      <c r="B33" s="46"/>
      <c r="C33" s="46"/>
      <c r="D33" s="46"/>
      <c r="E33" s="74"/>
      <c r="F33" s="74"/>
    </row>
    <row r="34" spans="1:6" x14ac:dyDescent="0.35">
      <c r="A34" t="s">
        <v>40</v>
      </c>
      <c r="B34" s="46"/>
      <c r="C34" s="46"/>
      <c r="D34" s="46"/>
      <c r="E34" s="74"/>
      <c r="F34" s="74"/>
    </row>
    <row r="35" spans="1:6" x14ac:dyDescent="0.35">
      <c r="A35" t="s">
        <v>41</v>
      </c>
      <c r="B35" s="46"/>
      <c r="C35" s="46"/>
      <c r="D35" s="46"/>
      <c r="E35" s="74"/>
      <c r="F35" s="74"/>
    </row>
  </sheetData>
  <sheetProtection algorithmName="SHA-512" hashValue="TVHUmH2ySq+lCFGTpUVnhhGeUtCuIpi+g7UWAa7eAKeUIXRwpbW+1euAFuheKdaB76nWi6MtxAu4jRM7mQjR6Q==" saltValue="zCxhKGUeJGymm+1rW7eU9w==" spinCount="100000" sheet="1" objects="1" scenarios="1"/>
  <mergeCells count="1">
    <mergeCell ref="I11:P11"/>
  </mergeCells>
  <pageMargins left="0.7" right="0.7" top="0.78740157499999996" bottom="0.78740157499999996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499984740745262"/>
  </sheetPr>
  <dimension ref="A1:Q116"/>
  <sheetViews>
    <sheetView topLeftCell="A63" zoomScaleNormal="100" workbookViewId="0">
      <selection activeCell="E99" sqref="E99"/>
    </sheetView>
  </sheetViews>
  <sheetFormatPr baseColWidth="10" defaultRowHeight="14.5" x14ac:dyDescent="0.35"/>
  <cols>
    <col min="3" max="3" width="14.81640625" customWidth="1"/>
  </cols>
  <sheetData>
    <row r="1" spans="1:17" x14ac:dyDescent="0.35">
      <c r="A1" t="s">
        <v>157</v>
      </c>
    </row>
    <row r="2" spans="1:17" x14ac:dyDescent="0.35">
      <c r="A2" t="s">
        <v>155</v>
      </c>
    </row>
    <row r="3" spans="1:17" x14ac:dyDescent="0.35">
      <c r="A3" t="s">
        <v>156</v>
      </c>
    </row>
    <row r="4" spans="1:17" ht="15" thickBot="1" x14ac:dyDescent="0.4"/>
    <row r="5" spans="1:17" x14ac:dyDescent="0.35">
      <c r="A5" s="52" t="s">
        <v>15</v>
      </c>
      <c r="B5" s="52" t="s">
        <v>112</v>
      </c>
      <c r="C5" s="52" t="s">
        <v>113</v>
      </c>
      <c r="D5" s="52" t="s">
        <v>114</v>
      </c>
      <c r="N5" s="65"/>
      <c r="O5" s="66"/>
      <c r="P5" s="66"/>
      <c r="Q5" s="67"/>
    </row>
    <row r="6" spans="1:17" x14ac:dyDescent="0.35">
      <c r="A6" s="57">
        <v>43556</v>
      </c>
      <c r="B6" s="52">
        <v>54</v>
      </c>
      <c r="C6" s="52">
        <v>66</v>
      </c>
      <c r="D6" s="52">
        <v>36</v>
      </c>
      <c r="N6" s="68"/>
      <c r="O6" s="82" t="s">
        <v>159</v>
      </c>
      <c r="P6" s="82"/>
      <c r="Q6" s="70"/>
    </row>
    <row r="7" spans="1:17" x14ac:dyDescent="0.35">
      <c r="A7" s="57">
        <v>43557</v>
      </c>
      <c r="B7" s="52">
        <v>38</v>
      </c>
      <c r="C7" s="52">
        <v>64</v>
      </c>
      <c r="D7" s="52">
        <v>16</v>
      </c>
      <c r="F7" s="52"/>
      <c r="G7" s="52"/>
      <c r="H7" s="52"/>
      <c r="I7" s="52"/>
      <c r="J7" s="52"/>
      <c r="K7" s="52"/>
      <c r="L7" s="52"/>
      <c r="N7" s="68"/>
      <c r="O7" s="69"/>
      <c r="P7" s="69"/>
      <c r="Q7" s="70"/>
    </row>
    <row r="8" spans="1:17" x14ac:dyDescent="0.35">
      <c r="A8" s="57">
        <v>43558</v>
      </c>
      <c r="B8" s="52">
        <v>97</v>
      </c>
      <c r="C8" s="52">
        <v>67</v>
      </c>
      <c r="D8" s="52">
        <v>11</v>
      </c>
      <c r="F8" s="52"/>
      <c r="G8" s="52"/>
      <c r="H8" s="52"/>
      <c r="I8" s="52"/>
      <c r="J8" s="52"/>
      <c r="K8" s="52"/>
      <c r="L8" s="52"/>
      <c r="N8" s="68"/>
      <c r="O8" s="69"/>
      <c r="P8" s="69"/>
      <c r="Q8" s="70"/>
    </row>
    <row r="9" spans="1:17" x14ac:dyDescent="0.35">
      <c r="A9" s="57">
        <v>43559</v>
      </c>
      <c r="B9" s="52">
        <v>40</v>
      </c>
      <c r="C9" s="52">
        <v>49</v>
      </c>
      <c r="D9" s="52">
        <v>67</v>
      </c>
      <c r="F9" s="52"/>
      <c r="G9" s="52"/>
      <c r="H9" s="52"/>
      <c r="I9" s="52"/>
      <c r="J9" s="52"/>
      <c r="K9" s="52"/>
      <c r="L9" s="52"/>
      <c r="N9" s="68"/>
      <c r="O9" s="69"/>
      <c r="P9" s="69"/>
      <c r="Q9" s="70"/>
    </row>
    <row r="10" spans="1:17" x14ac:dyDescent="0.35">
      <c r="A10" s="57">
        <v>43560</v>
      </c>
      <c r="B10" s="52">
        <v>2</v>
      </c>
      <c r="C10" s="52">
        <v>80</v>
      </c>
      <c r="D10" s="52">
        <v>10</v>
      </c>
      <c r="F10" s="52"/>
      <c r="G10" s="52"/>
      <c r="H10" s="52"/>
      <c r="I10" s="52"/>
      <c r="J10" s="52"/>
      <c r="K10" s="52"/>
      <c r="L10" s="52"/>
      <c r="N10" s="68"/>
      <c r="O10" s="69"/>
      <c r="P10" s="69"/>
      <c r="Q10" s="70"/>
    </row>
    <row r="11" spans="1:17" x14ac:dyDescent="0.35">
      <c r="A11" s="57">
        <v>43561</v>
      </c>
      <c r="B11" s="52">
        <v>16</v>
      </c>
      <c r="C11" s="52">
        <v>41</v>
      </c>
      <c r="D11" s="52">
        <v>51</v>
      </c>
      <c r="F11" s="52"/>
      <c r="G11" s="52"/>
      <c r="H11" s="52"/>
      <c r="I11" s="52"/>
      <c r="J11" s="52"/>
      <c r="K11" s="52"/>
      <c r="L11" s="52"/>
      <c r="N11" s="68"/>
      <c r="O11" s="69"/>
      <c r="P11" s="69"/>
      <c r="Q11" s="70"/>
    </row>
    <row r="12" spans="1:17" x14ac:dyDescent="0.35">
      <c r="A12" s="57">
        <v>43562</v>
      </c>
      <c r="B12" s="52">
        <v>88</v>
      </c>
      <c r="C12" s="52">
        <v>98</v>
      </c>
      <c r="D12" s="52">
        <v>20</v>
      </c>
      <c r="F12" s="52"/>
      <c r="G12" s="52"/>
      <c r="H12" s="52"/>
      <c r="I12" s="52"/>
      <c r="J12" s="52"/>
      <c r="K12" s="52"/>
      <c r="L12" s="52"/>
      <c r="N12" s="68"/>
      <c r="O12" s="69"/>
      <c r="P12" s="69"/>
      <c r="Q12" s="70"/>
    </row>
    <row r="13" spans="1:17" x14ac:dyDescent="0.35">
      <c r="A13" s="57">
        <v>43563</v>
      </c>
      <c r="B13" s="52">
        <v>15</v>
      </c>
      <c r="C13" s="52">
        <v>84</v>
      </c>
      <c r="D13" s="52">
        <v>88</v>
      </c>
      <c r="F13" s="52"/>
      <c r="G13" s="52"/>
      <c r="H13" s="52"/>
      <c r="I13" s="52"/>
      <c r="J13" s="52"/>
      <c r="K13" s="52"/>
      <c r="L13" s="52"/>
      <c r="N13" s="68"/>
      <c r="O13" s="69"/>
      <c r="P13" s="69"/>
      <c r="Q13" s="70"/>
    </row>
    <row r="14" spans="1:17" x14ac:dyDescent="0.35">
      <c r="A14" s="57">
        <v>43564</v>
      </c>
      <c r="B14" s="52">
        <v>13</v>
      </c>
      <c r="C14" s="52">
        <v>51</v>
      </c>
      <c r="D14" s="52">
        <v>65</v>
      </c>
      <c r="F14" s="52"/>
      <c r="G14" s="52"/>
      <c r="H14" s="52"/>
      <c r="I14" s="52"/>
      <c r="J14" s="52"/>
      <c r="K14" s="52"/>
      <c r="L14" s="52"/>
      <c r="N14" s="68"/>
      <c r="O14" s="69"/>
      <c r="P14" s="69"/>
      <c r="Q14" s="70"/>
    </row>
    <row r="15" spans="1:17" x14ac:dyDescent="0.35">
      <c r="A15" s="57">
        <v>43565</v>
      </c>
      <c r="B15" s="52">
        <v>38</v>
      </c>
      <c r="C15" s="52">
        <v>64</v>
      </c>
      <c r="D15" s="52">
        <v>1</v>
      </c>
      <c r="F15" s="52"/>
      <c r="G15" s="52"/>
      <c r="H15" s="52"/>
      <c r="I15" s="52"/>
      <c r="J15" s="52"/>
      <c r="K15" s="52"/>
      <c r="L15" s="52"/>
      <c r="N15" s="68"/>
      <c r="O15" s="69"/>
      <c r="P15" s="69"/>
      <c r="Q15" s="70"/>
    </row>
    <row r="16" spans="1:17" x14ac:dyDescent="0.35">
      <c r="A16" s="57">
        <v>43566</v>
      </c>
      <c r="B16" s="52">
        <v>52</v>
      </c>
      <c r="C16" s="52">
        <v>65</v>
      </c>
      <c r="D16" s="52">
        <v>35</v>
      </c>
      <c r="F16" s="52"/>
      <c r="G16" s="52"/>
      <c r="H16" s="52"/>
      <c r="I16" s="52"/>
      <c r="J16" s="52"/>
      <c r="K16" s="52"/>
      <c r="L16" s="52"/>
      <c r="N16" s="68"/>
      <c r="O16" s="69"/>
      <c r="P16" s="69"/>
      <c r="Q16" s="70"/>
    </row>
    <row r="17" spans="1:17" x14ac:dyDescent="0.35">
      <c r="A17" s="57">
        <v>43567</v>
      </c>
      <c r="B17" s="52">
        <v>29</v>
      </c>
      <c r="C17" s="52">
        <v>73</v>
      </c>
      <c r="D17" s="52">
        <v>83</v>
      </c>
      <c r="F17" s="52"/>
      <c r="G17" s="52"/>
      <c r="H17" s="52"/>
      <c r="I17" s="52"/>
      <c r="J17" s="52"/>
      <c r="K17" s="52"/>
      <c r="L17" s="52"/>
      <c r="N17" s="68"/>
      <c r="O17" s="69"/>
      <c r="P17" s="69"/>
      <c r="Q17" s="70"/>
    </row>
    <row r="18" spans="1:17" x14ac:dyDescent="0.35">
      <c r="A18" s="57">
        <v>43568</v>
      </c>
      <c r="B18" s="52">
        <v>59</v>
      </c>
      <c r="C18" s="52">
        <v>28</v>
      </c>
      <c r="D18" s="52">
        <v>51</v>
      </c>
      <c r="F18" s="52"/>
      <c r="G18" s="52"/>
      <c r="H18" s="52"/>
      <c r="I18" s="52"/>
      <c r="J18" s="52"/>
      <c r="K18" s="52"/>
      <c r="L18" s="52"/>
      <c r="N18" s="68"/>
      <c r="O18" s="69"/>
      <c r="P18" s="69"/>
      <c r="Q18" s="70"/>
    </row>
    <row r="19" spans="1:17" x14ac:dyDescent="0.35">
      <c r="A19" s="57">
        <v>43569</v>
      </c>
      <c r="B19" s="52">
        <v>56</v>
      </c>
      <c r="C19" s="52">
        <v>43</v>
      </c>
      <c r="D19" s="52">
        <v>68</v>
      </c>
      <c r="F19" s="52"/>
      <c r="G19" s="52"/>
      <c r="H19" s="52"/>
      <c r="I19" s="52"/>
      <c r="J19" s="52"/>
      <c r="K19" s="52"/>
      <c r="L19" s="52"/>
      <c r="N19" s="68"/>
      <c r="O19" s="69"/>
      <c r="P19" s="69"/>
      <c r="Q19" s="70"/>
    </row>
    <row r="20" spans="1:17" x14ac:dyDescent="0.35">
      <c r="A20" s="57">
        <v>43570</v>
      </c>
      <c r="B20" s="52">
        <v>81</v>
      </c>
      <c r="C20" s="52">
        <v>16</v>
      </c>
      <c r="D20" s="52">
        <v>61</v>
      </c>
      <c r="F20" s="52"/>
      <c r="G20" s="52"/>
      <c r="H20" s="52"/>
      <c r="I20" s="52"/>
      <c r="J20" s="52"/>
      <c r="K20" s="52"/>
      <c r="L20" s="52"/>
      <c r="N20" s="68"/>
      <c r="O20" s="69"/>
      <c r="P20" s="69"/>
      <c r="Q20" s="70"/>
    </row>
    <row r="21" spans="1:17" x14ac:dyDescent="0.35">
      <c r="A21" s="57">
        <v>43571</v>
      </c>
      <c r="B21" s="52">
        <v>20</v>
      </c>
      <c r="C21" s="52">
        <v>70</v>
      </c>
      <c r="D21" s="52">
        <v>93</v>
      </c>
      <c r="F21" s="52"/>
      <c r="G21" s="52"/>
      <c r="H21" s="52"/>
      <c r="I21" s="52"/>
      <c r="J21" s="52"/>
      <c r="K21" s="52"/>
      <c r="L21" s="52"/>
      <c r="N21" s="68"/>
      <c r="O21" s="69"/>
      <c r="P21" s="69"/>
      <c r="Q21" s="70"/>
    </row>
    <row r="22" spans="1:17" x14ac:dyDescent="0.35">
      <c r="A22" s="57">
        <v>43572</v>
      </c>
      <c r="B22" s="52">
        <v>48</v>
      </c>
      <c r="C22" s="52">
        <v>17</v>
      </c>
      <c r="D22" s="52">
        <v>30</v>
      </c>
      <c r="F22" s="52"/>
      <c r="G22" s="52"/>
      <c r="H22" s="52"/>
      <c r="I22" s="52"/>
      <c r="J22" s="52"/>
      <c r="K22" s="52"/>
      <c r="L22" s="52"/>
      <c r="N22" s="68"/>
      <c r="O22" s="69"/>
      <c r="P22" s="69"/>
      <c r="Q22" s="70"/>
    </row>
    <row r="23" spans="1:17" x14ac:dyDescent="0.35">
      <c r="A23" s="57">
        <v>43573</v>
      </c>
      <c r="B23" s="52">
        <v>43</v>
      </c>
      <c r="C23" s="52">
        <v>75</v>
      </c>
      <c r="D23" s="52">
        <v>95</v>
      </c>
      <c r="N23" s="68"/>
      <c r="O23" s="69"/>
      <c r="P23" s="69"/>
      <c r="Q23" s="70"/>
    </row>
    <row r="24" spans="1:17" x14ac:dyDescent="0.35">
      <c r="A24" s="57">
        <v>43574</v>
      </c>
      <c r="B24" s="52">
        <v>24</v>
      </c>
      <c r="C24" s="52">
        <v>65</v>
      </c>
      <c r="D24" s="52">
        <v>39</v>
      </c>
      <c r="N24" s="68"/>
      <c r="O24" s="69"/>
      <c r="P24" s="69"/>
      <c r="Q24" s="70"/>
    </row>
    <row r="25" spans="1:17" x14ac:dyDescent="0.35">
      <c r="N25" s="68"/>
      <c r="O25" s="69"/>
      <c r="P25" s="69"/>
      <c r="Q25" s="70"/>
    </row>
    <row r="26" spans="1:17" x14ac:dyDescent="0.35">
      <c r="N26" s="68"/>
      <c r="O26" s="69"/>
      <c r="P26" s="69"/>
      <c r="Q26" s="70"/>
    </row>
    <row r="27" spans="1:17" ht="29" x14ac:dyDescent="0.35">
      <c r="A27" s="58" t="s">
        <v>115</v>
      </c>
      <c r="B27" s="59" t="s">
        <v>116</v>
      </c>
      <c r="C27" s="59" t="s">
        <v>164</v>
      </c>
      <c r="F27" s="58"/>
      <c r="G27" s="58"/>
      <c r="H27" s="58"/>
      <c r="I27" s="58"/>
      <c r="J27" s="58"/>
      <c r="K27" s="58"/>
      <c r="L27" s="58"/>
      <c r="N27" s="68"/>
      <c r="O27" s="69"/>
      <c r="P27" s="69"/>
      <c r="Q27" s="70"/>
    </row>
    <row r="28" spans="1:17" x14ac:dyDescent="0.35">
      <c r="A28" s="58">
        <v>2010</v>
      </c>
      <c r="B28" s="58">
        <v>26437</v>
      </c>
      <c r="C28" s="60">
        <v>24.436504334542825</v>
      </c>
      <c r="F28" s="58"/>
      <c r="G28" s="58"/>
      <c r="H28" s="58"/>
      <c r="I28" s="58"/>
      <c r="J28" s="58"/>
      <c r="K28" s="58"/>
      <c r="L28" s="58"/>
      <c r="N28" s="68"/>
      <c r="O28" s="69"/>
      <c r="P28" s="69"/>
      <c r="Q28" s="70"/>
    </row>
    <row r="29" spans="1:17" x14ac:dyDescent="0.35">
      <c r="A29" s="58">
        <v>2011</v>
      </c>
      <c r="B29" s="58">
        <v>26536</v>
      </c>
      <c r="C29" s="60">
        <v>28.535580462514037</v>
      </c>
      <c r="F29" s="58"/>
      <c r="G29" s="58"/>
      <c r="H29" s="58"/>
      <c r="I29" s="58"/>
      <c r="J29" s="58"/>
      <c r="K29" s="58"/>
      <c r="L29" s="58"/>
      <c r="N29" s="68"/>
      <c r="O29" s="69"/>
      <c r="P29" s="69"/>
      <c r="Q29" s="70"/>
    </row>
    <row r="30" spans="1:17" x14ac:dyDescent="0.35">
      <c r="A30" s="58">
        <v>2012</v>
      </c>
      <c r="B30" s="58">
        <v>32376</v>
      </c>
      <c r="C30" s="60">
        <v>34.375959133964159</v>
      </c>
      <c r="F30" s="58"/>
      <c r="G30" s="58"/>
      <c r="H30" s="58"/>
      <c r="I30" s="58"/>
      <c r="J30" s="58"/>
      <c r="K30" s="58"/>
      <c r="L30" s="58"/>
      <c r="N30" s="68"/>
      <c r="O30" s="69"/>
      <c r="P30" s="69"/>
      <c r="Q30" s="70"/>
    </row>
    <row r="31" spans="1:17" x14ac:dyDescent="0.35">
      <c r="A31" s="58">
        <v>2013</v>
      </c>
      <c r="B31" s="58">
        <v>34888</v>
      </c>
      <c r="C31" s="60">
        <v>33.888222774985628</v>
      </c>
      <c r="F31" s="58"/>
      <c r="G31" s="58"/>
      <c r="H31" s="58"/>
      <c r="I31" s="58"/>
      <c r="J31" s="58"/>
      <c r="K31" s="58"/>
      <c r="L31" s="58"/>
      <c r="N31" s="68"/>
      <c r="O31" s="69"/>
      <c r="P31" s="69"/>
      <c r="Q31" s="70"/>
    </row>
    <row r="32" spans="1:17" x14ac:dyDescent="0.35">
      <c r="A32" s="58">
        <v>2014</v>
      </c>
      <c r="B32" s="58">
        <v>24226</v>
      </c>
      <c r="C32" s="60">
        <v>22.225867527105553</v>
      </c>
      <c r="F32" s="58"/>
      <c r="G32" s="58"/>
      <c r="H32" s="58"/>
      <c r="I32" s="58"/>
      <c r="J32" s="58"/>
      <c r="K32" s="58"/>
      <c r="L32" s="58"/>
      <c r="N32" s="68"/>
      <c r="O32" s="69"/>
      <c r="P32" s="69"/>
      <c r="Q32" s="70"/>
    </row>
    <row r="33" spans="1:17" x14ac:dyDescent="0.35">
      <c r="A33" s="58">
        <v>2015</v>
      </c>
      <c r="B33" s="58">
        <v>36575</v>
      </c>
      <c r="C33" s="60">
        <v>34.575291522872213</v>
      </c>
      <c r="F33" s="58"/>
      <c r="G33" s="58"/>
      <c r="H33" s="58"/>
      <c r="I33" s="58"/>
      <c r="J33" s="58"/>
      <c r="K33" s="58"/>
      <c r="L33" s="58"/>
      <c r="N33" s="68"/>
      <c r="O33" s="69"/>
      <c r="P33" s="69"/>
      <c r="Q33" s="70"/>
    </row>
    <row r="34" spans="1:17" x14ac:dyDescent="0.35">
      <c r="A34" s="58">
        <v>2016</v>
      </c>
      <c r="B34" s="58">
        <v>26691</v>
      </c>
      <c r="C34" s="60">
        <v>27.69099502462209</v>
      </c>
      <c r="F34" s="58"/>
      <c r="G34" s="58"/>
      <c r="H34" s="58"/>
      <c r="I34" s="58"/>
      <c r="J34" s="58"/>
      <c r="K34" s="58"/>
      <c r="L34" s="58"/>
      <c r="N34" s="68"/>
      <c r="O34" s="69"/>
      <c r="P34" s="69"/>
      <c r="Q34" s="70"/>
    </row>
    <row r="35" spans="1:17" x14ac:dyDescent="0.35">
      <c r="A35" s="58">
        <v>2017</v>
      </c>
      <c r="B35" s="58">
        <v>20486</v>
      </c>
      <c r="C35" s="60">
        <v>21.486271279140745</v>
      </c>
      <c r="F35" s="58"/>
      <c r="G35" s="58"/>
      <c r="H35" s="58"/>
      <c r="I35" s="58"/>
      <c r="J35" s="58"/>
      <c r="K35" s="58"/>
      <c r="L35" s="58"/>
      <c r="N35" s="68"/>
      <c r="O35" s="69"/>
      <c r="P35" s="69"/>
      <c r="Q35" s="70"/>
    </row>
    <row r="36" spans="1:17" x14ac:dyDescent="0.35">
      <c r="A36" s="58">
        <v>2018</v>
      </c>
      <c r="B36" s="58">
        <v>34173</v>
      </c>
      <c r="C36" s="60">
        <v>33.173420850910119</v>
      </c>
      <c r="F36" s="58"/>
      <c r="G36" s="58"/>
      <c r="H36" s="58"/>
      <c r="I36" s="58"/>
      <c r="J36" s="58"/>
      <c r="K36" s="58"/>
      <c r="L36" s="58"/>
      <c r="N36" s="68"/>
      <c r="O36" s="69"/>
      <c r="P36" s="69"/>
      <c r="Q36" s="70"/>
    </row>
    <row r="37" spans="1:17" x14ac:dyDescent="0.35">
      <c r="A37" s="58">
        <v>2019</v>
      </c>
      <c r="B37" s="58">
        <v>27905</v>
      </c>
      <c r="C37" s="60">
        <v>29.905137845088102</v>
      </c>
      <c r="F37" s="58"/>
      <c r="G37" s="58"/>
      <c r="H37" s="58"/>
      <c r="I37" s="58"/>
      <c r="J37" s="58"/>
      <c r="K37" s="58"/>
      <c r="L37" s="58"/>
      <c r="N37" s="68"/>
      <c r="O37" s="69"/>
      <c r="P37" s="69"/>
      <c r="Q37" s="70"/>
    </row>
    <row r="38" spans="1:17" x14ac:dyDescent="0.35">
      <c r="F38" s="58"/>
      <c r="G38" s="58"/>
      <c r="H38" s="58"/>
      <c r="I38" s="58"/>
      <c r="J38" s="58"/>
      <c r="K38" s="58"/>
      <c r="L38" s="58"/>
      <c r="N38" s="68"/>
      <c r="O38" s="69"/>
      <c r="P38" s="69"/>
      <c r="Q38" s="70"/>
    </row>
    <row r="39" spans="1:17" x14ac:dyDescent="0.35">
      <c r="F39" s="58"/>
      <c r="G39" s="58"/>
      <c r="H39" s="58"/>
      <c r="I39" s="58"/>
      <c r="J39" s="58"/>
      <c r="K39" s="58"/>
      <c r="L39" s="58"/>
      <c r="N39" s="68"/>
      <c r="O39" s="69"/>
      <c r="P39" s="69"/>
      <c r="Q39" s="70"/>
    </row>
    <row r="40" spans="1:17" x14ac:dyDescent="0.35">
      <c r="F40" s="58"/>
      <c r="G40" s="58"/>
      <c r="H40" s="58"/>
      <c r="I40" s="58"/>
      <c r="J40" s="58"/>
      <c r="K40" s="58"/>
      <c r="L40" s="58"/>
      <c r="N40" s="68"/>
      <c r="O40" s="69"/>
      <c r="P40" s="69"/>
      <c r="Q40" s="70"/>
    </row>
    <row r="41" spans="1:17" x14ac:dyDescent="0.35">
      <c r="F41" s="58"/>
      <c r="G41" s="58"/>
      <c r="H41" s="58"/>
      <c r="I41" s="58"/>
      <c r="J41" s="58"/>
      <c r="K41" s="58"/>
      <c r="L41" s="58"/>
      <c r="N41" s="68"/>
      <c r="O41" s="69"/>
      <c r="P41" s="69"/>
      <c r="Q41" s="70"/>
    </row>
    <row r="42" spans="1:17" x14ac:dyDescent="0.35">
      <c r="N42" s="68"/>
      <c r="O42" s="69"/>
      <c r="P42" s="69"/>
      <c r="Q42" s="70"/>
    </row>
    <row r="43" spans="1:17" x14ac:dyDescent="0.35">
      <c r="N43" s="68"/>
      <c r="O43" s="69"/>
      <c r="P43" s="69"/>
      <c r="Q43" s="70"/>
    </row>
    <row r="44" spans="1:17" x14ac:dyDescent="0.35">
      <c r="A44" s="47" t="s">
        <v>117</v>
      </c>
      <c r="B44" s="47"/>
      <c r="C44" s="47"/>
      <c r="F44" s="47"/>
      <c r="G44" s="47"/>
      <c r="H44" s="47"/>
      <c r="I44" s="47"/>
      <c r="J44" s="47"/>
      <c r="K44" s="47"/>
      <c r="L44" s="47"/>
      <c r="N44" s="68"/>
      <c r="O44" s="69"/>
      <c r="P44" s="69"/>
      <c r="Q44" s="70"/>
    </row>
    <row r="45" spans="1:17" x14ac:dyDescent="0.35">
      <c r="A45" s="47" t="s">
        <v>119</v>
      </c>
      <c r="B45" s="47">
        <v>86.1</v>
      </c>
      <c r="C45" s="47"/>
      <c r="F45" s="47"/>
      <c r="G45" s="47"/>
      <c r="H45" s="47"/>
      <c r="I45" s="47"/>
      <c r="J45" s="47"/>
      <c r="K45" s="47"/>
      <c r="L45" s="47"/>
      <c r="N45" s="68"/>
      <c r="O45" s="69"/>
      <c r="P45" s="69"/>
      <c r="Q45" s="70"/>
    </row>
    <row r="46" spans="1:17" x14ac:dyDescent="0.35">
      <c r="A46" s="47" t="s">
        <v>120</v>
      </c>
      <c r="B46" s="47">
        <v>52.1</v>
      </c>
      <c r="C46" s="47"/>
      <c r="F46" s="47"/>
      <c r="G46" s="47"/>
      <c r="H46" s="47"/>
      <c r="I46" s="47"/>
      <c r="J46" s="47"/>
      <c r="K46" s="47"/>
      <c r="L46" s="47"/>
      <c r="N46" s="68"/>
      <c r="O46" s="69"/>
      <c r="P46" s="69"/>
      <c r="Q46" s="70"/>
    </row>
    <row r="47" spans="1:17" x14ac:dyDescent="0.35">
      <c r="A47" s="47" t="s">
        <v>121</v>
      </c>
      <c r="B47" s="47">
        <v>47.3</v>
      </c>
      <c r="C47" s="47"/>
      <c r="F47" s="47"/>
      <c r="G47" s="47"/>
      <c r="H47" s="47"/>
      <c r="I47" s="47"/>
      <c r="J47" s="47"/>
      <c r="K47" s="47"/>
      <c r="L47" s="47"/>
      <c r="N47" s="68"/>
      <c r="O47" s="69"/>
      <c r="P47" s="69"/>
      <c r="Q47" s="70"/>
    </row>
    <row r="48" spans="1:17" x14ac:dyDescent="0.35">
      <c r="A48" s="47" t="s">
        <v>118</v>
      </c>
      <c r="B48" s="47">
        <v>39.9</v>
      </c>
      <c r="C48" s="47"/>
      <c r="F48" s="47"/>
      <c r="G48" s="47"/>
      <c r="H48" s="47"/>
      <c r="I48" s="47"/>
      <c r="J48" s="47"/>
      <c r="K48" s="47"/>
      <c r="L48" s="47"/>
      <c r="N48" s="68"/>
      <c r="O48" s="69"/>
      <c r="P48" s="69"/>
      <c r="Q48" s="70"/>
    </row>
    <row r="49" spans="1:17" x14ac:dyDescent="0.35">
      <c r="A49" s="47" t="s">
        <v>122</v>
      </c>
      <c r="B49" s="47">
        <v>37.799999999999997</v>
      </c>
      <c r="C49" s="47"/>
      <c r="F49" s="47"/>
      <c r="G49" s="47"/>
      <c r="H49" s="47"/>
      <c r="I49" s="47"/>
      <c r="J49" s="47"/>
      <c r="K49" s="47"/>
      <c r="L49" s="47"/>
      <c r="N49" s="68"/>
      <c r="O49" s="69"/>
      <c r="P49" s="69"/>
      <c r="Q49" s="70"/>
    </row>
    <row r="50" spans="1:17" x14ac:dyDescent="0.35">
      <c r="A50" s="47" t="s">
        <v>123</v>
      </c>
      <c r="B50" s="47">
        <v>29.8</v>
      </c>
      <c r="C50" s="47"/>
      <c r="F50" s="47"/>
      <c r="G50" s="47"/>
      <c r="H50" s="47"/>
      <c r="I50" s="47"/>
      <c r="J50" s="47"/>
      <c r="K50" s="47"/>
      <c r="L50" s="47"/>
      <c r="N50" s="68"/>
      <c r="O50" s="69"/>
      <c r="P50" s="69"/>
      <c r="Q50" s="70"/>
    </row>
    <row r="51" spans="1:17" x14ac:dyDescent="0.35">
      <c r="A51" s="47" t="s">
        <v>124</v>
      </c>
      <c r="B51" s="47">
        <v>28.5</v>
      </c>
      <c r="C51" s="47"/>
      <c r="F51" s="47"/>
      <c r="G51" s="47"/>
      <c r="H51" s="47"/>
      <c r="I51" s="47"/>
      <c r="J51" s="47"/>
      <c r="K51" s="47"/>
      <c r="L51" s="47"/>
      <c r="N51" s="68"/>
      <c r="O51" s="69"/>
      <c r="P51" s="69"/>
      <c r="Q51" s="70"/>
    </row>
    <row r="52" spans="1:17" x14ac:dyDescent="0.35">
      <c r="A52" s="47" t="s">
        <v>125</v>
      </c>
      <c r="B52" s="47">
        <v>24.9</v>
      </c>
      <c r="C52" s="47"/>
      <c r="F52" s="47"/>
      <c r="G52" s="47"/>
      <c r="H52" s="47"/>
      <c r="I52" s="47"/>
      <c r="J52" s="47"/>
      <c r="K52" s="47"/>
      <c r="L52" s="47"/>
      <c r="N52" s="68"/>
      <c r="O52" s="69"/>
      <c r="P52" s="69"/>
      <c r="Q52" s="70"/>
    </row>
    <row r="53" spans="1:17" x14ac:dyDescent="0.35">
      <c r="A53" s="47" t="s">
        <v>126</v>
      </c>
      <c r="B53" s="47">
        <v>22.5</v>
      </c>
      <c r="C53" s="47"/>
      <c r="F53" s="47"/>
      <c r="G53" s="47"/>
      <c r="H53" s="47"/>
      <c r="I53" s="47"/>
      <c r="J53" s="47"/>
      <c r="K53" s="47"/>
      <c r="L53" s="47"/>
      <c r="N53" s="68"/>
      <c r="O53" s="69"/>
      <c r="P53" s="69"/>
      <c r="Q53" s="70"/>
    </row>
    <row r="54" spans="1:17" x14ac:dyDescent="0.35">
      <c r="A54" s="47" t="s">
        <v>127</v>
      </c>
      <c r="B54" s="47">
        <v>21.1</v>
      </c>
      <c r="C54" s="47"/>
      <c r="F54" s="47"/>
      <c r="G54" s="47"/>
      <c r="H54" s="47"/>
      <c r="I54" s="47"/>
      <c r="J54" s="47"/>
      <c r="K54" s="47"/>
      <c r="L54" s="47"/>
      <c r="N54" s="68"/>
      <c r="O54" s="69"/>
      <c r="P54" s="69"/>
      <c r="Q54" s="70"/>
    </row>
    <row r="55" spans="1:17" x14ac:dyDescent="0.35">
      <c r="A55" s="47" t="s">
        <v>128</v>
      </c>
      <c r="B55" s="47">
        <v>15.5</v>
      </c>
      <c r="C55" s="47"/>
      <c r="F55" s="47"/>
      <c r="G55" s="47"/>
      <c r="H55" s="47"/>
      <c r="I55" s="47"/>
      <c r="J55" s="47"/>
      <c r="K55" s="47"/>
      <c r="L55" s="47"/>
      <c r="N55" s="68"/>
      <c r="O55" s="69"/>
      <c r="P55" s="69"/>
      <c r="Q55" s="70"/>
    </row>
    <row r="56" spans="1:17" x14ac:dyDescent="0.35">
      <c r="A56" s="47" t="s">
        <v>129</v>
      </c>
      <c r="B56" s="47">
        <v>15.5</v>
      </c>
      <c r="C56" s="47"/>
      <c r="F56" s="47"/>
      <c r="G56" s="47"/>
      <c r="H56" s="47"/>
      <c r="I56" s="47"/>
      <c r="J56" s="47"/>
      <c r="K56" s="47"/>
      <c r="L56" s="47"/>
      <c r="N56" s="68"/>
      <c r="O56" s="69"/>
      <c r="P56" s="69"/>
      <c r="Q56" s="70"/>
    </row>
    <row r="57" spans="1:17" x14ac:dyDescent="0.35">
      <c r="A57" s="47" t="s">
        <v>130</v>
      </c>
      <c r="B57" s="47">
        <v>14.5</v>
      </c>
      <c r="C57" s="47"/>
      <c r="F57" s="47"/>
      <c r="G57" s="47"/>
      <c r="H57" s="47"/>
      <c r="I57" s="47"/>
      <c r="J57" s="47"/>
      <c r="K57" s="47"/>
      <c r="L57" s="47"/>
      <c r="N57" s="68"/>
      <c r="O57" s="69"/>
      <c r="P57" s="69"/>
      <c r="Q57" s="70"/>
    </row>
    <row r="58" spans="1:17" x14ac:dyDescent="0.35">
      <c r="A58" s="47" t="s">
        <v>131</v>
      </c>
      <c r="B58" s="47">
        <v>12</v>
      </c>
      <c r="C58" s="47"/>
      <c r="F58" s="47"/>
      <c r="G58" s="47"/>
      <c r="H58" s="47"/>
      <c r="I58" s="47"/>
      <c r="J58" s="47"/>
      <c r="K58" s="47"/>
      <c r="L58" s="47"/>
      <c r="N58" s="68"/>
      <c r="O58" s="69"/>
      <c r="P58" s="69"/>
      <c r="Q58" s="70"/>
    </row>
    <row r="59" spans="1:17" x14ac:dyDescent="0.35">
      <c r="A59" s="47" t="s">
        <v>132</v>
      </c>
      <c r="B59" s="47">
        <v>11.3</v>
      </c>
      <c r="C59" s="47"/>
      <c r="F59" s="47"/>
      <c r="G59" s="47"/>
      <c r="H59" s="47"/>
      <c r="I59" s="47"/>
      <c r="J59" s="47"/>
      <c r="K59" s="47"/>
      <c r="L59" s="47"/>
      <c r="N59" s="68"/>
      <c r="O59" s="69"/>
      <c r="P59" s="69"/>
      <c r="Q59" s="70"/>
    </row>
    <row r="60" spans="1:17" x14ac:dyDescent="0.35">
      <c r="A60" s="47" t="s">
        <v>133</v>
      </c>
      <c r="B60" s="47">
        <v>10</v>
      </c>
      <c r="C60" s="47"/>
      <c r="F60" s="47"/>
      <c r="G60" s="47"/>
      <c r="H60" s="47"/>
      <c r="I60" s="47"/>
      <c r="J60" s="47"/>
      <c r="K60" s="47"/>
      <c r="L60" s="47"/>
      <c r="N60" s="68"/>
      <c r="O60" s="69"/>
      <c r="P60" s="69"/>
      <c r="Q60" s="70"/>
    </row>
    <row r="61" spans="1:17" x14ac:dyDescent="0.35">
      <c r="A61" s="47" t="s">
        <v>134</v>
      </c>
      <c r="B61" s="47">
        <v>8.6</v>
      </c>
      <c r="C61" s="47"/>
      <c r="F61" s="47"/>
      <c r="G61" s="47"/>
      <c r="H61" s="47"/>
      <c r="I61" s="47"/>
      <c r="J61" s="47"/>
      <c r="K61" s="47"/>
      <c r="L61" s="47"/>
      <c r="N61" s="68"/>
      <c r="O61" s="69"/>
      <c r="P61" s="69"/>
      <c r="Q61" s="70"/>
    </row>
    <row r="62" spans="1:17" x14ac:dyDescent="0.35">
      <c r="F62" s="47"/>
      <c r="G62" s="47"/>
      <c r="H62" s="47"/>
      <c r="I62" s="47"/>
      <c r="J62" s="47"/>
      <c r="K62" s="47"/>
      <c r="L62" s="47"/>
      <c r="N62" s="68"/>
      <c r="O62" s="69"/>
      <c r="P62" s="69"/>
      <c r="Q62" s="70"/>
    </row>
    <row r="63" spans="1:17" x14ac:dyDescent="0.35">
      <c r="F63" s="47"/>
      <c r="G63" s="47"/>
      <c r="H63" s="47"/>
      <c r="I63" s="47"/>
      <c r="J63" s="47"/>
      <c r="K63" s="47"/>
      <c r="L63" s="47"/>
      <c r="N63" s="68"/>
      <c r="O63" s="69"/>
      <c r="P63" s="69"/>
      <c r="Q63" s="70"/>
    </row>
    <row r="64" spans="1:17" x14ac:dyDescent="0.35">
      <c r="F64" s="47"/>
      <c r="G64" s="47"/>
      <c r="H64" s="47"/>
      <c r="I64" s="47"/>
      <c r="J64" s="47"/>
      <c r="K64" s="47"/>
      <c r="L64" s="47"/>
      <c r="N64" s="68"/>
      <c r="O64" s="69"/>
      <c r="P64" s="69"/>
      <c r="Q64" s="70"/>
    </row>
    <row r="65" spans="1:17" x14ac:dyDescent="0.35">
      <c r="N65" s="68"/>
      <c r="O65" s="69"/>
      <c r="P65" s="69"/>
      <c r="Q65" s="70"/>
    </row>
    <row r="66" spans="1:17" x14ac:dyDescent="0.35">
      <c r="N66" s="68"/>
      <c r="O66" s="69"/>
      <c r="P66" s="69"/>
      <c r="Q66" s="70"/>
    </row>
    <row r="67" spans="1:17" x14ac:dyDescent="0.35">
      <c r="A67" s="61" t="s">
        <v>146</v>
      </c>
      <c r="B67" s="61"/>
      <c r="C67" s="61"/>
      <c r="F67" s="61"/>
      <c r="G67" s="61"/>
      <c r="H67" s="61"/>
      <c r="I67" s="61"/>
      <c r="J67" s="61"/>
      <c r="K67" s="61"/>
      <c r="L67" s="61"/>
      <c r="N67" s="68"/>
      <c r="O67" s="69"/>
      <c r="P67" s="69"/>
      <c r="Q67" s="70"/>
    </row>
    <row r="68" spans="1:17" x14ac:dyDescent="0.35">
      <c r="A68" s="61" t="s">
        <v>135</v>
      </c>
      <c r="B68" s="62">
        <v>0.23499999999999999</v>
      </c>
      <c r="C68" s="61"/>
      <c r="F68" s="61"/>
      <c r="G68" s="61"/>
      <c r="H68" s="61"/>
      <c r="I68" s="61"/>
      <c r="J68" s="61"/>
      <c r="K68" s="61"/>
      <c r="L68" s="61"/>
      <c r="N68" s="68"/>
      <c r="O68" s="69"/>
      <c r="P68" s="69"/>
      <c r="Q68" s="70"/>
    </row>
    <row r="69" spans="1:17" x14ac:dyDescent="0.35">
      <c r="A69" s="61" t="s">
        <v>136</v>
      </c>
      <c r="B69" s="62">
        <v>0.27200000000000002</v>
      </c>
      <c r="C69" s="61"/>
      <c r="F69" s="61"/>
      <c r="G69" s="61"/>
      <c r="H69" s="61"/>
      <c r="I69" s="61"/>
      <c r="J69" s="61"/>
      <c r="K69" s="61"/>
      <c r="L69" s="61"/>
      <c r="N69" s="68"/>
      <c r="O69" s="69"/>
      <c r="P69" s="69"/>
      <c r="Q69" s="70"/>
    </row>
    <row r="70" spans="1:17" x14ac:dyDescent="0.35">
      <c r="A70" s="61" t="s">
        <v>137</v>
      </c>
      <c r="B70" s="62">
        <v>0.13900000000000001</v>
      </c>
      <c r="C70" s="61"/>
      <c r="F70" s="61"/>
      <c r="G70" s="61"/>
      <c r="H70" s="61"/>
      <c r="I70" s="61"/>
      <c r="J70" s="61"/>
      <c r="K70" s="61"/>
      <c r="L70" s="61"/>
      <c r="N70" s="68"/>
      <c r="O70" s="69"/>
      <c r="P70" s="69"/>
      <c r="Q70" s="70"/>
    </row>
    <row r="71" spans="1:17" x14ac:dyDescent="0.35">
      <c r="A71" s="61" t="s">
        <v>138</v>
      </c>
      <c r="B71" s="62">
        <v>0.122</v>
      </c>
      <c r="C71" s="61"/>
      <c r="F71" s="61"/>
      <c r="G71" s="61"/>
      <c r="H71" s="61"/>
      <c r="I71" s="61"/>
      <c r="J71" s="61"/>
      <c r="K71" s="61"/>
      <c r="L71" s="61"/>
      <c r="N71" s="68"/>
      <c r="O71" s="69"/>
      <c r="P71" s="69"/>
      <c r="Q71" s="70"/>
    </row>
    <row r="72" spans="1:17" x14ac:dyDescent="0.35">
      <c r="A72" s="61" t="s">
        <v>139</v>
      </c>
      <c r="B72" s="62">
        <v>0.10800000000000001</v>
      </c>
      <c r="C72" s="61"/>
      <c r="F72" s="61"/>
      <c r="G72" s="61"/>
      <c r="H72" s="61"/>
      <c r="I72" s="61"/>
      <c r="J72" s="61"/>
      <c r="K72" s="61"/>
      <c r="L72" s="61"/>
      <c r="N72" s="68"/>
      <c r="O72" s="69"/>
      <c r="P72" s="69"/>
      <c r="Q72" s="70"/>
    </row>
    <row r="73" spans="1:17" x14ac:dyDescent="0.35">
      <c r="A73" s="61" t="s">
        <v>140</v>
      </c>
      <c r="B73" s="62">
        <v>7.8E-2</v>
      </c>
      <c r="C73" s="61"/>
      <c r="F73" s="61"/>
      <c r="G73" s="61"/>
      <c r="H73" s="61"/>
      <c r="I73" s="61"/>
      <c r="J73" s="61"/>
      <c r="K73" s="61"/>
      <c r="L73" s="61"/>
      <c r="N73" s="68"/>
      <c r="O73" s="69"/>
      <c r="P73" s="69"/>
      <c r="Q73" s="70"/>
    </row>
    <row r="74" spans="1:17" x14ac:dyDescent="0.35">
      <c r="A74" s="61" t="s">
        <v>142</v>
      </c>
      <c r="B74" s="62">
        <v>1.6E-2</v>
      </c>
      <c r="C74" s="61"/>
      <c r="F74" s="61"/>
      <c r="G74" s="61"/>
      <c r="H74" s="61"/>
      <c r="I74" s="61"/>
      <c r="J74" s="61"/>
      <c r="K74" s="61"/>
      <c r="L74" s="61"/>
      <c r="N74" s="68"/>
      <c r="O74" s="69"/>
      <c r="P74" s="69"/>
      <c r="Q74" s="70"/>
    </row>
    <row r="75" spans="1:17" x14ac:dyDescent="0.35">
      <c r="A75" s="61" t="s">
        <v>145</v>
      </c>
      <c r="B75" s="62">
        <v>9.0000000000000011E-3</v>
      </c>
      <c r="C75" s="61"/>
      <c r="F75" s="61"/>
      <c r="G75" s="61"/>
      <c r="H75" s="61"/>
      <c r="I75" s="61"/>
      <c r="J75" s="61"/>
      <c r="K75" s="61"/>
      <c r="L75" s="61"/>
      <c r="N75" s="68"/>
      <c r="O75" s="69"/>
      <c r="P75" s="69"/>
      <c r="Q75" s="70"/>
    </row>
    <row r="76" spans="1:17" x14ac:dyDescent="0.35">
      <c r="A76" s="61" t="s">
        <v>143</v>
      </c>
      <c r="B76" s="62">
        <v>4.0000000000000001E-3</v>
      </c>
      <c r="C76" s="61"/>
      <c r="F76" s="61"/>
      <c r="G76" s="61"/>
      <c r="H76" s="61"/>
      <c r="I76" s="61"/>
      <c r="J76" s="61"/>
      <c r="K76" s="61"/>
      <c r="L76" s="61"/>
      <c r="N76" s="68"/>
      <c r="O76" s="69"/>
      <c r="P76" s="69"/>
      <c r="Q76" s="70"/>
    </row>
    <row r="77" spans="1:17" x14ac:dyDescent="0.35">
      <c r="A77" s="61" t="s">
        <v>144</v>
      </c>
      <c r="B77" s="62">
        <v>3.0000000000000001E-3</v>
      </c>
      <c r="C77" s="61"/>
      <c r="F77" s="61"/>
      <c r="G77" s="61"/>
      <c r="H77" s="61"/>
      <c r="I77" s="61"/>
      <c r="J77" s="61"/>
      <c r="K77" s="61"/>
      <c r="L77" s="61"/>
      <c r="N77" s="68"/>
      <c r="O77" s="69"/>
      <c r="P77" s="69"/>
      <c r="Q77" s="70"/>
    </row>
    <row r="78" spans="1:17" x14ac:dyDescent="0.35">
      <c r="A78" s="61" t="s">
        <v>147</v>
      </c>
      <c r="B78" s="62">
        <v>5.0000000000000001E-3</v>
      </c>
      <c r="C78" s="61"/>
      <c r="F78" s="61"/>
      <c r="G78" s="61"/>
      <c r="H78" s="61"/>
      <c r="I78" s="61"/>
      <c r="J78" s="61"/>
      <c r="K78" s="61"/>
      <c r="L78" s="61"/>
      <c r="N78" s="68"/>
      <c r="O78" s="69"/>
      <c r="P78" s="69"/>
      <c r="Q78" s="70"/>
    </row>
    <row r="79" spans="1:17" x14ac:dyDescent="0.35">
      <c r="A79" s="61" t="s">
        <v>141</v>
      </c>
      <c r="B79" s="62">
        <v>2E-3</v>
      </c>
      <c r="C79" s="61"/>
      <c r="F79" s="61"/>
      <c r="G79" s="61"/>
      <c r="H79" s="61"/>
      <c r="I79" s="61"/>
      <c r="J79" s="61"/>
      <c r="K79" s="61"/>
      <c r="L79" s="61"/>
      <c r="N79" s="68"/>
      <c r="O79" s="69"/>
      <c r="P79" s="69"/>
      <c r="Q79" s="70"/>
    </row>
    <row r="80" spans="1:17" ht="16.5" x14ac:dyDescent="0.35">
      <c r="A80" s="61" t="s">
        <v>149</v>
      </c>
      <c r="B80" s="62">
        <v>2E-3</v>
      </c>
      <c r="C80" s="61"/>
      <c r="F80" s="61"/>
      <c r="G80" s="61"/>
      <c r="H80" s="61"/>
      <c r="I80" s="61"/>
      <c r="J80" s="61"/>
      <c r="K80" s="61"/>
      <c r="L80" s="61"/>
      <c r="N80" s="68"/>
      <c r="O80" s="69"/>
      <c r="P80" s="69"/>
      <c r="Q80" s="70"/>
    </row>
    <row r="81" spans="1:17" x14ac:dyDescent="0.35">
      <c r="A81" s="61" t="s">
        <v>148</v>
      </c>
      <c r="B81" s="62">
        <v>1E-3</v>
      </c>
      <c r="C81" s="61"/>
      <c r="F81" s="61"/>
      <c r="G81" s="61"/>
      <c r="H81" s="61"/>
      <c r="I81" s="61"/>
      <c r="J81" s="61"/>
      <c r="K81" s="61"/>
      <c r="L81" s="61"/>
      <c r="N81" s="68"/>
      <c r="O81" s="69"/>
      <c r="P81" s="69"/>
      <c r="Q81" s="70"/>
    </row>
    <row r="82" spans="1:17" x14ac:dyDescent="0.35">
      <c r="F82" s="61"/>
      <c r="G82" s="61"/>
      <c r="H82" s="61"/>
      <c r="I82" s="61"/>
      <c r="J82" s="61"/>
      <c r="K82" s="61"/>
      <c r="L82" s="61"/>
      <c r="N82" s="68"/>
      <c r="O82" s="69"/>
      <c r="P82" s="69"/>
      <c r="Q82" s="70"/>
    </row>
    <row r="83" spans="1:17" x14ac:dyDescent="0.35">
      <c r="N83" s="68"/>
      <c r="O83" s="69"/>
      <c r="P83" s="69"/>
      <c r="Q83" s="70"/>
    </row>
    <row r="84" spans="1:17" x14ac:dyDescent="0.35">
      <c r="N84" s="68"/>
      <c r="O84" s="69"/>
      <c r="P84" s="69"/>
      <c r="Q84" s="70"/>
    </row>
    <row r="85" spans="1:17" x14ac:dyDescent="0.35">
      <c r="A85" s="45" t="s">
        <v>153</v>
      </c>
      <c r="B85" s="45"/>
      <c r="C85" s="45"/>
      <c r="F85" s="45"/>
      <c r="G85" s="45"/>
      <c r="H85" s="45"/>
      <c r="I85" s="45"/>
      <c r="J85" s="45"/>
      <c r="K85" s="45"/>
      <c r="L85" s="45"/>
      <c r="N85" s="68"/>
      <c r="O85" s="69"/>
      <c r="P85" s="69"/>
      <c r="Q85" s="70"/>
    </row>
    <row r="86" spans="1:17" x14ac:dyDescent="0.35">
      <c r="A86" s="45" t="s">
        <v>150</v>
      </c>
      <c r="B86" s="45" t="s">
        <v>151</v>
      </c>
      <c r="C86" s="45" t="s">
        <v>152</v>
      </c>
      <c r="F86" s="45"/>
      <c r="G86" s="45"/>
      <c r="H86" s="45"/>
      <c r="I86" s="45"/>
      <c r="J86" s="45"/>
      <c r="K86" s="45"/>
      <c r="L86" s="45"/>
      <c r="N86" s="68"/>
      <c r="O86" s="69"/>
      <c r="P86" s="69"/>
      <c r="Q86" s="70"/>
    </row>
    <row r="87" spans="1:17" x14ac:dyDescent="0.35">
      <c r="A87" s="63">
        <v>43556</v>
      </c>
      <c r="B87" s="64">
        <v>23902</v>
      </c>
      <c r="C87" s="64">
        <v>29245</v>
      </c>
      <c r="F87" s="45"/>
      <c r="G87" s="45"/>
      <c r="H87" s="45"/>
      <c r="I87" s="45"/>
      <c r="J87" s="45"/>
      <c r="K87" s="45"/>
      <c r="L87" s="45"/>
      <c r="N87" s="68"/>
      <c r="O87" s="69"/>
      <c r="P87" s="69"/>
      <c r="Q87" s="70"/>
    </row>
    <row r="88" spans="1:17" x14ac:dyDescent="0.35">
      <c r="A88" s="63">
        <v>43557</v>
      </c>
      <c r="B88" s="64">
        <v>38005</v>
      </c>
      <c r="C88" s="64">
        <v>28781</v>
      </c>
      <c r="F88" s="45"/>
      <c r="G88" s="45"/>
      <c r="H88" s="45"/>
      <c r="I88" s="45"/>
      <c r="J88" s="45"/>
      <c r="K88" s="45"/>
      <c r="L88" s="45"/>
      <c r="N88" s="68"/>
      <c r="O88" s="69"/>
      <c r="P88" s="69"/>
      <c r="Q88" s="70"/>
    </row>
    <row r="89" spans="1:17" x14ac:dyDescent="0.35">
      <c r="A89" s="63">
        <v>43558</v>
      </c>
      <c r="B89" s="64">
        <v>24785</v>
      </c>
      <c r="C89" s="64">
        <v>31734</v>
      </c>
      <c r="F89" s="45"/>
      <c r="G89" s="45"/>
      <c r="H89" s="45"/>
      <c r="I89" s="45"/>
      <c r="J89" s="45"/>
      <c r="K89" s="45"/>
      <c r="L89" s="45"/>
      <c r="N89" s="68"/>
      <c r="O89" s="69"/>
      <c r="P89" s="69"/>
      <c r="Q89" s="70"/>
    </row>
    <row r="90" spans="1:17" x14ac:dyDescent="0.35">
      <c r="A90" s="63">
        <v>43559</v>
      </c>
      <c r="B90" s="64">
        <v>28697</v>
      </c>
      <c r="C90" s="64">
        <v>29697</v>
      </c>
      <c r="F90" s="45"/>
      <c r="G90" s="45"/>
      <c r="H90" s="45"/>
      <c r="I90" s="45"/>
      <c r="J90" s="45"/>
      <c r="K90" s="45"/>
      <c r="L90" s="45"/>
      <c r="N90" s="68"/>
      <c r="O90" s="69"/>
      <c r="P90" s="69"/>
      <c r="Q90" s="70"/>
    </row>
    <row r="91" spans="1:17" x14ac:dyDescent="0.35">
      <c r="A91" s="63">
        <v>43560</v>
      </c>
      <c r="B91" s="64">
        <v>29286</v>
      </c>
      <c r="C91" s="64">
        <v>33158</v>
      </c>
      <c r="F91" s="45"/>
      <c r="G91" s="45"/>
      <c r="H91" s="45"/>
      <c r="I91" s="45"/>
      <c r="J91" s="45"/>
      <c r="K91" s="45"/>
      <c r="L91" s="45"/>
      <c r="N91" s="68"/>
      <c r="O91" s="69"/>
      <c r="P91" s="69"/>
      <c r="Q91" s="70"/>
    </row>
    <row r="92" spans="1:17" x14ac:dyDescent="0.35">
      <c r="A92" s="63">
        <v>43561</v>
      </c>
      <c r="B92" s="64">
        <v>28327</v>
      </c>
      <c r="C92" s="64">
        <v>34437</v>
      </c>
      <c r="F92" s="45"/>
      <c r="G92" s="45"/>
      <c r="H92" s="45"/>
      <c r="I92" s="45"/>
      <c r="J92" s="45"/>
      <c r="K92" s="45"/>
      <c r="L92" s="45"/>
      <c r="N92" s="68"/>
      <c r="O92" s="69"/>
      <c r="P92" s="69"/>
      <c r="Q92" s="70"/>
    </row>
    <row r="93" spans="1:17" x14ac:dyDescent="0.35">
      <c r="A93" s="63">
        <v>43562</v>
      </c>
      <c r="B93" s="64">
        <v>31472</v>
      </c>
      <c r="C93" s="64">
        <v>54411</v>
      </c>
      <c r="F93" s="45"/>
      <c r="G93" s="45"/>
      <c r="H93" s="45"/>
      <c r="I93" s="45"/>
      <c r="J93" s="45"/>
      <c r="K93" s="45"/>
      <c r="L93" s="45"/>
      <c r="N93" s="68"/>
      <c r="O93" s="69"/>
      <c r="P93" s="69"/>
      <c r="Q93" s="70"/>
    </row>
    <row r="94" spans="1:17" x14ac:dyDescent="0.35">
      <c r="A94" s="63">
        <v>43563</v>
      </c>
      <c r="B94" s="64">
        <v>45842</v>
      </c>
      <c r="C94" s="64">
        <v>39884</v>
      </c>
      <c r="F94" s="45"/>
      <c r="G94" s="45"/>
      <c r="H94" s="45"/>
      <c r="I94" s="45"/>
      <c r="J94" s="45"/>
      <c r="K94" s="45"/>
      <c r="L94" s="45"/>
      <c r="N94" s="68"/>
      <c r="O94" s="69"/>
      <c r="P94" s="69"/>
      <c r="Q94" s="70"/>
    </row>
    <row r="95" spans="1:17" x14ac:dyDescent="0.35">
      <c r="A95" s="63">
        <v>43564</v>
      </c>
      <c r="B95" s="64">
        <v>36345</v>
      </c>
      <c r="C95" s="64">
        <v>31169</v>
      </c>
      <c r="F95" s="45"/>
      <c r="G95" s="45"/>
      <c r="H95" s="45"/>
      <c r="I95" s="45"/>
      <c r="J95" s="45"/>
      <c r="K95" s="45"/>
      <c r="L95" s="45"/>
      <c r="N95" s="68"/>
      <c r="O95" s="69"/>
      <c r="P95" s="69"/>
      <c r="Q95" s="70"/>
    </row>
    <row r="96" spans="1:17" x14ac:dyDescent="0.35">
      <c r="A96" s="63">
        <v>43565</v>
      </c>
      <c r="B96" s="64">
        <v>38299</v>
      </c>
      <c r="C96" s="64">
        <v>32551</v>
      </c>
      <c r="F96" s="45"/>
      <c r="G96" s="45"/>
      <c r="H96" s="45"/>
      <c r="I96" s="45"/>
      <c r="J96" s="45"/>
      <c r="K96" s="45"/>
      <c r="L96" s="45"/>
      <c r="N96" s="68"/>
      <c r="O96" s="69"/>
      <c r="P96" s="69"/>
      <c r="Q96" s="70"/>
    </row>
    <row r="97" spans="1:17" x14ac:dyDescent="0.35">
      <c r="A97" s="63">
        <v>43566</v>
      </c>
      <c r="B97" s="64">
        <v>41618</v>
      </c>
      <c r="C97" s="64">
        <v>29543</v>
      </c>
      <c r="F97" s="45"/>
      <c r="G97" s="45"/>
      <c r="H97" s="45"/>
      <c r="I97" s="45"/>
      <c r="J97" s="45"/>
      <c r="K97" s="45"/>
      <c r="L97" s="45"/>
      <c r="N97" s="68"/>
      <c r="O97" s="69"/>
      <c r="P97" s="69"/>
      <c r="Q97" s="70"/>
    </row>
    <row r="98" spans="1:17" x14ac:dyDescent="0.35">
      <c r="A98" s="63">
        <v>43567</v>
      </c>
      <c r="B98" s="64">
        <v>37760</v>
      </c>
      <c r="C98" s="64">
        <v>26724</v>
      </c>
      <c r="F98" s="45"/>
      <c r="G98" s="45"/>
      <c r="H98" s="45"/>
      <c r="I98" s="45"/>
      <c r="J98" s="45"/>
      <c r="K98" s="45"/>
      <c r="L98" s="45"/>
      <c r="N98" s="68"/>
      <c r="O98" s="69"/>
      <c r="P98" s="69"/>
      <c r="Q98" s="70"/>
    </row>
    <row r="99" spans="1:17" x14ac:dyDescent="0.35">
      <c r="A99" s="63">
        <v>43568</v>
      </c>
      <c r="B99" s="64">
        <v>33911</v>
      </c>
      <c r="C99" s="64">
        <v>29294</v>
      </c>
      <c r="F99" s="45"/>
      <c r="G99" s="45"/>
      <c r="H99" s="45"/>
      <c r="I99" s="45"/>
      <c r="J99" s="45"/>
      <c r="K99" s="45"/>
      <c r="L99" s="45"/>
      <c r="N99" s="68"/>
      <c r="O99" s="69"/>
      <c r="P99" s="69"/>
      <c r="Q99" s="70"/>
    </row>
    <row r="100" spans="1:17" x14ac:dyDescent="0.35">
      <c r="A100" s="63">
        <v>43569</v>
      </c>
      <c r="B100" s="64">
        <v>32530</v>
      </c>
      <c r="C100" s="64">
        <v>40439</v>
      </c>
      <c r="F100" s="45"/>
      <c r="G100" s="45"/>
      <c r="H100" s="45"/>
      <c r="I100" s="45"/>
      <c r="J100" s="45"/>
      <c r="K100" s="45"/>
      <c r="L100" s="45"/>
      <c r="N100" s="68"/>
      <c r="O100" s="69"/>
      <c r="P100" s="69"/>
      <c r="Q100" s="70"/>
    </row>
    <row r="101" spans="1:17" x14ac:dyDescent="0.35">
      <c r="A101" s="63">
        <v>43570</v>
      </c>
      <c r="B101" s="64">
        <v>49217</v>
      </c>
      <c r="C101" s="64">
        <v>26651</v>
      </c>
      <c r="F101" s="45"/>
      <c r="G101" s="45"/>
      <c r="H101" s="45"/>
      <c r="I101" s="45"/>
      <c r="J101" s="45"/>
      <c r="K101" s="45"/>
      <c r="L101" s="45"/>
      <c r="N101" s="68"/>
      <c r="O101" s="69"/>
      <c r="P101" s="69"/>
      <c r="Q101" s="70"/>
    </row>
    <row r="102" spans="1:17" x14ac:dyDescent="0.35">
      <c r="A102" s="63">
        <v>43571</v>
      </c>
      <c r="B102" s="64">
        <v>38747</v>
      </c>
      <c r="C102" s="64">
        <v>26222</v>
      </c>
      <c r="F102" s="45"/>
      <c r="G102" s="45"/>
      <c r="H102" s="45"/>
      <c r="I102" s="45"/>
      <c r="J102" s="45"/>
      <c r="K102" s="45"/>
      <c r="L102" s="45"/>
      <c r="N102" s="68"/>
      <c r="O102" s="69"/>
      <c r="P102" s="69"/>
      <c r="Q102" s="70"/>
    </row>
    <row r="103" spans="1:17" x14ac:dyDescent="0.35">
      <c r="A103" s="63">
        <v>43572</v>
      </c>
      <c r="B103" s="64">
        <v>40291</v>
      </c>
      <c r="C103" s="64">
        <v>23620</v>
      </c>
      <c r="F103" s="45"/>
      <c r="G103" s="45"/>
      <c r="H103" s="45"/>
      <c r="I103" s="45"/>
      <c r="J103" s="45"/>
      <c r="K103" s="45"/>
      <c r="L103" s="45"/>
      <c r="N103" s="68"/>
      <c r="O103" s="69"/>
      <c r="P103" s="69"/>
      <c r="Q103" s="70"/>
    </row>
    <row r="104" spans="1:17" x14ac:dyDescent="0.35">
      <c r="A104" s="63">
        <v>43573</v>
      </c>
      <c r="B104" s="64">
        <v>45048</v>
      </c>
      <c r="C104" s="64">
        <v>18512</v>
      </c>
      <c r="F104" s="45"/>
      <c r="G104" s="45"/>
      <c r="H104" s="45"/>
      <c r="I104" s="45"/>
      <c r="J104" s="45"/>
      <c r="K104" s="45"/>
      <c r="L104" s="45"/>
      <c r="N104" s="68"/>
      <c r="O104" s="69"/>
      <c r="P104" s="69"/>
      <c r="Q104" s="70"/>
    </row>
    <row r="105" spans="1:17" x14ac:dyDescent="0.35">
      <c r="A105" s="63">
        <v>43574</v>
      </c>
      <c r="B105" s="64">
        <v>44593</v>
      </c>
      <c r="C105" s="64">
        <v>22701</v>
      </c>
      <c r="N105" s="68"/>
      <c r="O105" s="69"/>
      <c r="P105" s="69"/>
      <c r="Q105" s="70"/>
    </row>
    <row r="106" spans="1:17" x14ac:dyDescent="0.35">
      <c r="A106" s="63">
        <v>43575</v>
      </c>
      <c r="B106" s="64">
        <v>29864</v>
      </c>
      <c r="C106" s="64">
        <v>18910</v>
      </c>
      <c r="N106" s="68"/>
      <c r="O106" s="69"/>
      <c r="P106" s="69"/>
      <c r="Q106" s="70"/>
    </row>
    <row r="107" spans="1:17" x14ac:dyDescent="0.35">
      <c r="A107" s="63">
        <v>43576</v>
      </c>
      <c r="B107" s="64">
        <v>26997</v>
      </c>
      <c r="C107" s="64">
        <v>23749</v>
      </c>
      <c r="N107" s="68"/>
      <c r="O107" s="69"/>
      <c r="P107" s="69"/>
      <c r="Q107" s="70"/>
    </row>
    <row r="108" spans="1:17" x14ac:dyDescent="0.35">
      <c r="A108" s="63">
        <v>43577</v>
      </c>
      <c r="B108" s="64">
        <v>43108</v>
      </c>
      <c r="C108" s="64">
        <v>33983</v>
      </c>
      <c r="N108" s="68"/>
      <c r="O108" s="69"/>
      <c r="P108" s="69"/>
      <c r="Q108" s="70"/>
    </row>
    <row r="109" spans="1:17" x14ac:dyDescent="0.35">
      <c r="A109" s="63">
        <v>43578</v>
      </c>
      <c r="B109" s="64">
        <v>32632</v>
      </c>
      <c r="C109" s="64">
        <v>29101</v>
      </c>
      <c r="N109" s="68"/>
      <c r="O109" s="69"/>
      <c r="P109" s="69"/>
      <c r="Q109" s="70"/>
    </row>
    <row r="110" spans="1:17" ht="15" thickBot="1" x14ac:dyDescent="0.4">
      <c r="A110" s="63">
        <v>43579</v>
      </c>
      <c r="B110" s="64">
        <v>31487</v>
      </c>
      <c r="C110" s="64">
        <v>32015</v>
      </c>
      <c r="N110" s="71"/>
      <c r="O110" s="72"/>
      <c r="P110" s="72"/>
      <c r="Q110" s="73"/>
    </row>
    <row r="111" spans="1:17" x14ac:dyDescent="0.35">
      <c r="A111" s="63">
        <v>43580</v>
      </c>
      <c r="B111" s="64">
        <v>33456</v>
      </c>
      <c r="C111" s="64">
        <v>33535</v>
      </c>
    </row>
    <row r="112" spans="1:17" x14ac:dyDescent="0.35">
      <c r="A112" s="63">
        <v>43581</v>
      </c>
      <c r="B112" s="64">
        <v>32512</v>
      </c>
      <c r="C112" s="64">
        <v>45224</v>
      </c>
    </row>
    <row r="113" spans="1:3" x14ac:dyDescent="0.35">
      <c r="A113" s="63">
        <v>43582</v>
      </c>
      <c r="B113" s="64">
        <v>32577</v>
      </c>
      <c r="C113" s="64">
        <v>47565</v>
      </c>
    </row>
    <row r="114" spans="1:3" x14ac:dyDescent="0.35">
      <c r="A114" s="63">
        <v>43583</v>
      </c>
      <c r="B114" s="64">
        <v>33373</v>
      </c>
      <c r="C114" s="64">
        <v>64871</v>
      </c>
    </row>
    <row r="115" spans="1:3" x14ac:dyDescent="0.35">
      <c r="A115" s="63">
        <v>43584</v>
      </c>
      <c r="B115" s="64">
        <v>48500</v>
      </c>
      <c r="C115" s="64">
        <v>44886</v>
      </c>
    </row>
    <row r="116" spans="1:3" x14ac:dyDescent="0.35">
      <c r="A116" s="63">
        <v>43585</v>
      </c>
      <c r="B116" s="64">
        <v>32237</v>
      </c>
      <c r="C116" s="64">
        <v>24822</v>
      </c>
    </row>
  </sheetData>
  <mergeCells count="1">
    <mergeCell ref="O6:P6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selection activeCell="E35" sqref="E35"/>
    </sheetView>
  </sheetViews>
  <sheetFormatPr baseColWidth="10" defaultRowHeight="14.5" x14ac:dyDescent="0.35"/>
  <cols>
    <col min="1" max="1" width="74.453125" customWidth="1"/>
    <col min="2" max="3" width="5.54296875" customWidth="1"/>
  </cols>
  <sheetData>
    <row r="1" spans="1:3" x14ac:dyDescent="0.35">
      <c r="A1" s="33" t="s">
        <v>83</v>
      </c>
    </row>
    <row r="2" spans="1:3" ht="15.5" x14ac:dyDescent="0.35">
      <c r="B2" s="78" t="s">
        <v>14</v>
      </c>
      <c r="C2" s="78" t="s">
        <v>42</v>
      </c>
    </row>
    <row r="3" spans="1:3" x14ac:dyDescent="0.35">
      <c r="A3" t="s">
        <v>182</v>
      </c>
    </row>
    <row r="4" spans="1:3" x14ac:dyDescent="0.35">
      <c r="A4" t="s">
        <v>169</v>
      </c>
    </row>
    <row r="5" spans="1:3" x14ac:dyDescent="0.35">
      <c r="A5" t="s">
        <v>87</v>
      </c>
    </row>
    <row r="6" spans="1:3" x14ac:dyDescent="0.35">
      <c r="A6" t="s">
        <v>178</v>
      </c>
    </row>
    <row r="7" spans="1:3" x14ac:dyDescent="0.35">
      <c r="A7" t="s">
        <v>179</v>
      </c>
    </row>
    <row r="9" spans="1:3" x14ac:dyDescent="0.35">
      <c r="A9" t="s">
        <v>183</v>
      </c>
    </row>
    <row r="10" spans="1:3" x14ac:dyDescent="0.35">
      <c r="A10" t="s">
        <v>84</v>
      </c>
    </row>
    <row r="11" spans="1:3" x14ac:dyDescent="0.35">
      <c r="A11" t="s">
        <v>85</v>
      </c>
    </row>
    <row r="13" spans="1:3" x14ac:dyDescent="0.35">
      <c r="A13" t="s">
        <v>184</v>
      </c>
    </row>
    <row r="14" spans="1:3" x14ac:dyDescent="0.35">
      <c r="A14" t="s">
        <v>111</v>
      </c>
    </row>
    <row r="15" spans="1:3" x14ac:dyDescent="0.35">
      <c r="A15" t="s">
        <v>86</v>
      </c>
    </row>
    <row r="16" spans="1:3" x14ac:dyDescent="0.35">
      <c r="A16" t="s">
        <v>173</v>
      </c>
    </row>
    <row r="18" spans="1:1" x14ac:dyDescent="0.35">
      <c r="A18" t="s">
        <v>162</v>
      </c>
    </row>
    <row r="19" spans="1:1" x14ac:dyDescent="0.35">
      <c r="A19" t="s">
        <v>163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170</v>
      </c>
    </row>
    <row r="24" spans="1:1" x14ac:dyDescent="0.35">
      <c r="A24" t="s">
        <v>186</v>
      </c>
    </row>
    <row r="25" spans="1:1" x14ac:dyDescent="0.35">
      <c r="A25" t="s">
        <v>187</v>
      </c>
    </row>
    <row r="27" spans="1:1" x14ac:dyDescent="0.35">
      <c r="A27" s="33" t="s">
        <v>171</v>
      </c>
    </row>
    <row r="29" spans="1:1" x14ac:dyDescent="0.35">
      <c r="A29" t="s">
        <v>172</v>
      </c>
    </row>
    <row r="30" spans="1:1" x14ac:dyDescent="0.35">
      <c r="A30" t="s">
        <v>180</v>
      </c>
    </row>
    <row r="31" spans="1:1" x14ac:dyDescent="0.35">
      <c r="A31" t="s">
        <v>181</v>
      </c>
    </row>
    <row r="32" spans="1:1" x14ac:dyDescent="0.35">
      <c r="A32" t="s">
        <v>185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8</vt:i4>
      </vt:variant>
      <vt:variant>
        <vt:lpstr>Benannte Bereiche</vt:lpstr>
      </vt:variant>
      <vt:variant>
        <vt:i4>1</vt:i4>
      </vt:variant>
    </vt:vector>
  </HeadingPairs>
  <TitlesOfParts>
    <vt:vector size="9" baseType="lpstr">
      <vt:lpstr>cheat sheet</vt:lpstr>
      <vt:lpstr>Aufgabe1</vt:lpstr>
      <vt:lpstr>Aufgabe2</vt:lpstr>
      <vt:lpstr>Aufgabe3</vt:lpstr>
      <vt:lpstr>Aufgabe4</vt:lpstr>
      <vt:lpstr>Aufgabe5</vt:lpstr>
      <vt:lpstr>Aufgabe6</vt:lpstr>
      <vt:lpstr>Auswertung</vt:lpstr>
      <vt:lpstr>Aufgabe6!Druckbereich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jojansse</dc:creator>
  <cp:lastModifiedBy>lstoldt</cp:lastModifiedBy>
  <cp:lastPrinted>2019-04-09T09:12:09Z</cp:lastPrinted>
  <dcterms:created xsi:type="dcterms:W3CDTF">2019-04-04T08:36:46Z</dcterms:created>
  <dcterms:modified xsi:type="dcterms:W3CDTF">2020-01-22T18:04:54Z</dcterms:modified>
</cp:coreProperties>
</file>