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stoldt\OneDrive - Otto Group\Azubis 2019\Excel Einstufungstest\Kopie zum Bearbeiten\"/>
    </mc:Choice>
  </mc:AlternateContent>
  <bookViews>
    <workbookView xWindow="25080" yWindow="-120" windowWidth="25440" windowHeight="15540" tabRatio="1000" activeTab="14"/>
  </bookViews>
  <sheets>
    <sheet name="cheat sheet" sheetId="9" r:id="rId1"/>
    <sheet name="Aufgabe1" sheetId="1" r:id="rId2"/>
    <sheet name="Aufgabe1 Lösung" sheetId="11" r:id="rId3"/>
    <sheet name="Aufgabe2" sheetId="10" r:id="rId4"/>
    <sheet name="Aufgabe2 Lösung" sheetId="15" r:id="rId5"/>
    <sheet name="Aufgabe3" sheetId="3" r:id="rId6"/>
    <sheet name="Aufgabe3 Lösung" sheetId="24" r:id="rId7"/>
    <sheet name="Aufgabe4" sheetId="7" r:id="rId8"/>
    <sheet name="Aufgabe5" sheetId="14" r:id="rId9"/>
    <sheet name="Aufgabe5 Lösung" sheetId="13" r:id="rId10"/>
    <sheet name="AufgabeErsatz" sheetId="5" state="hidden" r:id="rId11"/>
    <sheet name="AufgabeErsatz Lösung" sheetId="25" state="hidden" r:id="rId12"/>
    <sheet name="Aufgabe6" sheetId="28" r:id="rId13"/>
    <sheet name="Aufgabe6 Lösung" sheetId="26" r:id="rId14"/>
    <sheet name="Auswertung" sheetId="23" r:id="rId15"/>
  </sheets>
  <definedNames>
    <definedName name="_xlnm.Print_Area" localSheetId="12">Aufgabe6!$A$1:$G$29</definedName>
    <definedName name="_xlnm.Print_Area" localSheetId="13">'Aufgabe6 Lösung'!$A$1:$G$29</definedName>
    <definedName name="OMA" localSheetId="12">Tabelle1[#All]</definedName>
    <definedName name="OMA" localSheetId="13">Tabelle1[#All]</definedName>
    <definedName name="OMA">Tabelle1[#All]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7" i="13" l="1"/>
  <c r="L24" i="24"/>
  <c r="T10" i="24"/>
  <c r="L23" i="24"/>
  <c r="T9" i="24"/>
  <c r="K21" i="24"/>
  <c r="S7" i="24"/>
  <c r="K20" i="24"/>
  <c r="S6" i="24"/>
  <c r="D28" i="13" l="1"/>
  <c r="D29" i="13"/>
  <c r="D30" i="13"/>
  <c r="D31" i="13"/>
  <c r="D32" i="13"/>
  <c r="D33" i="13"/>
  <c r="D34" i="13"/>
  <c r="D35" i="13"/>
  <c r="D36" i="13"/>
  <c r="D27" i="13"/>
  <c r="C27" i="13"/>
  <c r="C28" i="13"/>
  <c r="C29" i="13"/>
  <c r="C30" i="13"/>
  <c r="C31" i="13"/>
  <c r="C32" i="13"/>
  <c r="C33" i="13"/>
  <c r="C34" i="13"/>
  <c r="C35" i="13"/>
  <c r="C36" i="13"/>
  <c r="B28" i="13"/>
  <c r="B29" i="13"/>
  <c r="B30" i="13"/>
  <c r="B31" i="13"/>
  <c r="B32" i="13"/>
  <c r="B33" i="13"/>
  <c r="B34" i="13"/>
  <c r="B35" i="13"/>
  <c r="B36" i="13"/>
  <c r="K15" i="24" l="1"/>
  <c r="K18" i="24" l="1"/>
  <c r="K17" i="24"/>
  <c r="K16" i="24"/>
  <c r="K13" i="24"/>
  <c r="K12" i="24"/>
  <c r="K10" i="24"/>
  <c r="K9" i="24"/>
  <c r="K7" i="24"/>
  <c r="K6" i="24"/>
  <c r="H19" i="15" l="1"/>
  <c r="H20" i="15"/>
  <c r="H21" i="15"/>
  <c r="H22" i="15"/>
  <c r="H23" i="15"/>
  <c r="H24" i="15"/>
  <c r="H25" i="15"/>
  <c r="H26" i="15"/>
  <c r="H27" i="15"/>
  <c r="H18" i="15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G19" i="15"/>
  <c r="E19" i="15"/>
  <c r="F19" i="15" s="1"/>
  <c r="G18" i="15"/>
  <c r="E18" i="15"/>
  <c r="F18" i="15" s="1"/>
  <c r="D25" i="14"/>
  <c r="C25" i="14"/>
  <c r="B25" i="14"/>
  <c r="D26" i="13"/>
  <c r="C26" i="13"/>
  <c r="B26" i="13"/>
  <c r="P23" i="13"/>
  <c r="O23" i="13"/>
  <c r="N23" i="13"/>
  <c r="M23" i="13"/>
  <c r="L23" i="13"/>
  <c r="K23" i="13"/>
  <c r="J23" i="13"/>
  <c r="I23" i="13"/>
  <c r="P22" i="13"/>
  <c r="O22" i="13"/>
  <c r="N22" i="13"/>
  <c r="M22" i="13"/>
  <c r="L22" i="13"/>
  <c r="K22" i="13"/>
  <c r="J22" i="13"/>
  <c r="I22" i="13"/>
  <c r="P21" i="13"/>
  <c r="O21" i="13"/>
  <c r="N21" i="13"/>
  <c r="M21" i="13"/>
  <c r="L21" i="13"/>
  <c r="K21" i="13"/>
  <c r="J21" i="13"/>
  <c r="I21" i="13"/>
  <c r="P20" i="13"/>
  <c r="O20" i="13"/>
  <c r="N20" i="13"/>
  <c r="M20" i="13"/>
  <c r="L20" i="13"/>
  <c r="K20" i="13"/>
  <c r="J20" i="13"/>
  <c r="I20" i="13"/>
  <c r="P19" i="13"/>
  <c r="O19" i="13"/>
  <c r="N19" i="13"/>
  <c r="M19" i="13"/>
  <c r="L19" i="13"/>
  <c r="K19" i="13"/>
  <c r="J19" i="13"/>
  <c r="I19" i="13"/>
  <c r="P18" i="13"/>
  <c r="O18" i="13"/>
  <c r="N18" i="13"/>
  <c r="M18" i="13"/>
  <c r="L18" i="13"/>
  <c r="K18" i="13"/>
  <c r="J18" i="13"/>
  <c r="I18" i="13"/>
  <c r="P17" i="13"/>
  <c r="O17" i="13"/>
  <c r="N17" i="13"/>
  <c r="M17" i="13"/>
  <c r="L17" i="13"/>
  <c r="K17" i="13"/>
  <c r="J17" i="13"/>
  <c r="I17" i="13"/>
  <c r="P16" i="13"/>
  <c r="O16" i="13"/>
  <c r="N16" i="13"/>
  <c r="M16" i="13"/>
  <c r="L16" i="13"/>
  <c r="K16" i="13"/>
  <c r="J16" i="13"/>
  <c r="I16" i="13"/>
  <c r="P15" i="13"/>
  <c r="O15" i="13"/>
  <c r="N15" i="13"/>
  <c r="M15" i="13"/>
  <c r="L15" i="13"/>
  <c r="K15" i="13"/>
  <c r="J15" i="13"/>
  <c r="I15" i="13"/>
  <c r="P14" i="13"/>
  <c r="O14" i="13"/>
  <c r="N14" i="13"/>
  <c r="M14" i="13"/>
  <c r="L14" i="13"/>
  <c r="K14" i="13"/>
  <c r="J14" i="13"/>
  <c r="I14" i="13"/>
  <c r="E14" i="11"/>
  <c r="E15" i="11"/>
  <c r="E16" i="11"/>
  <c r="E17" i="11"/>
  <c r="E13" i="11"/>
  <c r="E7" i="11"/>
  <c r="E6" i="11"/>
  <c r="E7" i="1" l="1"/>
  <c r="E6" i="1"/>
</calcChain>
</file>

<file path=xl/comments1.xml><?xml version="1.0" encoding="utf-8"?>
<comments xmlns="http://schemas.openxmlformats.org/spreadsheetml/2006/main">
  <authors>
    <author>jojansse</author>
  </authors>
  <commentList>
    <comment ref="A1" authorId="0" shapeId="0">
      <text>
        <r>
          <rPr>
            <sz val="9"/>
            <color indexed="81"/>
            <rFont val="Segoe UI"/>
            <family val="2"/>
          </rPr>
          <t>Die Werte der Zellen sollen/brauchen nicht verändert werden!</t>
        </r>
      </text>
    </comment>
  </commentList>
</comments>
</file>

<file path=xl/comments2.xml><?xml version="1.0" encoding="utf-8"?>
<comments xmlns="http://schemas.openxmlformats.org/spreadsheetml/2006/main">
  <authors>
    <author>jojansse</author>
  </authors>
  <commentList>
    <comment ref="L3" authorId="0" shapeId="0">
      <text>
        <r>
          <rPr>
            <sz val="9"/>
            <color indexed="81"/>
            <rFont val="Segoe UI"/>
            <family val="2"/>
          </rPr>
          <t>Rechtsklick auf das Tabellenblatt und "Blattschutz aufheben" wählen</t>
        </r>
      </text>
    </comment>
    <comment ref="H4" authorId="0" shapeId="0">
      <text>
        <r>
          <rPr>
            <sz val="9"/>
            <color indexed="81"/>
            <rFont val="Segoe UI"/>
            <family val="2"/>
          </rPr>
          <t>Einblenden:
Rechtsklick auf ein Tabellenblatt und einblenden</t>
        </r>
      </text>
    </comment>
    <comment ref="J7" authorId="0" shapeId="0">
      <text>
        <r>
          <rPr>
            <sz val="9"/>
            <color indexed="81"/>
            <rFont val="Segoe UI"/>
            <family val="2"/>
          </rPr>
          <t xml:space="preserve">Dafür kann z.B. die WENN Funktion verwendet werden. </t>
        </r>
      </text>
    </comment>
  </commentList>
</comments>
</file>

<file path=xl/sharedStrings.xml><?xml version="1.0" encoding="utf-8"?>
<sst xmlns="http://schemas.openxmlformats.org/spreadsheetml/2006/main" count="8185" uniqueCount="229">
  <si>
    <t>Hallo, Willkommen bei dem Excel-Einstufungs-Test. Lass uns herausfinden, was du kannst und wo du dich noch verbessern kannst.</t>
  </si>
  <si>
    <t>Spalte1</t>
  </si>
  <si>
    <t>Spalte2</t>
  </si>
  <si>
    <t>Spalte3</t>
  </si>
  <si>
    <t>Spalte4</t>
  </si>
  <si>
    <t>Summe</t>
  </si>
  <si>
    <t>Quartal1</t>
  </si>
  <si>
    <t>Quartal2</t>
  </si>
  <si>
    <t>Quartal3</t>
  </si>
  <si>
    <t>Quartal4</t>
  </si>
  <si>
    <t>In den Zeilen 11-16 sind ein paar Daten, die von einem Mitarbeiter schlecht formatiert wurden. Passe diese bitte dem folgenden Design an.</t>
  </si>
  <si>
    <t>Zudem soll in der letzten Spalte jeweils das Ergebnis der vier Quartale aufsummiert werden. Benutze dafür eine Funktion von Excel.</t>
  </si>
  <si>
    <t>Super, du hast die erste Aufgabe geschafft.</t>
  </si>
  <si>
    <t>Die Zellen sollen als Zahlenformat Währung dargestellt werden.</t>
  </si>
  <si>
    <t>ja</t>
  </si>
  <si>
    <t>Datum</t>
  </si>
  <si>
    <t>Stück</t>
  </si>
  <si>
    <t>Retour</t>
  </si>
  <si>
    <t>Retourenquote</t>
  </si>
  <si>
    <t>Tagesumsatz netto</t>
  </si>
  <si>
    <t>Tagesumsatz brutto</t>
  </si>
  <si>
    <t>Stück ohne Retour</t>
  </si>
  <si>
    <t>Umsatz/Stück brutto</t>
  </si>
  <si>
    <t>Du hast die Aufgabe bekommen, die Liste rechts in Excel zu übertragen und mit diesen Daten einige Auswertungen vorzunehmen</t>
  </si>
  <si>
    <t>Dazu sollst du die vorgefertige Liste verwenden und die Werte eintragen bzw. berechnen lassen</t>
  </si>
  <si>
    <t>Hotelname</t>
  </si>
  <si>
    <t>Zimmer</t>
  </si>
  <si>
    <t>Preis per Nacht</t>
  </si>
  <si>
    <t>Rabatt ab 7 Tagen</t>
  </si>
  <si>
    <t>Frühstück</t>
  </si>
  <si>
    <t>Parkhaus</t>
  </si>
  <si>
    <t>Sterne</t>
  </si>
  <si>
    <t>WLAN</t>
  </si>
  <si>
    <t>ABC-Hotel</t>
  </si>
  <si>
    <t>Hotel de Luxe</t>
  </si>
  <si>
    <t>Hotel ohne Namen</t>
  </si>
  <si>
    <t>Hotel am Hafen</t>
  </si>
  <si>
    <t>Alsterblick Hotel</t>
  </si>
  <si>
    <t>Design Hotel lorem ipsum</t>
  </si>
  <si>
    <t>Zum goldenen Geier</t>
  </si>
  <si>
    <t>Cheap Cheap - Bird Hotel</t>
  </si>
  <si>
    <t>All You Can Sleep Hotel</t>
  </si>
  <si>
    <t>Excellence Hotel Hamburg</t>
  </si>
  <si>
    <t>nein</t>
  </si>
  <si>
    <t>Kollege A</t>
  </si>
  <si>
    <t>max. Raumzahl</t>
  </si>
  <si>
    <t>bleibt Tage</t>
  </si>
  <si>
    <t>Reisebudget</t>
  </si>
  <si>
    <t>Kollege B</t>
  </si>
  <si>
    <t>Kollege C</t>
  </si>
  <si>
    <t>Preis für Nächte</t>
  </si>
  <si>
    <t>braucht Parkhaus</t>
  </si>
  <si>
    <t>braucht Frühstück</t>
  </si>
  <si>
    <t>Deine Kollegin plant einen Besuch für Kollegen eines anderen Standorts und hat anscheinend zu viel Zeit. Deswegen hat sie eine Liste mit Hotels und deren Eigenschaften erstellt.</t>
  </si>
  <si>
    <t>Wenn, und</t>
  </si>
  <si>
    <t>Um die Tabelle zu bearbeiten, musst du den Schutz des Blattes aufheben. Die Kollegin hat das unsichere und einfallslose, aber immerhin leicht zu merkende Passwort "bonprix" gewählt.</t>
  </si>
  <si>
    <t>Für 5 verschiedene Kolleginnen hat sie Ansprüche an die Hotels gesammelt und diese in dem Tabellenblatt Aufgabe4 notiert.</t>
  </si>
  <si>
    <t>Zunächst sollst du für jedes Hotel für eine bis zu acht Nächten den Gesamtpreis ausrechnen.</t>
  </si>
  <si>
    <t>Manche Hotels bieten bei einer Verweildauer von sieben oder mehr Tagen einen Rabatt in Höhe des Preises einer Nacht an. Dieses sollte mit berechnet werden.</t>
  </si>
  <si>
    <t>Anschließend sollst du in der unteren Hotel-Liste auswerten, welche Hotels für jede Kollegin in Frage kommen. Nutze dazu die Wenn funktion und die und funktion und beziehe dich direkt auf die Werte aus dem Blatt "Aufgabe4".</t>
  </si>
  <si>
    <t>Anschließend sollst du in der unteren Hotel-Liste auswerten, welche Hotels für jede Kollegin in Frage kommen. Nutze dazu die WENN-Funktion und die UND-Funktion und beziehe dich direkt auf die Werte aus dem Blatt "Aufgabe4".</t>
  </si>
  <si>
    <t>Um es dir einfacher zu machen, denke an relative und absolute Bezüge.</t>
  </si>
  <si>
    <r>
      <rPr>
        <b/>
        <sz val="11"/>
        <color theme="1"/>
        <rFont val="Calibri"/>
        <family val="2"/>
        <scheme val="minor"/>
      </rPr>
      <t>Datum:</t>
    </r>
    <r>
      <rPr>
        <sz val="11"/>
        <color theme="1"/>
        <rFont val="Calibri"/>
        <family val="2"/>
        <scheme val="minor"/>
      </rPr>
      <t xml:space="preserve"> Soll einfach übernommen werden. (Auto-Funktion verwenden)</t>
    </r>
  </si>
  <si>
    <r>
      <rPr>
        <b/>
        <sz val="11"/>
        <color theme="1"/>
        <rFont val="Calibri"/>
        <family val="2"/>
        <scheme val="minor"/>
      </rPr>
      <t>Stück:</t>
    </r>
    <r>
      <rPr>
        <sz val="11"/>
        <color theme="1"/>
        <rFont val="Calibri"/>
        <family val="2"/>
        <scheme val="minor"/>
      </rPr>
      <t xml:space="preserve"> Soll einfach übernommen werden</t>
    </r>
  </si>
  <si>
    <r>
      <rPr>
        <b/>
        <sz val="11"/>
        <color theme="1"/>
        <rFont val="Calibri"/>
        <family val="2"/>
        <scheme val="minor"/>
      </rPr>
      <t>Retour:</t>
    </r>
    <r>
      <rPr>
        <sz val="11"/>
        <color theme="1"/>
        <rFont val="Calibri"/>
        <family val="2"/>
        <scheme val="minor"/>
      </rPr>
      <t xml:space="preserve"> Soll einfach übernommen werden</t>
    </r>
  </si>
  <si>
    <r>
      <rPr>
        <b/>
        <sz val="11"/>
        <color theme="1"/>
        <rFont val="Calibri"/>
        <family val="2"/>
        <scheme val="minor"/>
      </rPr>
      <t>Tagesumsatz brutto:</t>
    </r>
    <r>
      <rPr>
        <sz val="11"/>
        <color theme="1"/>
        <rFont val="Calibri"/>
        <family val="2"/>
        <scheme val="minor"/>
      </rPr>
      <t xml:space="preserve"> Soll einfach übernommen werden</t>
    </r>
  </si>
  <si>
    <r>
      <rPr>
        <b/>
        <sz val="11"/>
        <color theme="1"/>
        <rFont val="Calibri"/>
        <family val="2"/>
        <scheme val="minor"/>
      </rPr>
      <t xml:space="preserve">Stück ohne Retour: </t>
    </r>
    <r>
      <rPr>
        <sz val="11"/>
        <color theme="1"/>
        <rFont val="Calibri"/>
        <family val="2"/>
        <scheme val="minor"/>
      </rPr>
      <t>Soll für jeden Tag die tatsächliche Stückzahl (Stück - Retouren) ausgeben</t>
    </r>
  </si>
  <si>
    <r>
      <rPr>
        <b/>
        <sz val="11"/>
        <color theme="1"/>
        <rFont val="Calibri"/>
        <family val="2"/>
        <scheme val="minor"/>
      </rPr>
      <t xml:space="preserve">Umsatz/Stück brutto: </t>
    </r>
    <r>
      <rPr>
        <sz val="11"/>
        <color theme="1"/>
        <rFont val="Calibri"/>
        <family val="2"/>
        <scheme val="minor"/>
      </rPr>
      <t>Soll den Umsatz auf die tatsächliche Stückzahl berechnen (Format: in € mit zwei Nachkommastellen)</t>
    </r>
  </si>
  <si>
    <r>
      <rPr>
        <b/>
        <sz val="11"/>
        <color theme="1"/>
        <rFont val="Calibri"/>
        <family val="2"/>
        <scheme val="minor"/>
      </rPr>
      <t xml:space="preserve">Retourenquote: </t>
    </r>
    <r>
      <rPr>
        <sz val="11"/>
        <color theme="1"/>
        <rFont val="Calibri"/>
        <family val="2"/>
        <scheme val="minor"/>
      </rPr>
      <t>Prozentzahl, die angibt, wie viel der gesamten Stück retourniert wurden</t>
    </r>
  </si>
  <si>
    <r>
      <rPr>
        <b/>
        <sz val="11"/>
        <color theme="1"/>
        <rFont val="Calibri"/>
        <family val="2"/>
        <scheme val="minor"/>
      </rPr>
      <t>Tagesumsatz netto:</t>
    </r>
    <r>
      <rPr>
        <sz val="11"/>
        <color theme="1"/>
        <rFont val="Calibri"/>
        <family val="2"/>
        <scheme val="minor"/>
      </rPr>
      <t xml:space="preserve"> Gibt den tatsächlichen Umsatz in Abhängigkeit des Wertes von G3 an (= brutto / (100% + USt))</t>
    </r>
  </si>
  <si>
    <t>Zudem sollen zwei einfache Diagramme angezeigt werden. Das erste soll ein Liniendiagramm sein, welches den zeitlichen Verlauf des Bruttoumsatzes anzeigt.</t>
  </si>
  <si>
    <t>Das zweite Diagramm soll ein kombiniertes Säulen und Liniendiagramm sein: Umsatz/Stück als Säulen und Retourenquote als Linie. Dazu sind zwei Y-Achsen zu verwenden</t>
  </si>
  <si>
    <t>Navigation zwischen direkt benachbarten Zellen</t>
  </si>
  <si>
    <t>mit Pfeiltasten</t>
  </si>
  <si>
    <t>Bildschirmseiten auf- / abwärts</t>
  </si>
  <si>
    <r>
      <t xml:space="preserve">Bild ↑, Bild </t>
    </r>
    <r>
      <rPr>
        <sz val="11"/>
        <color theme="1"/>
        <rFont val="Calibri"/>
        <family val="2"/>
      </rPr>
      <t>↓</t>
    </r>
  </si>
  <si>
    <t>Strg + Pfeiltaste</t>
  </si>
  <si>
    <t>An das Ende/den Anfang einer Tabelle springen</t>
  </si>
  <si>
    <t>An das Ende eines Tabellenblatts springen</t>
  </si>
  <si>
    <t>Strg + Ende</t>
  </si>
  <si>
    <t>An den Anfang eines Tabellenblatts springen</t>
  </si>
  <si>
    <t>Strg + Pos1</t>
  </si>
  <si>
    <t>Zusammenhängende Zellen markieren</t>
  </si>
  <si>
    <t>Umschalt gedrückt halten + Pfeiltasten</t>
  </si>
  <si>
    <t>Zusammenhängende Bereiche markieren</t>
  </si>
  <si>
    <t>Strg + Umschalt + Pfeiltasten</t>
  </si>
  <si>
    <t>Ich kann…</t>
  </si>
  <si>
    <t>Diagramme formatieren</t>
  </si>
  <si>
    <t>einen Druckbereich festlegen</t>
  </si>
  <si>
    <t>Autosumme verwenden (Summe, Mittelwert etc.)</t>
  </si>
  <si>
    <t>Benutzerdefinierte Formate verwenden</t>
  </si>
  <si>
    <t>Verkäufer</t>
  </si>
  <si>
    <t>Produkte</t>
  </si>
  <si>
    <t>Umsatz</t>
  </si>
  <si>
    <t>Region</t>
  </si>
  <si>
    <t>Hr. Sommer</t>
  </si>
  <si>
    <t>Fr. Frühling</t>
  </si>
  <si>
    <t>Hr. Herbst</t>
  </si>
  <si>
    <t>Fr. Winter</t>
  </si>
  <si>
    <t>Ost</t>
  </si>
  <si>
    <t>West</t>
  </si>
  <si>
    <t>Süd</t>
  </si>
  <si>
    <t>Nord</t>
  </si>
  <si>
    <t>(Hint: Wenn du in der einen Bereich mit Zahlen markierst, werden dir unter anderem auch diese Werte in der Fußzeile angegeben, mit Rechtsklick kannst du einstellen, welche Werte angezeigt werden sollen)</t>
  </si>
  <si>
    <t>Was ist der Median der Produkte?</t>
  </si>
  <si>
    <t>Was ist der Mittelwert der Produkte?</t>
  </si>
  <si>
    <t>Was ist der Median des Umsatzes?</t>
  </si>
  <si>
    <t>Was ist der Mittelwert des Umsatzes?</t>
  </si>
  <si>
    <t>Wie viel Produkte wurden minimal verkauft?</t>
  </si>
  <si>
    <t>Wann war das?</t>
  </si>
  <si>
    <t>Wie viel Produkte wurden maximal verkauft?</t>
  </si>
  <si>
    <t>Welcher Verkäufer hat die meisten Produkte verkauft?</t>
  </si>
  <si>
    <t>Wie viele Umsatz hat Hr. Sommer erzielt?</t>
  </si>
  <si>
    <t>Wie viele Umsatz hat Fr. Frühling erzielt?</t>
  </si>
  <si>
    <t>Wie viele Umsatz hat Fr. Winter erzielt?</t>
  </si>
  <si>
    <t>Wie viele Umsatz hat Hr. Herbst erzielt?</t>
  </si>
  <si>
    <t>Verwende die bedingte Formatierung, um die Spalten Produkte und Umsatz mit der Grün-Gelb-Rot skala schnell und einfach zu visualisieren.</t>
  </si>
  <si>
    <t>Wie viel Umsatz wurde an diesem Tag erzielt?</t>
  </si>
  <si>
    <t>Wie hoch ist der größte Gesamtumsatz einer Region?</t>
  </si>
  <si>
    <t>Country</t>
  </si>
  <si>
    <t>Campaign ID</t>
  </si>
  <si>
    <t>Campaign Name</t>
  </si>
  <si>
    <t>Day</t>
  </si>
  <si>
    <t>Currency</t>
  </si>
  <si>
    <t>Views</t>
  </si>
  <si>
    <t>CTR</t>
  </si>
  <si>
    <t>Clicks</t>
  </si>
  <si>
    <t>CPC</t>
  </si>
  <si>
    <t>ECPM</t>
  </si>
  <si>
    <t>Sales</t>
  </si>
  <si>
    <t>Sales ND</t>
  </si>
  <si>
    <t>CVR</t>
  </si>
  <si>
    <t>Revenue</t>
  </si>
  <si>
    <t>Avg. Cart</t>
  </si>
  <si>
    <t>Cost</t>
  </si>
  <si>
    <t>COS</t>
  </si>
  <si>
    <t xml:space="preserve">Bonprix Germany </t>
  </si>
  <si>
    <t>Facebook</t>
  </si>
  <si>
    <t>EUR</t>
  </si>
  <si>
    <t>Abandoned Cart</t>
  </si>
  <si>
    <t>Buyers</t>
  </si>
  <si>
    <t>Neukunden</t>
  </si>
  <si>
    <t>Mobile</t>
  </si>
  <si>
    <t>Midfunnel Neukunden</t>
  </si>
  <si>
    <t>Midfunnel Buyers</t>
  </si>
  <si>
    <t>App Retargeting Android</t>
  </si>
  <si>
    <t>APP Retargeting</t>
  </si>
  <si>
    <t>Video</t>
  </si>
  <si>
    <t>Logische Funktionen verwenden (WENN, UND, ODER)</t>
  </si>
  <si>
    <t>Modell A</t>
  </si>
  <si>
    <t>Modell B</t>
  </si>
  <si>
    <t>Modell C</t>
  </si>
  <si>
    <t>Jahr</t>
  </si>
  <si>
    <t>Anzahl Touristen</t>
  </si>
  <si>
    <t>Durchschnittstemperatur</t>
  </si>
  <si>
    <t>Wahlen der beliebtesten Getränke</t>
  </si>
  <si>
    <t>Cola</t>
  </si>
  <si>
    <t>Mineralwasser</t>
  </si>
  <si>
    <t>Fruchtsaftgetränke</t>
  </si>
  <si>
    <t>Kaffee</t>
  </si>
  <si>
    <t>Pils</t>
  </si>
  <si>
    <t>Tee</t>
  </si>
  <si>
    <t>Rotwein</t>
  </si>
  <si>
    <t>Weißwein</t>
  </si>
  <si>
    <t>Sekt</t>
  </si>
  <si>
    <t>Limonaden</t>
  </si>
  <si>
    <t>Joghurtgetränke</t>
  </si>
  <si>
    <t>Weizenbier</t>
  </si>
  <si>
    <t>Alkoholfreies Bier</t>
  </si>
  <si>
    <t>Eistee</t>
  </si>
  <si>
    <t>Energy Drinks</t>
  </si>
  <si>
    <t>Kakao</t>
  </si>
  <si>
    <t>Kräuterlikör</t>
  </si>
  <si>
    <t>SPD</t>
  </si>
  <si>
    <t>CDU</t>
  </si>
  <si>
    <t>GRÜNE</t>
  </si>
  <si>
    <t>DIE LINKE</t>
  </si>
  <si>
    <t>FDP</t>
  </si>
  <si>
    <t>AfD</t>
  </si>
  <si>
    <t>NPD</t>
  </si>
  <si>
    <t>Die PARTEI</t>
  </si>
  <si>
    <t>FREIE WÄHLER</t>
  </si>
  <si>
    <t>ÖDP</t>
  </si>
  <si>
    <t>Tierschutzpartei</t>
  </si>
  <si>
    <t>Ergebnisse Landtagswahlen Hamburg 2017 Zweitstimmen</t>
  </si>
  <si>
    <t>BGE</t>
  </si>
  <si>
    <t>DKP</t>
  </si>
  <si>
    <r>
      <t>V-Partei</t>
    </r>
    <r>
      <rPr>
        <vertAlign val="superscript"/>
        <sz val="11"/>
        <color theme="1"/>
        <rFont val="Calibri"/>
        <family val="2"/>
        <scheme val="minor"/>
      </rPr>
      <t>3</t>
    </r>
  </si>
  <si>
    <t>Date</t>
  </si>
  <si>
    <t>Orders 2017</t>
  </si>
  <si>
    <t>Orders 2018</t>
  </si>
  <si>
    <t xml:space="preserve">Reale Daten aus Tracy </t>
  </si>
  <si>
    <t>In dieser Aufgabe geht es darum, einige Funktionen auf Listen anzuwenden. Dazu gehören z.B. die Median-Funktion oder auch der SVERWEIS.</t>
  </si>
  <si>
    <t>Die Diagramme sollten (theoretisch, du musst die jetzt nicht ausdrucken) ausgedruckt werden. Die Tabellen daneben sollen nicht gedruckt werden.</t>
  </si>
  <si>
    <t>Lege also bitte noch den Druckbereich fest und erstelle die Diagramme in den jeweils farbig hinterlegten Bereichen</t>
  </si>
  <si>
    <t>Hier darfst du nun noch deiner "Kreativität" freien Lauf lassen. Gefordert sind verschiedene Diagrammtypen. Rechts siehst du die Mustervorlage.</t>
  </si>
  <si>
    <t>WORK IN PROGRESS</t>
  </si>
  <si>
    <t>In folgendem Feld soll die Umsatzsteuer von 19 % stehen. Trage diese bitte in das rot markierte Feld ein</t>
  </si>
  <si>
    <t>Zieldesign</t>
  </si>
  <si>
    <t>Absoluten/Relativen Wert/Zeile/Spalte ändern</t>
  </si>
  <si>
    <t>F4</t>
  </si>
  <si>
    <t>Tabellenblätter sperren/entsperren</t>
  </si>
  <si>
    <t>Tabellenblätter ausblenden/einblenden</t>
  </si>
  <si>
    <t>Durchschnitts-temperatur</t>
  </si>
  <si>
    <t>In den Zeilen 11-16 sind ein paar Daten, die von einem Mitarbeiter schlecht formatiert wurden. Passe diese bitte dem folgenden Format an.</t>
  </si>
  <si>
    <t>Die untere Tabelle soll, die gleichen Rahmen, Füllungen und Zahlen/Textformate wie die obere Tabelle haben.</t>
  </si>
  <si>
    <t>Die Spaltenüberschriften sind für vier Quartale, die letzte Spalte enthält die Summe aller Quartale.</t>
  </si>
  <si>
    <t>Dazu sollst du die vorgefertige Liste verwenden und die Werte einzutragen bzw. berechnen lassen</t>
  </si>
  <si>
    <t>Beantworte dazu einfach die Fragen, indem du eine Formel in die rot umrahmten Zellen einträgst.</t>
  </si>
  <si>
    <t>Zahlenformate einstellen (Zahl, Währung, Datum etc.)</t>
  </si>
  <si>
    <t>Zelleninhalte löschen</t>
  </si>
  <si>
    <t>Ich weiß…</t>
  </si>
  <si>
    <t>Autoausfüllen verwenden (automatische Reihen erzeugen)</t>
  </si>
  <si>
    <t>Doppelklick zwischen zwei Spalten oder Zeilen</t>
  </si>
  <si>
    <t>Spaltenbreite/Zeilenhöhe automatisch optimieren</t>
  </si>
  <si>
    <t>Zellen/Spalten/Reihen einfügen</t>
  </si>
  <si>
    <t>Zellen/Spalten/Reihen löschen</t>
  </si>
  <si>
    <t>Bedingte Formatierungen erstellen</t>
  </si>
  <si>
    <t>Bedingte Formatierungen entfernen/ändern</t>
  </si>
  <si>
    <t>wie absoluter und relativer Bezug funktionieren</t>
  </si>
  <si>
    <t>dass es verschiedene Fehlermeldungen gibt</t>
  </si>
  <si>
    <t>Zellen formatieren (Schriftart, Schriftfarbe, Rahmen, Füllung etc.)</t>
  </si>
  <si>
    <t>verschiedene Diagramme einfügen (Linie, Punkt, XY, Torte, Balken)</t>
  </si>
  <si>
    <t>einfache mathematische Funktionen verwenden</t>
  </si>
  <si>
    <t>dass Einheiten (Währungen etc) durch das Zahlenformat eingestellt werden</t>
  </si>
  <si>
    <t>Tabellen filtern</t>
  </si>
  <si>
    <t>Tabellen sortieren</t>
  </si>
  <si>
    <r>
      <rPr>
        <b/>
        <sz val="11"/>
        <color theme="1"/>
        <rFont val="Calibri"/>
        <family val="2"/>
        <scheme val="minor"/>
      </rPr>
      <t xml:space="preserve">Umsatz/Stück brutto: </t>
    </r>
    <r>
      <rPr>
        <sz val="11"/>
        <color theme="1"/>
        <rFont val="Calibri"/>
        <family val="2"/>
        <scheme val="minor"/>
      </rPr>
      <t>Soll den Umsatz pro Einheit für die tatsächliche Stückzahl berechnen (Format: in € mit zwei Nachkommastellen)</t>
    </r>
  </si>
  <si>
    <t>den Unterschied zwischen verschiedenen Einfüge-Optionen (nur Werte, Formel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</si>
</sst>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8" formatCode="#,##0.00\ &quot;€&quot;;[Red]\-#,##0.00\ &quot;€&quot;"/>
    <numFmt numFmtId="164" formatCode="#,##0.00\ &quot;€&quot;"/>
    <numFmt numFmtId="165" formatCode="ddd\ m/d/yyyy"/>
    <numFmt numFmtId="166" formatCode="#,##0.00%"/>
    <numFmt numFmtId="167" formatCode="[$€]#,##0.00"/>
    <numFmt numFmtId="168" formatCode="0.00\ \°\C"/>
    <numFmt numFmtId="169" formatCode="0.0%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sz val="11"/>
      <color theme="1"/>
      <name val="Calibri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CECF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12" fillId="0" borderId="0"/>
  </cellStyleXfs>
  <cellXfs count="119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6" xfId="0" applyNumberFormat="1" applyBorder="1"/>
    <xf numFmtId="164" fontId="0" fillId="0" borderId="2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1" xfId="0" applyNumberFormat="1" applyBorder="1"/>
    <xf numFmtId="164" fontId="0" fillId="0" borderId="9" xfId="0" applyNumberFormat="1" applyBorder="1"/>
    <xf numFmtId="0" fontId="2" fillId="0" borderId="0" xfId="0" applyFont="1"/>
    <xf numFmtId="0" fontId="3" fillId="0" borderId="0" xfId="0" applyFont="1"/>
    <xf numFmtId="14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4" fillId="0" borderId="0" xfId="0" applyFont="1"/>
    <xf numFmtId="0" fontId="5" fillId="0" borderId="0" xfId="0" applyFont="1"/>
    <xf numFmtId="0" fontId="0" fillId="4" borderId="10" xfId="0" applyFill="1" applyBorder="1"/>
    <xf numFmtId="0" fontId="6" fillId="0" borderId="10" xfId="0" applyFont="1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0" applyFont="1" applyBorder="1"/>
    <xf numFmtId="10" fontId="0" fillId="0" borderId="14" xfId="0" applyNumberFormat="1" applyBorder="1"/>
    <xf numFmtId="49" fontId="0" fillId="0" borderId="15" xfId="0" applyNumberFormat="1" applyBorder="1"/>
    <xf numFmtId="0" fontId="0" fillId="0" borderId="16" xfId="0" applyBorder="1"/>
    <xf numFmtId="16" fontId="0" fillId="0" borderId="0" xfId="0" applyNumberFormat="1"/>
    <xf numFmtId="8" fontId="0" fillId="0" borderId="0" xfId="0" applyNumberFormat="1"/>
    <xf numFmtId="1" fontId="0" fillId="0" borderId="0" xfId="0" applyNumberFormat="1"/>
    <xf numFmtId="9" fontId="0" fillId="0" borderId="0" xfId="1" applyFont="1"/>
    <xf numFmtId="164" fontId="0" fillId="0" borderId="0" xfId="0" applyNumberFormat="1"/>
    <xf numFmtId="0" fontId="0" fillId="0" borderId="17" xfId="0" applyBorder="1"/>
    <xf numFmtId="0" fontId="8" fillId="0" borderId="0" xfId="0" applyFont="1"/>
    <xf numFmtId="0" fontId="0" fillId="0" borderId="22" xfId="0" applyBorder="1"/>
    <xf numFmtId="0" fontId="0" fillId="0" borderId="21" xfId="0" applyBorder="1"/>
    <xf numFmtId="0" fontId="0" fillId="0" borderId="24" xfId="0" applyBorder="1"/>
    <xf numFmtId="0" fontId="0" fillId="0" borderId="25" xfId="0" applyBorder="1"/>
    <xf numFmtId="0" fontId="0" fillId="0" borderId="23" xfId="0" applyBorder="1"/>
    <xf numFmtId="0" fontId="8" fillId="0" borderId="24" xfId="0" applyFont="1" applyBorder="1"/>
    <xf numFmtId="0" fontId="8" fillId="0" borderId="25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4" fontId="0" fillId="5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9" fontId="0" fillId="7" borderId="0" xfId="0" applyNumberFormat="1" applyFill="1"/>
    <xf numFmtId="16" fontId="0" fillId="7" borderId="0" xfId="0" applyNumberFormat="1" applyFill="1"/>
    <xf numFmtId="8" fontId="0" fillId="7" borderId="0" xfId="0" applyNumberFormat="1" applyFill="1"/>
    <xf numFmtId="1" fontId="0" fillId="7" borderId="0" xfId="0" applyNumberFormat="1" applyFill="1"/>
    <xf numFmtId="0" fontId="0" fillId="8" borderId="0" xfId="0" applyFill="1"/>
    <xf numFmtId="164" fontId="0" fillId="8" borderId="0" xfId="0" applyNumberFormat="1" applyFill="1"/>
    <xf numFmtId="9" fontId="0" fillId="0" borderId="17" xfId="1" applyFont="1" applyBorder="1"/>
    <xf numFmtId="0" fontId="0" fillId="0" borderId="0" xfId="0" applyAlignment="1">
      <alignment horizontal="center"/>
    </xf>
    <xf numFmtId="0" fontId="0" fillId="0" borderId="0" xfId="0" applyBorder="1"/>
    <xf numFmtId="164" fontId="0" fillId="0" borderId="17" xfId="0" applyNumberFormat="1" applyBorder="1"/>
    <xf numFmtId="14" fontId="0" fillId="0" borderId="17" xfId="0" applyNumberFormat="1" applyBorder="1"/>
    <xf numFmtId="0" fontId="13" fillId="9" borderId="26" xfId="2" applyFont="1" applyFill="1" applyBorder="1" applyAlignment="1">
      <alignment horizontal="center" vertical="top"/>
    </xf>
    <xf numFmtId="0" fontId="13" fillId="9" borderId="27" xfId="2" applyFont="1" applyFill="1" applyBorder="1" applyAlignment="1">
      <alignment horizontal="center" vertical="top"/>
    </xf>
    <xf numFmtId="0" fontId="13" fillId="9" borderId="28" xfId="2" applyFont="1" applyFill="1" applyBorder="1" applyAlignment="1">
      <alignment horizontal="center" vertical="top"/>
    </xf>
    <xf numFmtId="0" fontId="13" fillId="0" borderId="29" xfId="2" applyFont="1" applyBorder="1" applyAlignment="1">
      <alignment vertical="top"/>
    </xf>
    <xf numFmtId="0" fontId="13" fillId="0" borderId="0" xfId="2" applyFont="1" applyAlignment="1">
      <alignment vertical="top"/>
    </xf>
    <xf numFmtId="165" fontId="13" fillId="0" borderId="0" xfId="2" applyNumberFormat="1" applyFont="1" applyAlignment="1">
      <alignment vertical="top"/>
    </xf>
    <xf numFmtId="3" fontId="13" fillId="0" borderId="0" xfId="2" applyNumberFormat="1" applyFont="1" applyAlignment="1">
      <alignment vertical="top"/>
    </xf>
    <xf numFmtId="166" fontId="13" fillId="0" borderId="0" xfId="2" applyNumberFormat="1" applyFont="1" applyAlignment="1">
      <alignment vertical="top"/>
    </xf>
    <xf numFmtId="167" fontId="13" fillId="0" borderId="0" xfId="2" applyNumberFormat="1" applyFont="1" applyAlignment="1">
      <alignment vertical="top"/>
    </xf>
    <xf numFmtId="166" fontId="13" fillId="0" borderId="30" xfId="2" applyNumberFormat="1" applyFont="1" applyBorder="1" applyAlignment="1">
      <alignment vertical="top"/>
    </xf>
    <xf numFmtId="0" fontId="13" fillId="0" borderId="31" xfId="2" applyFont="1" applyBorder="1" applyAlignment="1">
      <alignment vertical="top"/>
    </xf>
    <xf numFmtId="0" fontId="13" fillId="0" borderId="32" xfId="2" applyFont="1" applyBorder="1" applyAlignment="1">
      <alignment vertical="top"/>
    </xf>
    <xf numFmtId="165" fontId="13" fillId="0" borderId="32" xfId="2" applyNumberFormat="1" applyFont="1" applyBorder="1" applyAlignment="1">
      <alignment vertical="top"/>
    </xf>
    <xf numFmtId="3" fontId="13" fillId="0" borderId="32" xfId="2" applyNumberFormat="1" applyFont="1" applyBorder="1" applyAlignment="1">
      <alignment vertical="top"/>
    </xf>
    <xf numFmtId="166" fontId="13" fillId="0" borderId="32" xfId="2" applyNumberFormat="1" applyFont="1" applyBorder="1" applyAlignment="1">
      <alignment vertical="top"/>
    </xf>
    <xf numFmtId="167" fontId="13" fillId="0" borderId="32" xfId="2" applyNumberFormat="1" applyFont="1" applyBorder="1" applyAlignment="1">
      <alignment vertical="top"/>
    </xf>
    <xf numFmtId="166" fontId="13" fillId="0" borderId="33" xfId="2" applyNumberFormat="1" applyFont="1" applyBorder="1" applyAlignment="1">
      <alignment vertical="top"/>
    </xf>
    <xf numFmtId="0" fontId="13" fillId="0" borderId="0" xfId="2" applyFont="1" applyBorder="1" applyAlignment="1">
      <alignment vertical="top"/>
    </xf>
    <xf numFmtId="166" fontId="13" fillId="0" borderId="0" xfId="2" applyNumberFormat="1" applyFont="1" applyBorder="1" applyAlignment="1">
      <alignment vertical="top"/>
    </xf>
    <xf numFmtId="0" fontId="13" fillId="9" borderId="0" xfId="2" applyFont="1" applyFill="1" applyBorder="1" applyAlignment="1">
      <alignment horizontal="center" vertical="top"/>
    </xf>
    <xf numFmtId="165" fontId="13" fillId="0" borderId="0" xfId="2" applyNumberFormat="1" applyFont="1" applyBorder="1" applyAlignment="1">
      <alignment vertical="top"/>
    </xf>
    <xf numFmtId="3" fontId="13" fillId="0" borderId="0" xfId="2" applyNumberFormat="1" applyFont="1" applyBorder="1" applyAlignment="1">
      <alignment vertical="top"/>
    </xf>
    <xf numFmtId="167" fontId="13" fillId="0" borderId="0" xfId="2" applyNumberFormat="1" applyFont="1" applyBorder="1" applyAlignment="1">
      <alignment vertical="top"/>
    </xf>
    <xf numFmtId="16" fontId="0" fillId="8" borderId="0" xfId="0" applyNumberFormat="1" applyFill="1"/>
    <xf numFmtId="0" fontId="0" fillId="10" borderId="0" xfId="0" applyFill="1"/>
    <xf numFmtId="0" fontId="0" fillId="10" borderId="0" xfId="0" applyFill="1" applyAlignment="1">
      <alignment wrapText="1"/>
    </xf>
    <xf numFmtId="168" fontId="0" fillId="10" borderId="0" xfId="0" applyNumberFormat="1" applyFill="1"/>
    <xf numFmtId="0" fontId="0" fillId="11" borderId="0" xfId="0" applyFill="1"/>
    <xf numFmtId="169" fontId="0" fillId="11" borderId="0" xfId="1" applyNumberFormat="1" applyFont="1" applyFill="1"/>
    <xf numFmtId="16" fontId="0" fillId="5" borderId="0" xfId="0" applyNumberFormat="1" applyFill="1"/>
    <xf numFmtId="3" fontId="0" fillId="5" borderId="0" xfId="0" applyNumberFormat="1" applyFill="1" applyAlignment="1">
      <alignment horizontal="right"/>
    </xf>
    <xf numFmtId="0" fontId="0" fillId="12" borderId="18" xfId="0" applyFill="1" applyBorder="1"/>
    <xf numFmtId="0" fontId="0" fillId="12" borderId="19" xfId="0" applyFill="1" applyBorder="1"/>
    <xf numFmtId="0" fontId="0" fillId="12" borderId="20" xfId="0" applyFill="1" applyBorder="1"/>
    <xf numFmtId="0" fontId="0" fillId="12" borderId="21" xfId="0" applyFill="1" applyBorder="1"/>
    <xf numFmtId="0" fontId="0" fillId="12" borderId="0" xfId="0" applyFill="1" applyBorder="1"/>
    <xf numFmtId="0" fontId="0" fillId="12" borderId="22" xfId="0" applyFill="1" applyBorder="1"/>
    <xf numFmtId="0" fontId="0" fillId="12" borderId="23" xfId="0" applyFill="1" applyBorder="1"/>
    <xf numFmtId="0" fontId="0" fillId="12" borderId="24" xfId="0" applyFill="1" applyBorder="1"/>
    <xf numFmtId="0" fontId="0" fillId="12" borderId="25" xfId="0" applyFill="1" applyBorder="1"/>
    <xf numFmtId="0" fontId="0" fillId="0" borderId="0" xfId="0" applyFill="1"/>
    <xf numFmtId="16" fontId="0" fillId="0" borderId="0" xfId="0" applyNumberFormat="1" applyFill="1"/>
    <xf numFmtId="8" fontId="0" fillId="0" borderId="0" xfId="0" applyNumberFormat="1" applyFill="1"/>
    <xf numFmtId="1" fontId="0" fillId="0" borderId="0" xfId="0" applyNumberFormat="1" applyFill="1"/>
    <xf numFmtId="164" fontId="0" fillId="0" borderId="34" xfId="0" applyNumberFormat="1" applyBorder="1"/>
    <xf numFmtId="164" fontId="9" fillId="0" borderId="35" xfId="0" applyNumberFormat="1" applyFont="1" applyBorder="1"/>
    <xf numFmtId="164" fontId="0" fillId="0" borderId="36" xfId="0" applyNumberFormat="1" applyBorder="1"/>
    <xf numFmtId="164" fontId="9" fillId="0" borderId="37" xfId="0" applyNumberFormat="1" applyFont="1" applyBorder="1"/>
    <xf numFmtId="164" fontId="9" fillId="0" borderId="38" xfId="0" applyNumberFormat="1" applyFont="1" applyBorder="1"/>
    <xf numFmtId="164" fontId="0" fillId="0" borderId="39" xfId="0" applyNumberFormat="1" applyBorder="1"/>
    <xf numFmtId="164" fontId="9" fillId="0" borderId="8" xfId="0" applyNumberFormat="1" applyFont="1" applyBorder="1"/>
    <xf numFmtId="164" fontId="9" fillId="0" borderId="1" xfId="0" applyNumberFormat="1" applyFont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15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12" borderId="0" xfId="0" applyFill="1" applyBorder="1" applyAlignment="1">
      <alignment horizontal="center"/>
    </xf>
  </cellXfs>
  <cellStyles count="3">
    <cellStyle name="Prozent" xfId="1" builtinId="5"/>
    <cellStyle name="Standard" xfId="0" builtinId="0"/>
    <cellStyle name="Standard 7" xfId="2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%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[$€]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[$€]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[$€]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%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[$€]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[$€]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%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ddd\ 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top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DCECF5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CC0000"/>
      <color rgb="FF996633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'Aufgabe2 Lösung'!$F$17</c:f>
              <c:strCache>
                <c:ptCount val="1"/>
                <c:pt idx="0">
                  <c:v>Umsatz/Stück brutto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'Aufgabe2 Lösung'!$A$18:$A$31</c:f>
              <c:strCache>
                <c:ptCount val="13"/>
                <c:pt idx="0">
                  <c:v>01. Apr</c:v>
                </c:pt>
                <c:pt idx="1">
                  <c:v>02. Apr</c:v>
                </c:pt>
                <c:pt idx="2">
                  <c:v>03. Apr</c:v>
                </c:pt>
                <c:pt idx="3">
                  <c:v>04. Apr</c:v>
                </c:pt>
                <c:pt idx="4">
                  <c:v>05. Apr</c:v>
                </c:pt>
                <c:pt idx="5">
                  <c:v>06. Apr</c:v>
                </c:pt>
                <c:pt idx="6">
                  <c:v>07. Apr</c:v>
                </c:pt>
                <c:pt idx="7">
                  <c:v>08. Apr</c:v>
                </c:pt>
                <c:pt idx="8">
                  <c:v>09. Apr</c:v>
                </c:pt>
                <c:pt idx="9">
                  <c:v>10. Apr</c:v>
                </c:pt>
                <c:pt idx="11">
                  <c:v>Zudem sollen zwei einfache Diagramme angezeigt werden. Das erste soll ein Liniendiagramm sein, welches den zeitlichen Verlauf des Bruttoumsatzes anzeigt.</c:v>
                </c:pt>
                <c:pt idx="12">
                  <c:v>Das zweite Diagramm soll ein kombiniertes Säulen und Liniendiagramm sein: Umsatz/Stück als Säulen und Retourenquote als Linie. Dazu sind zwei Y-Achsen zu verwenden</c:v>
                </c:pt>
              </c:strCache>
            </c:strRef>
          </c:cat>
          <c:val>
            <c:numRef>
              <c:f>'Aufgabe2 Lösung'!$F$18:$F$27</c:f>
              <c:numCache>
                <c:formatCode>"€"#,##0.00_);[Red]\("€"#,##0.00\)</c:formatCode>
                <c:ptCount val="10"/>
                <c:pt idx="0">
                  <c:v>3.2142857142857144</c:v>
                </c:pt>
                <c:pt idx="1">
                  <c:v>2.7527272727272729</c:v>
                </c:pt>
                <c:pt idx="2">
                  <c:v>0.36921874999999998</c:v>
                </c:pt>
                <c:pt idx="3">
                  <c:v>3.0165384615384618</c:v>
                </c:pt>
                <c:pt idx="4">
                  <c:v>5.6557142857142866</c:v>
                </c:pt>
                <c:pt idx="5">
                  <c:v>0.9087878787878787</c:v>
                </c:pt>
                <c:pt idx="6">
                  <c:v>0.47222222222222221</c:v>
                </c:pt>
                <c:pt idx="7">
                  <c:v>1.9366666666666665</c:v>
                </c:pt>
                <c:pt idx="8">
                  <c:v>0.28039473684210525</c:v>
                </c:pt>
                <c:pt idx="9">
                  <c:v>2.2939285714285718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3A9-46B8-8C13-E0D8955DF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865288"/>
        <c:axId val="210866856"/>
      </c:barChart>
      <c:lineChart>
        <c:grouping val="standard"/>
        <c:varyColors val="0"/>
        <c:ser>
          <c:idx val="1"/>
          <c:order val="1"/>
          <c:tx>
            <c:strRef>
              <c:f>'Aufgabe2 Lösung'!$G$17</c:f>
              <c:strCache>
                <c:ptCount val="1"/>
                <c:pt idx="0">
                  <c:v>Retourenquote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'Aufgabe2 Lösung'!$A$18:$A$31</c:f>
              <c:strCache>
                <c:ptCount val="13"/>
                <c:pt idx="0">
                  <c:v>01. Apr</c:v>
                </c:pt>
                <c:pt idx="1">
                  <c:v>02. Apr</c:v>
                </c:pt>
                <c:pt idx="2">
                  <c:v>03. Apr</c:v>
                </c:pt>
                <c:pt idx="3">
                  <c:v>04. Apr</c:v>
                </c:pt>
                <c:pt idx="4">
                  <c:v>05. Apr</c:v>
                </c:pt>
                <c:pt idx="5">
                  <c:v>06. Apr</c:v>
                </c:pt>
                <c:pt idx="6">
                  <c:v>07. Apr</c:v>
                </c:pt>
                <c:pt idx="7">
                  <c:v>08. Apr</c:v>
                </c:pt>
                <c:pt idx="8">
                  <c:v>09. Apr</c:v>
                </c:pt>
                <c:pt idx="9">
                  <c:v>10. Apr</c:v>
                </c:pt>
                <c:pt idx="11">
                  <c:v>Zudem sollen zwei einfache Diagramme angezeigt werden. Das erste soll ein Liniendiagramm sein, welches den zeitlichen Verlauf des Bruttoumsatzes anzeigt.</c:v>
                </c:pt>
                <c:pt idx="12">
                  <c:v>Das zweite Diagramm soll ein kombiniertes Säulen und Liniendiagramm sein: Umsatz/Stück als Säulen und Retourenquote als Linie. Dazu sind zwei Y-Achsen zu verwenden</c:v>
                </c:pt>
              </c:strCache>
            </c:strRef>
          </c:cat>
          <c:val>
            <c:numRef>
              <c:f>'Aufgabe2 Lösung'!$G$18:$G$27</c:f>
              <c:numCache>
                <c:formatCode>0%</c:formatCode>
                <c:ptCount val="10"/>
                <c:pt idx="0">
                  <c:v>0.3</c:v>
                </c:pt>
                <c:pt idx="1">
                  <c:v>0.26666666666666666</c:v>
                </c:pt>
                <c:pt idx="2">
                  <c:v>0.17948717948717949</c:v>
                </c:pt>
                <c:pt idx="3">
                  <c:v>7.1428571428571425E-2</c:v>
                </c:pt>
                <c:pt idx="4">
                  <c:v>0.41666666666666669</c:v>
                </c:pt>
                <c:pt idx="5">
                  <c:v>0.4107142857142857</c:v>
                </c:pt>
                <c:pt idx="6">
                  <c:v>0.20588235294117646</c:v>
                </c:pt>
                <c:pt idx="7">
                  <c:v>5.2631578947368418E-2</c:v>
                </c:pt>
                <c:pt idx="8">
                  <c:v>0.26923076923076922</c:v>
                </c:pt>
                <c:pt idx="9">
                  <c:v>0.37777777777777777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3A9-46B8-8C13-E0D8955DF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038048"/>
        <c:axId val="187035304"/>
      </c:lineChart>
      <c:catAx>
        <c:axId val="210865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866856"/>
        <c:crosses val="autoZero"/>
        <c:auto val="1"/>
        <c:lblAlgn val="ctr"/>
        <c:lblOffset val="100"/>
        <c:noMultiLvlLbl val="1"/>
      </c:catAx>
      <c:valAx>
        <c:axId val="21086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865288"/>
        <c:crosses val="autoZero"/>
        <c:crossBetween val="between"/>
      </c:valAx>
      <c:valAx>
        <c:axId val="1870353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7038048"/>
        <c:crosses val="max"/>
        <c:crossBetween val="between"/>
      </c:valAx>
      <c:catAx>
        <c:axId val="187038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7035304"/>
        <c:crosses val="autoZero"/>
        <c:auto val="1"/>
        <c:lblAlgn val="ctr"/>
        <c:lblOffset val="100"/>
        <c:tickLblSkip val="1"/>
        <c:tickMarkSkip val="1"/>
        <c:noMultiLvlLbl val="1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Aufgabe2!$D$17</c:f>
              <c:strCache>
                <c:ptCount val="1"/>
                <c:pt idx="0">
                  <c:v>Tagesumsatz brutto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'Aufgabe2 Lösung'!$A$18:$A$27</c:f>
              <c:numCache>
                <c:formatCode>d\-mmm</c:formatCode>
                <c:ptCount val="10"/>
                <c:pt idx="0">
                  <c:v>43556</c:v>
                </c:pt>
                <c:pt idx="1">
                  <c:v>43557</c:v>
                </c:pt>
                <c:pt idx="2">
                  <c:v>43558</c:v>
                </c:pt>
                <c:pt idx="3">
                  <c:v>43559</c:v>
                </c:pt>
                <c:pt idx="4">
                  <c:v>43560</c:v>
                </c:pt>
                <c:pt idx="5">
                  <c:v>43561</c:v>
                </c:pt>
                <c:pt idx="6">
                  <c:v>43562</c:v>
                </c:pt>
                <c:pt idx="7">
                  <c:v>43563</c:v>
                </c:pt>
                <c:pt idx="8">
                  <c:v>43564</c:v>
                </c:pt>
                <c:pt idx="9">
                  <c:v>43565</c:v>
                </c:pt>
              </c:numCache>
            </c:numRef>
          </c:cat>
          <c:val>
            <c:numRef>
              <c:f>'Aufgabe2 Lösung'!$D$18:$D$27</c:f>
              <c:numCache>
                <c:formatCode>"€"#,##0.00_);[Red]\("€"#,##0.00\)</c:formatCode>
                <c:ptCount val="10"/>
                <c:pt idx="0">
                  <c:v>90</c:v>
                </c:pt>
                <c:pt idx="1">
                  <c:v>60.56</c:v>
                </c:pt>
                <c:pt idx="2">
                  <c:v>23.63</c:v>
                </c:pt>
                <c:pt idx="3">
                  <c:v>78.430000000000007</c:v>
                </c:pt>
                <c:pt idx="4">
                  <c:v>39.590000000000003</c:v>
                </c:pt>
                <c:pt idx="5">
                  <c:v>29.99</c:v>
                </c:pt>
                <c:pt idx="6">
                  <c:v>12.75</c:v>
                </c:pt>
                <c:pt idx="7">
                  <c:v>34.86</c:v>
                </c:pt>
                <c:pt idx="8">
                  <c:v>21.31</c:v>
                </c:pt>
                <c:pt idx="9">
                  <c:v>64.23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31A-424A-962E-AFEC8299A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37656"/>
        <c:axId val="187041184"/>
      </c:lineChart>
      <c:dateAx>
        <c:axId val="1870376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7041184"/>
        <c:crosses val="autoZero"/>
        <c:auto val="1"/>
        <c:lblOffset val="100"/>
        <c:baseTimeUnit val="days"/>
      </c:dateAx>
      <c:valAx>
        <c:axId val="18704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7037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'Aufgabe6 Lösung'!$B$5</c:f>
              <c:strCache>
                <c:ptCount val="1"/>
                <c:pt idx="0">
                  <c:v>Modell A</c:v>
                </c:pt>
              </c:strCache>
            </c:strRef>
          </c:tx>
          <c:spPr>
            <a:ln w="34925" cap="rnd">
              <a:solidFill>
                <a:srgbClr val="C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'Aufgabe6 Lösung'!$A$6:$A$24</c:f>
              <c:numCache>
                <c:formatCode>d\-mmm</c:formatCode>
                <c:ptCount val="19"/>
                <c:pt idx="0">
                  <c:v>43556</c:v>
                </c:pt>
                <c:pt idx="1">
                  <c:v>43557</c:v>
                </c:pt>
                <c:pt idx="2">
                  <c:v>43558</c:v>
                </c:pt>
                <c:pt idx="3">
                  <c:v>43559</c:v>
                </c:pt>
                <c:pt idx="4">
                  <c:v>43560</c:v>
                </c:pt>
                <c:pt idx="5">
                  <c:v>43561</c:v>
                </c:pt>
                <c:pt idx="6">
                  <c:v>43562</c:v>
                </c:pt>
                <c:pt idx="7">
                  <c:v>43563</c:v>
                </c:pt>
                <c:pt idx="8">
                  <c:v>43564</c:v>
                </c:pt>
                <c:pt idx="9">
                  <c:v>43565</c:v>
                </c:pt>
                <c:pt idx="10">
                  <c:v>43566</c:v>
                </c:pt>
                <c:pt idx="11">
                  <c:v>43567</c:v>
                </c:pt>
                <c:pt idx="12">
                  <c:v>43568</c:v>
                </c:pt>
                <c:pt idx="13">
                  <c:v>43569</c:v>
                </c:pt>
                <c:pt idx="14">
                  <c:v>43570</c:v>
                </c:pt>
                <c:pt idx="15">
                  <c:v>43571</c:v>
                </c:pt>
                <c:pt idx="16">
                  <c:v>43572</c:v>
                </c:pt>
                <c:pt idx="17">
                  <c:v>43573</c:v>
                </c:pt>
                <c:pt idx="18">
                  <c:v>43574</c:v>
                </c:pt>
              </c:numCache>
            </c:numRef>
          </c:cat>
          <c:val>
            <c:numRef>
              <c:f>'Aufgabe6 Lösung'!$B$6:$B$24</c:f>
              <c:numCache>
                <c:formatCode>General</c:formatCode>
                <c:ptCount val="19"/>
                <c:pt idx="0">
                  <c:v>54</c:v>
                </c:pt>
                <c:pt idx="1">
                  <c:v>38</c:v>
                </c:pt>
                <c:pt idx="2">
                  <c:v>97</c:v>
                </c:pt>
                <c:pt idx="3">
                  <c:v>40</c:v>
                </c:pt>
                <c:pt idx="4">
                  <c:v>2</c:v>
                </c:pt>
                <c:pt idx="5">
                  <c:v>16</c:v>
                </c:pt>
                <c:pt idx="6">
                  <c:v>88</c:v>
                </c:pt>
                <c:pt idx="7">
                  <c:v>15</c:v>
                </c:pt>
                <c:pt idx="8">
                  <c:v>13</c:v>
                </c:pt>
                <c:pt idx="9">
                  <c:v>38</c:v>
                </c:pt>
                <c:pt idx="10">
                  <c:v>52</c:v>
                </c:pt>
                <c:pt idx="11">
                  <c:v>29</c:v>
                </c:pt>
                <c:pt idx="12">
                  <c:v>59</c:v>
                </c:pt>
                <c:pt idx="13">
                  <c:v>56</c:v>
                </c:pt>
                <c:pt idx="14">
                  <c:v>81</c:v>
                </c:pt>
                <c:pt idx="15">
                  <c:v>20</c:v>
                </c:pt>
                <c:pt idx="16">
                  <c:v>48</c:v>
                </c:pt>
                <c:pt idx="17">
                  <c:v>43</c:v>
                </c:pt>
                <c:pt idx="18">
                  <c:v>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0C-415B-AA05-3B8D902C0C66}"/>
            </c:ext>
          </c:extLst>
        </c:ser>
        <c:ser>
          <c:idx val="1"/>
          <c:order val="1"/>
          <c:tx>
            <c:strRef>
              <c:f>'Aufgabe6 Lösung'!$C$5</c:f>
              <c:strCache>
                <c:ptCount val="1"/>
                <c:pt idx="0">
                  <c:v>Modell B</c:v>
                </c:pt>
              </c:strCache>
            </c:strRef>
          </c:tx>
          <c:spPr>
            <a:ln w="349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'Aufgabe6 Lösung'!$A$6:$A$24</c:f>
              <c:numCache>
                <c:formatCode>d\-mmm</c:formatCode>
                <c:ptCount val="19"/>
                <c:pt idx="0">
                  <c:v>43556</c:v>
                </c:pt>
                <c:pt idx="1">
                  <c:v>43557</c:v>
                </c:pt>
                <c:pt idx="2">
                  <c:v>43558</c:v>
                </c:pt>
                <c:pt idx="3">
                  <c:v>43559</c:v>
                </c:pt>
                <c:pt idx="4">
                  <c:v>43560</c:v>
                </c:pt>
                <c:pt idx="5">
                  <c:v>43561</c:v>
                </c:pt>
                <c:pt idx="6">
                  <c:v>43562</c:v>
                </c:pt>
                <c:pt idx="7">
                  <c:v>43563</c:v>
                </c:pt>
                <c:pt idx="8">
                  <c:v>43564</c:v>
                </c:pt>
                <c:pt idx="9">
                  <c:v>43565</c:v>
                </c:pt>
                <c:pt idx="10">
                  <c:v>43566</c:v>
                </c:pt>
                <c:pt idx="11">
                  <c:v>43567</c:v>
                </c:pt>
                <c:pt idx="12">
                  <c:v>43568</c:v>
                </c:pt>
                <c:pt idx="13">
                  <c:v>43569</c:v>
                </c:pt>
                <c:pt idx="14">
                  <c:v>43570</c:v>
                </c:pt>
                <c:pt idx="15">
                  <c:v>43571</c:v>
                </c:pt>
                <c:pt idx="16">
                  <c:v>43572</c:v>
                </c:pt>
                <c:pt idx="17">
                  <c:v>43573</c:v>
                </c:pt>
                <c:pt idx="18">
                  <c:v>43574</c:v>
                </c:pt>
              </c:numCache>
            </c:numRef>
          </c:cat>
          <c:val>
            <c:numRef>
              <c:f>'Aufgabe6 Lösung'!$C$6:$C$24</c:f>
              <c:numCache>
                <c:formatCode>General</c:formatCode>
                <c:ptCount val="19"/>
                <c:pt idx="0">
                  <c:v>66</c:v>
                </c:pt>
                <c:pt idx="1">
                  <c:v>64</c:v>
                </c:pt>
                <c:pt idx="2">
                  <c:v>67</c:v>
                </c:pt>
                <c:pt idx="3">
                  <c:v>49</c:v>
                </c:pt>
                <c:pt idx="4">
                  <c:v>80</c:v>
                </c:pt>
                <c:pt idx="5">
                  <c:v>41</c:v>
                </c:pt>
                <c:pt idx="6">
                  <c:v>98</c:v>
                </c:pt>
                <c:pt idx="7">
                  <c:v>84</c:v>
                </c:pt>
                <c:pt idx="8">
                  <c:v>51</c:v>
                </c:pt>
                <c:pt idx="9">
                  <c:v>64</c:v>
                </c:pt>
                <c:pt idx="10">
                  <c:v>65</c:v>
                </c:pt>
                <c:pt idx="11">
                  <c:v>73</c:v>
                </c:pt>
                <c:pt idx="12">
                  <c:v>28</c:v>
                </c:pt>
                <c:pt idx="13">
                  <c:v>43</c:v>
                </c:pt>
                <c:pt idx="14">
                  <c:v>16</c:v>
                </c:pt>
                <c:pt idx="15">
                  <c:v>70</c:v>
                </c:pt>
                <c:pt idx="16">
                  <c:v>17</c:v>
                </c:pt>
                <c:pt idx="17">
                  <c:v>75</c:v>
                </c:pt>
                <c:pt idx="18">
                  <c:v>65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20C-415B-AA05-3B8D902C0C66}"/>
            </c:ext>
          </c:extLst>
        </c:ser>
        <c:ser>
          <c:idx val="2"/>
          <c:order val="2"/>
          <c:tx>
            <c:strRef>
              <c:f>'Aufgabe6 Lösung'!$D$5</c:f>
              <c:strCache>
                <c:ptCount val="1"/>
                <c:pt idx="0">
                  <c:v>Modell C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'Aufgabe6 Lösung'!$A$6:$A$24</c:f>
              <c:numCache>
                <c:formatCode>d\-mmm</c:formatCode>
                <c:ptCount val="19"/>
                <c:pt idx="0">
                  <c:v>43556</c:v>
                </c:pt>
                <c:pt idx="1">
                  <c:v>43557</c:v>
                </c:pt>
                <c:pt idx="2">
                  <c:v>43558</c:v>
                </c:pt>
                <c:pt idx="3">
                  <c:v>43559</c:v>
                </c:pt>
                <c:pt idx="4">
                  <c:v>43560</c:v>
                </c:pt>
                <c:pt idx="5">
                  <c:v>43561</c:v>
                </c:pt>
                <c:pt idx="6">
                  <c:v>43562</c:v>
                </c:pt>
                <c:pt idx="7">
                  <c:v>43563</c:v>
                </c:pt>
                <c:pt idx="8">
                  <c:v>43564</c:v>
                </c:pt>
                <c:pt idx="9">
                  <c:v>43565</c:v>
                </c:pt>
                <c:pt idx="10">
                  <c:v>43566</c:v>
                </c:pt>
                <c:pt idx="11">
                  <c:v>43567</c:v>
                </c:pt>
                <c:pt idx="12">
                  <c:v>43568</c:v>
                </c:pt>
                <c:pt idx="13">
                  <c:v>43569</c:v>
                </c:pt>
                <c:pt idx="14">
                  <c:v>43570</c:v>
                </c:pt>
                <c:pt idx="15">
                  <c:v>43571</c:v>
                </c:pt>
                <c:pt idx="16">
                  <c:v>43572</c:v>
                </c:pt>
                <c:pt idx="17">
                  <c:v>43573</c:v>
                </c:pt>
                <c:pt idx="18">
                  <c:v>43574</c:v>
                </c:pt>
              </c:numCache>
            </c:numRef>
          </c:cat>
          <c:val>
            <c:numRef>
              <c:f>'Aufgabe6 Lösung'!$D$6:$D$24</c:f>
              <c:numCache>
                <c:formatCode>General</c:formatCode>
                <c:ptCount val="19"/>
                <c:pt idx="0">
                  <c:v>36</c:v>
                </c:pt>
                <c:pt idx="1">
                  <c:v>16</c:v>
                </c:pt>
                <c:pt idx="2">
                  <c:v>11</c:v>
                </c:pt>
                <c:pt idx="3">
                  <c:v>67</c:v>
                </c:pt>
                <c:pt idx="4">
                  <c:v>10</c:v>
                </c:pt>
                <c:pt idx="5">
                  <c:v>51</c:v>
                </c:pt>
                <c:pt idx="6">
                  <c:v>20</c:v>
                </c:pt>
                <c:pt idx="7">
                  <c:v>88</c:v>
                </c:pt>
                <c:pt idx="8">
                  <c:v>65</c:v>
                </c:pt>
                <c:pt idx="9">
                  <c:v>1</c:v>
                </c:pt>
                <c:pt idx="10">
                  <c:v>35</c:v>
                </c:pt>
                <c:pt idx="11">
                  <c:v>83</c:v>
                </c:pt>
                <c:pt idx="12">
                  <c:v>51</c:v>
                </c:pt>
                <c:pt idx="13">
                  <c:v>68</c:v>
                </c:pt>
                <c:pt idx="14">
                  <c:v>61</c:v>
                </c:pt>
                <c:pt idx="15">
                  <c:v>93</c:v>
                </c:pt>
                <c:pt idx="16">
                  <c:v>30</c:v>
                </c:pt>
                <c:pt idx="17">
                  <c:v>95</c:v>
                </c:pt>
                <c:pt idx="18">
                  <c:v>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20C-415B-AA05-3B8D902C0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37264"/>
        <c:axId val="187038832"/>
      </c:lineChart>
      <c:dateAx>
        <c:axId val="187037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7038832"/>
        <c:crosses val="autoZero"/>
        <c:auto val="1"/>
        <c:lblOffset val="100"/>
        <c:baseTimeUnit val="days"/>
      </c:dateAx>
      <c:valAx>
        <c:axId val="18703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703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Touristenstatistik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6348381452318461"/>
          <c:y val="0.14798665791776028"/>
          <c:w val="0.6794628171478565"/>
          <c:h val="0.744613954505686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'Aufgabe6 Lösung'!$B$27</c:f>
              <c:strCache>
                <c:ptCount val="1"/>
                <c:pt idx="0">
                  <c:v>Anzahl Touristen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'Aufgabe6 Lösung'!$A$28:$A$37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'Aufgabe6 Lösung'!$B$28:$B$37</c:f>
              <c:numCache>
                <c:formatCode>General</c:formatCode>
                <c:ptCount val="10"/>
                <c:pt idx="0">
                  <c:v>26437</c:v>
                </c:pt>
                <c:pt idx="1">
                  <c:v>26536</c:v>
                </c:pt>
                <c:pt idx="2">
                  <c:v>32376</c:v>
                </c:pt>
                <c:pt idx="3">
                  <c:v>34888</c:v>
                </c:pt>
                <c:pt idx="4">
                  <c:v>24226</c:v>
                </c:pt>
                <c:pt idx="5">
                  <c:v>36575</c:v>
                </c:pt>
                <c:pt idx="6">
                  <c:v>26691</c:v>
                </c:pt>
                <c:pt idx="7">
                  <c:v>20486</c:v>
                </c:pt>
                <c:pt idx="8">
                  <c:v>34173</c:v>
                </c:pt>
                <c:pt idx="9">
                  <c:v>27905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E5-4EEA-B967-50C0CB483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035696"/>
        <c:axId val="187040792"/>
      </c:barChart>
      <c:lineChart>
        <c:grouping val="standard"/>
        <c:varyColors val="0"/>
        <c:ser>
          <c:idx val="1"/>
          <c:order val="1"/>
          <c:tx>
            <c:strRef>
              <c:f>'Aufgabe6 Lösung'!$C$27</c:f>
              <c:strCache>
                <c:ptCount val="1"/>
                <c:pt idx="0">
                  <c:v>Durchschnittstemperatur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'Aufgabe6 Lösung'!$A$28:$A$37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'Aufgabe6 Lösung'!$C$28:$C$37</c:f>
              <c:numCache>
                <c:formatCode>0.00\ \°\C</c:formatCode>
                <c:ptCount val="10"/>
                <c:pt idx="0">
                  <c:v>24.436504334542825</c:v>
                </c:pt>
                <c:pt idx="1">
                  <c:v>28.535580462514037</c:v>
                </c:pt>
                <c:pt idx="2">
                  <c:v>34.375959133964159</c:v>
                </c:pt>
                <c:pt idx="3">
                  <c:v>33.888222774985628</c:v>
                </c:pt>
                <c:pt idx="4">
                  <c:v>22.225867527105553</c:v>
                </c:pt>
                <c:pt idx="5">
                  <c:v>34.575291522872213</c:v>
                </c:pt>
                <c:pt idx="6">
                  <c:v>27.69099502462209</c:v>
                </c:pt>
                <c:pt idx="7">
                  <c:v>21.486271279140745</c:v>
                </c:pt>
                <c:pt idx="8">
                  <c:v>33.173420850910119</c:v>
                </c:pt>
                <c:pt idx="9">
                  <c:v>29.905137845088102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FE5-4EEA-B967-50C0CB483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036088"/>
        <c:axId val="187036872"/>
      </c:lineChart>
      <c:catAx>
        <c:axId val="187035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Jahr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7040792"/>
        <c:crosses val="autoZero"/>
        <c:auto val="1"/>
        <c:lblAlgn val="ctr"/>
        <c:lblOffset val="100"/>
        <c:noMultiLvlLbl val="0"/>
      </c:catAx>
      <c:valAx>
        <c:axId val="18704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Anzahl Touristen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7035696"/>
        <c:crosses val="autoZero"/>
        <c:crossBetween val="between"/>
      </c:valAx>
      <c:valAx>
        <c:axId val="1870368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</a:t>
                </a:r>
                <a:r>
                  <a:rPr lang="en-US" baseline="0"/>
                  <a:t> °C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\ \°\C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7036088"/>
        <c:crosses val="max"/>
        <c:crossBetween val="between"/>
      </c:valAx>
      <c:catAx>
        <c:axId val="187036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70368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2441841644794398"/>
          <c:y val="0.63930555555555557"/>
          <c:w val="0.35949628171478559"/>
          <c:h val="0.22627369495479732"/>
        </c:manualLayout>
      </c:layout>
      <c:overlay val="0"/>
      <c:spPr>
        <a:solidFill>
          <a:schemeClr val="bg1"/>
        </a:solidFill>
        <a:ln w="12700"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Getränke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0105554094539755E-2"/>
          <c:y val="0.18555416514256012"/>
          <c:w val="0.62460384986257855"/>
          <c:h val="0.77731872757959042"/>
        </c:manualLayout>
      </c:layout>
      <c:doughnutChart>
        <c:varyColors val="1"/>
        <c:ser>
          <c:idx val="0"/>
          <c:order val="0"/>
          <c:dPt>
            <c:idx val="0"/>
            <c:bubble3D val="0"/>
            <c:explosion val="12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952-4D5D-AC80-F0DC004012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952-4D5D-AC80-F0DC004012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952-4D5D-AC80-F0DC004012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952-4D5D-AC80-F0DC004012B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952-4D5D-AC80-F0DC004012B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952-4D5D-AC80-F0DC004012B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952-4D5D-AC80-F0DC004012B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952-4D5D-AC80-F0DC004012B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952-4D5D-AC80-F0DC004012B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952-4D5D-AC80-F0DC004012B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952-4D5D-AC80-F0DC004012B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952-4D5D-AC80-F0DC004012B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5952-4D5D-AC80-F0DC004012B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5952-4D5D-AC80-F0DC004012B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5952-4D5D-AC80-F0DC004012B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5952-4D5D-AC80-F0DC004012B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5952-4D5D-AC80-F0DC004012B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'Aufgabe6 Lösung'!$A$45:$A$61</c:f>
              <c:strCache>
                <c:ptCount val="17"/>
                <c:pt idx="0">
                  <c:v>Mineralwasser</c:v>
                </c:pt>
                <c:pt idx="1">
                  <c:v>Fruchtsaftgetränke</c:v>
                </c:pt>
                <c:pt idx="2">
                  <c:v>Kaffee</c:v>
                </c:pt>
                <c:pt idx="3">
                  <c:v>Cola</c:v>
                </c:pt>
                <c:pt idx="4">
                  <c:v>Pils</c:v>
                </c:pt>
                <c:pt idx="5">
                  <c:v>Tee</c:v>
                </c:pt>
                <c:pt idx="6">
                  <c:v>Rotwein</c:v>
                </c:pt>
                <c:pt idx="7">
                  <c:v>Weißwein</c:v>
                </c:pt>
                <c:pt idx="8">
                  <c:v>Sekt</c:v>
                </c:pt>
                <c:pt idx="9">
                  <c:v>Limonaden</c:v>
                </c:pt>
                <c:pt idx="10">
                  <c:v>Joghurtgetränke</c:v>
                </c:pt>
                <c:pt idx="11">
                  <c:v>Weizenbier</c:v>
                </c:pt>
                <c:pt idx="12">
                  <c:v>Alkoholfreies Bier</c:v>
                </c:pt>
                <c:pt idx="13">
                  <c:v>Eistee</c:v>
                </c:pt>
                <c:pt idx="14">
                  <c:v>Energy Drinks</c:v>
                </c:pt>
                <c:pt idx="15">
                  <c:v>Kakao</c:v>
                </c:pt>
                <c:pt idx="16">
                  <c:v>Kräuterlikör</c:v>
                </c:pt>
              </c:strCache>
            </c:strRef>
          </c:cat>
          <c:val>
            <c:numRef>
              <c:f>'Aufgabe6 Lösung'!$B$45:$B$61</c:f>
              <c:numCache>
                <c:formatCode>General</c:formatCode>
                <c:ptCount val="17"/>
                <c:pt idx="0">
                  <c:v>86.1</c:v>
                </c:pt>
                <c:pt idx="1">
                  <c:v>52.1</c:v>
                </c:pt>
                <c:pt idx="2">
                  <c:v>47.3</c:v>
                </c:pt>
                <c:pt idx="3">
                  <c:v>39.9</c:v>
                </c:pt>
                <c:pt idx="4">
                  <c:v>37.799999999999997</c:v>
                </c:pt>
                <c:pt idx="5">
                  <c:v>29.8</c:v>
                </c:pt>
                <c:pt idx="6">
                  <c:v>28.5</c:v>
                </c:pt>
                <c:pt idx="7">
                  <c:v>24.9</c:v>
                </c:pt>
                <c:pt idx="8">
                  <c:v>22.5</c:v>
                </c:pt>
                <c:pt idx="9">
                  <c:v>21.1</c:v>
                </c:pt>
                <c:pt idx="10">
                  <c:v>15.5</c:v>
                </c:pt>
                <c:pt idx="11">
                  <c:v>15.5</c:v>
                </c:pt>
                <c:pt idx="12">
                  <c:v>14.5</c:v>
                </c:pt>
                <c:pt idx="13">
                  <c:v>12</c:v>
                </c:pt>
                <c:pt idx="14">
                  <c:v>11.3</c:v>
                </c:pt>
                <c:pt idx="15">
                  <c:v>10</c:v>
                </c:pt>
                <c:pt idx="16">
                  <c:v>8.6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2-5952-4D5D-AC80-F0DC004012B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Wahlen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4.1590214067278287E-2"/>
          <c:y val="0.16868704543245225"/>
          <c:w val="0.946177370030581"/>
          <c:h val="0.53445390033316542"/>
        </c:manualLayout>
      </c:layout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B4E-40CC-B6B5-2382E72906C9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B4E-40CC-B6B5-2382E72906C9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B4E-40CC-B6B5-2382E72906C9}"/>
              </c:ext>
            </c:extLst>
          </c:dPt>
          <c:dPt>
            <c:idx val="3"/>
            <c:bubble3D val="0"/>
            <c:spPr>
              <a:solidFill>
                <a:srgbClr val="FF006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B4E-40CC-B6B5-2382E72906C9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B4E-40CC-B6B5-2382E72906C9}"/>
              </c:ext>
            </c:extLst>
          </c:dPt>
          <c:dPt>
            <c:idx val="5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B4E-40CC-B6B5-2382E72906C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B4E-40CC-B6B5-2382E72906C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B4E-40CC-B6B5-2382E72906C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B4E-40CC-B6B5-2382E72906C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B4E-40CC-B6B5-2382E72906C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B4E-40CC-B6B5-2382E72906C9}"/>
              </c:ext>
            </c:extLst>
          </c:dPt>
          <c:dPt>
            <c:idx val="11"/>
            <c:bubble3D val="0"/>
            <c:spPr>
              <a:solidFill>
                <a:srgbClr val="99663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B4E-40CC-B6B5-2382E72906C9}"/>
              </c:ext>
            </c:extLst>
          </c:dPt>
          <c:dPt>
            <c:idx val="1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4B4E-40CC-B6B5-2382E72906C9}"/>
              </c:ext>
            </c:extLst>
          </c:dPt>
          <c:dPt>
            <c:idx val="13"/>
            <c:bubble3D val="0"/>
            <c:spPr>
              <a:solidFill>
                <a:srgbClr val="CC0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4B4E-40CC-B6B5-2382E72906C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4B4E-40CC-B6B5-2382E72906C9}"/>
              </c:ext>
            </c:extLst>
          </c:dPt>
          <c:cat>
            <c:strRef>
              <c:f>'Aufgabe6 Lösung'!$A$69:$A$82</c:f>
              <c:strCache>
                <c:ptCount val="14"/>
                <c:pt idx="0">
                  <c:v>SPD</c:v>
                </c:pt>
                <c:pt idx="1">
                  <c:v>CDU</c:v>
                </c:pt>
                <c:pt idx="2">
                  <c:v>GRÜNE</c:v>
                </c:pt>
                <c:pt idx="3">
                  <c:v>DIE LINKE</c:v>
                </c:pt>
                <c:pt idx="4">
                  <c:v>FDP</c:v>
                </c:pt>
                <c:pt idx="5">
                  <c:v>AfD</c:v>
                </c:pt>
                <c:pt idx="6">
                  <c:v>Die PARTEI</c:v>
                </c:pt>
                <c:pt idx="7">
                  <c:v>Tierschutzpartei</c:v>
                </c:pt>
                <c:pt idx="8">
                  <c:v>FREIE WÄHLER</c:v>
                </c:pt>
                <c:pt idx="9">
                  <c:v>ÖDP</c:v>
                </c:pt>
                <c:pt idx="10">
                  <c:v>BGE</c:v>
                </c:pt>
                <c:pt idx="11">
                  <c:v>NPD</c:v>
                </c:pt>
                <c:pt idx="12">
                  <c:v>V-Partei3</c:v>
                </c:pt>
                <c:pt idx="13">
                  <c:v>DKP</c:v>
                </c:pt>
              </c:strCache>
            </c:strRef>
          </c:cat>
          <c:val>
            <c:numRef>
              <c:f>'Aufgabe6 Lösung'!$B$69:$B$82</c:f>
              <c:numCache>
                <c:formatCode>0.0%</c:formatCode>
                <c:ptCount val="14"/>
                <c:pt idx="0">
                  <c:v>0.23499999999999999</c:v>
                </c:pt>
                <c:pt idx="1">
                  <c:v>0.27200000000000002</c:v>
                </c:pt>
                <c:pt idx="2">
                  <c:v>0.13900000000000001</c:v>
                </c:pt>
                <c:pt idx="3">
                  <c:v>0.122</c:v>
                </c:pt>
                <c:pt idx="4">
                  <c:v>0.10800000000000001</c:v>
                </c:pt>
                <c:pt idx="5">
                  <c:v>7.8E-2</c:v>
                </c:pt>
                <c:pt idx="6">
                  <c:v>1.6E-2</c:v>
                </c:pt>
                <c:pt idx="7">
                  <c:v>9.0000000000000011E-3</c:v>
                </c:pt>
                <c:pt idx="8">
                  <c:v>4.0000000000000001E-3</c:v>
                </c:pt>
                <c:pt idx="9">
                  <c:v>3.0000000000000001E-3</c:v>
                </c:pt>
                <c:pt idx="10">
                  <c:v>5.0000000000000001E-3</c:v>
                </c:pt>
                <c:pt idx="11">
                  <c:v>2E-3</c:v>
                </c:pt>
                <c:pt idx="12">
                  <c:v>2E-3</c:v>
                </c:pt>
                <c:pt idx="13">
                  <c:v>1E-3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E-4B4E-40CC-B6B5-2382E7290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'Aufgabe6 Lösung'!$B$87</c:f>
              <c:strCache>
                <c:ptCount val="1"/>
                <c:pt idx="0">
                  <c:v>Orders 2017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'Aufgabe6 Lösung'!$A$88:$A$117</c:f>
              <c:numCache>
                <c:formatCode>d\-mmm</c:formatCode>
                <c:ptCount val="30"/>
                <c:pt idx="0">
                  <c:v>43556</c:v>
                </c:pt>
                <c:pt idx="1">
                  <c:v>43557</c:v>
                </c:pt>
                <c:pt idx="2">
                  <c:v>43558</c:v>
                </c:pt>
                <c:pt idx="3">
                  <c:v>43559</c:v>
                </c:pt>
                <c:pt idx="4">
                  <c:v>43560</c:v>
                </c:pt>
                <c:pt idx="5">
                  <c:v>43561</c:v>
                </c:pt>
                <c:pt idx="6">
                  <c:v>43562</c:v>
                </c:pt>
                <c:pt idx="7">
                  <c:v>43563</c:v>
                </c:pt>
                <c:pt idx="8">
                  <c:v>43564</c:v>
                </c:pt>
                <c:pt idx="9">
                  <c:v>43565</c:v>
                </c:pt>
                <c:pt idx="10">
                  <c:v>43566</c:v>
                </c:pt>
                <c:pt idx="11">
                  <c:v>43567</c:v>
                </c:pt>
                <c:pt idx="12">
                  <c:v>43568</c:v>
                </c:pt>
                <c:pt idx="13">
                  <c:v>43569</c:v>
                </c:pt>
                <c:pt idx="14">
                  <c:v>43570</c:v>
                </c:pt>
                <c:pt idx="15">
                  <c:v>43571</c:v>
                </c:pt>
                <c:pt idx="16">
                  <c:v>43572</c:v>
                </c:pt>
                <c:pt idx="17">
                  <c:v>43573</c:v>
                </c:pt>
                <c:pt idx="18">
                  <c:v>43574</c:v>
                </c:pt>
                <c:pt idx="19">
                  <c:v>43575</c:v>
                </c:pt>
                <c:pt idx="20">
                  <c:v>43576</c:v>
                </c:pt>
                <c:pt idx="21">
                  <c:v>43577</c:v>
                </c:pt>
                <c:pt idx="22">
                  <c:v>43578</c:v>
                </c:pt>
                <c:pt idx="23">
                  <c:v>43579</c:v>
                </c:pt>
                <c:pt idx="24">
                  <c:v>43580</c:v>
                </c:pt>
                <c:pt idx="25">
                  <c:v>43581</c:v>
                </c:pt>
                <c:pt idx="26">
                  <c:v>43582</c:v>
                </c:pt>
                <c:pt idx="27">
                  <c:v>43583</c:v>
                </c:pt>
                <c:pt idx="28">
                  <c:v>43584</c:v>
                </c:pt>
                <c:pt idx="29">
                  <c:v>43585</c:v>
                </c:pt>
              </c:numCache>
            </c:numRef>
          </c:cat>
          <c:val>
            <c:numRef>
              <c:f>'Aufgabe6 Lösung'!$B$88:$B$117</c:f>
              <c:numCache>
                <c:formatCode>#,##0</c:formatCode>
                <c:ptCount val="30"/>
                <c:pt idx="0">
                  <c:v>23902</c:v>
                </c:pt>
                <c:pt idx="1">
                  <c:v>38005</c:v>
                </c:pt>
                <c:pt idx="2">
                  <c:v>24785</c:v>
                </c:pt>
                <c:pt idx="3">
                  <c:v>28697</c:v>
                </c:pt>
                <c:pt idx="4">
                  <c:v>29286</c:v>
                </c:pt>
                <c:pt idx="5">
                  <c:v>28327</c:v>
                </c:pt>
                <c:pt idx="6">
                  <c:v>31472</c:v>
                </c:pt>
                <c:pt idx="7">
                  <c:v>45842</c:v>
                </c:pt>
                <c:pt idx="8">
                  <c:v>36345</c:v>
                </c:pt>
                <c:pt idx="9">
                  <c:v>38299</c:v>
                </c:pt>
                <c:pt idx="10">
                  <c:v>41618</c:v>
                </c:pt>
                <c:pt idx="11">
                  <c:v>37760</c:v>
                </c:pt>
                <c:pt idx="12">
                  <c:v>33911</c:v>
                </c:pt>
                <c:pt idx="13">
                  <c:v>32530</c:v>
                </c:pt>
                <c:pt idx="14">
                  <c:v>49217</c:v>
                </c:pt>
                <c:pt idx="15">
                  <c:v>38747</c:v>
                </c:pt>
                <c:pt idx="16">
                  <c:v>40291</c:v>
                </c:pt>
                <c:pt idx="17">
                  <c:v>45048</c:v>
                </c:pt>
                <c:pt idx="18">
                  <c:v>44593</c:v>
                </c:pt>
                <c:pt idx="19">
                  <c:v>29864</c:v>
                </c:pt>
                <c:pt idx="20">
                  <c:v>26997</c:v>
                </c:pt>
                <c:pt idx="21">
                  <c:v>43108</c:v>
                </c:pt>
                <c:pt idx="22">
                  <c:v>32632</c:v>
                </c:pt>
                <c:pt idx="23">
                  <c:v>31487</c:v>
                </c:pt>
                <c:pt idx="24">
                  <c:v>33456</c:v>
                </c:pt>
                <c:pt idx="25">
                  <c:v>32512</c:v>
                </c:pt>
                <c:pt idx="26">
                  <c:v>32577</c:v>
                </c:pt>
                <c:pt idx="27">
                  <c:v>33373</c:v>
                </c:pt>
                <c:pt idx="28">
                  <c:v>48500</c:v>
                </c:pt>
                <c:pt idx="29">
                  <c:v>32237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152-4803-A778-33C6EA281905}"/>
            </c:ext>
          </c:extLst>
        </c:ser>
        <c:ser>
          <c:idx val="1"/>
          <c:order val="1"/>
          <c:tx>
            <c:strRef>
              <c:f>'Aufgabe6 Lösung'!$C$87</c:f>
              <c:strCache>
                <c:ptCount val="1"/>
                <c:pt idx="0">
                  <c:v>Orders 2018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'Aufgabe6 Lösung'!$A$88:$A$117</c:f>
              <c:numCache>
                <c:formatCode>d\-mmm</c:formatCode>
                <c:ptCount val="30"/>
                <c:pt idx="0">
                  <c:v>43556</c:v>
                </c:pt>
                <c:pt idx="1">
                  <c:v>43557</c:v>
                </c:pt>
                <c:pt idx="2">
                  <c:v>43558</c:v>
                </c:pt>
                <c:pt idx="3">
                  <c:v>43559</c:v>
                </c:pt>
                <c:pt idx="4">
                  <c:v>43560</c:v>
                </c:pt>
                <c:pt idx="5">
                  <c:v>43561</c:v>
                </c:pt>
                <c:pt idx="6">
                  <c:v>43562</c:v>
                </c:pt>
                <c:pt idx="7">
                  <c:v>43563</c:v>
                </c:pt>
                <c:pt idx="8">
                  <c:v>43564</c:v>
                </c:pt>
                <c:pt idx="9">
                  <c:v>43565</c:v>
                </c:pt>
                <c:pt idx="10">
                  <c:v>43566</c:v>
                </c:pt>
                <c:pt idx="11">
                  <c:v>43567</c:v>
                </c:pt>
                <c:pt idx="12">
                  <c:v>43568</c:v>
                </c:pt>
                <c:pt idx="13">
                  <c:v>43569</c:v>
                </c:pt>
                <c:pt idx="14">
                  <c:v>43570</c:v>
                </c:pt>
                <c:pt idx="15">
                  <c:v>43571</c:v>
                </c:pt>
                <c:pt idx="16">
                  <c:v>43572</c:v>
                </c:pt>
                <c:pt idx="17">
                  <c:v>43573</c:v>
                </c:pt>
                <c:pt idx="18">
                  <c:v>43574</c:v>
                </c:pt>
                <c:pt idx="19">
                  <c:v>43575</c:v>
                </c:pt>
                <c:pt idx="20">
                  <c:v>43576</c:v>
                </c:pt>
                <c:pt idx="21">
                  <c:v>43577</c:v>
                </c:pt>
                <c:pt idx="22">
                  <c:v>43578</c:v>
                </c:pt>
                <c:pt idx="23">
                  <c:v>43579</c:v>
                </c:pt>
                <c:pt idx="24">
                  <c:v>43580</c:v>
                </c:pt>
                <c:pt idx="25">
                  <c:v>43581</c:v>
                </c:pt>
                <c:pt idx="26">
                  <c:v>43582</c:v>
                </c:pt>
                <c:pt idx="27">
                  <c:v>43583</c:v>
                </c:pt>
                <c:pt idx="28">
                  <c:v>43584</c:v>
                </c:pt>
                <c:pt idx="29">
                  <c:v>43585</c:v>
                </c:pt>
              </c:numCache>
            </c:numRef>
          </c:cat>
          <c:val>
            <c:numRef>
              <c:f>'Aufgabe6 Lösung'!$C$88:$C$117</c:f>
              <c:numCache>
                <c:formatCode>#,##0</c:formatCode>
                <c:ptCount val="30"/>
                <c:pt idx="0">
                  <c:v>29245</c:v>
                </c:pt>
                <c:pt idx="1">
                  <c:v>28781</c:v>
                </c:pt>
                <c:pt idx="2">
                  <c:v>31734</c:v>
                </c:pt>
                <c:pt idx="3">
                  <c:v>29697</c:v>
                </c:pt>
                <c:pt idx="4">
                  <c:v>33158</c:v>
                </c:pt>
                <c:pt idx="5">
                  <c:v>34437</c:v>
                </c:pt>
                <c:pt idx="6">
                  <c:v>54411</c:v>
                </c:pt>
                <c:pt idx="7">
                  <c:v>39884</c:v>
                </c:pt>
                <c:pt idx="8">
                  <c:v>31169</c:v>
                </c:pt>
                <c:pt idx="9">
                  <c:v>32551</c:v>
                </c:pt>
                <c:pt idx="10">
                  <c:v>29543</c:v>
                </c:pt>
                <c:pt idx="11">
                  <c:v>26724</c:v>
                </c:pt>
                <c:pt idx="12">
                  <c:v>29294</c:v>
                </c:pt>
                <c:pt idx="13">
                  <c:v>40439</c:v>
                </c:pt>
                <c:pt idx="14">
                  <c:v>26651</c:v>
                </c:pt>
                <c:pt idx="15">
                  <c:v>26222</c:v>
                </c:pt>
                <c:pt idx="16">
                  <c:v>23620</c:v>
                </c:pt>
                <c:pt idx="17">
                  <c:v>18512</c:v>
                </c:pt>
                <c:pt idx="18">
                  <c:v>22701</c:v>
                </c:pt>
                <c:pt idx="19">
                  <c:v>18910</c:v>
                </c:pt>
                <c:pt idx="20">
                  <c:v>23749</c:v>
                </c:pt>
                <c:pt idx="21">
                  <c:v>33983</c:v>
                </c:pt>
                <c:pt idx="22">
                  <c:v>29101</c:v>
                </c:pt>
                <c:pt idx="23">
                  <c:v>32015</c:v>
                </c:pt>
                <c:pt idx="24">
                  <c:v>33535</c:v>
                </c:pt>
                <c:pt idx="25">
                  <c:v>45224</c:v>
                </c:pt>
                <c:pt idx="26">
                  <c:v>47565</c:v>
                </c:pt>
                <c:pt idx="27">
                  <c:v>64871</c:v>
                </c:pt>
                <c:pt idx="28">
                  <c:v>44886</c:v>
                </c:pt>
                <c:pt idx="29">
                  <c:v>24822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152-4803-A778-33C6EA281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039616"/>
        <c:axId val="187034520"/>
      </c:lineChart>
      <c:dateAx>
        <c:axId val="18703961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7034520"/>
        <c:crosses val="autoZero"/>
        <c:auto val="1"/>
        <c:lblOffset val="100"/>
        <c:baseTimeUnit val="days"/>
        <c:majorUnit val="7"/>
        <c:majorTimeUnit val="days"/>
      </c:dateAx>
      <c:valAx>
        <c:axId val="187034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7039616"/>
        <c:crosses val="autoZero"/>
        <c:crossBetween val="between"/>
        <c:majorUnit val="25000"/>
        <c:dispUnits>
          <c:builtInUnit val="thousands"/>
          <c:dispUnitsLbl>
            <c:layout>
              <c:manualLayout>
                <c:xMode val="edge"/>
                <c:yMode val="edge"/>
                <c:x val="3.0555555555555555E-2"/>
                <c:y val="0.37541666666666668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727075</xdr:colOff>
      <xdr:row>3</xdr:row>
      <xdr:rowOff>101600</xdr:rowOff>
    </xdr:from>
    <xdr:to>
      <xdr:col>10</xdr:col>
      <xdr:colOff>676275</xdr:colOff>
      <xdr:row>14</xdr:row>
      <xdr:rowOff>15469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xmlns="" id="{5E5DADAA-C189-498E-AADC-D9AD6FF0FD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57129"/>
        <a:stretch/>
      </xdr:blipFill>
      <xdr:spPr>
        <a:xfrm>
          <a:off x="8013700" y="701675"/>
          <a:ext cx="3292475" cy="2018894"/>
        </a:xfrm>
        <a:prstGeom prst="rect">
          <a:avLst/>
        </a:prstGeom>
        <a:ln w="7620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46</xdr:row>
      <xdr:rowOff>28575</xdr:rowOff>
    </xdr:from>
    <xdr:to>
      <xdr:col>5</xdr:col>
      <xdr:colOff>981075</xdr:colOff>
      <xdr:row>60</xdr:row>
      <xdr:rowOff>104775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xmlns="" id="{C89D6EEC-BD2B-48ED-9D51-32E6E7E20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657225</xdr:colOff>
      <xdr:row>31</xdr:row>
      <xdr:rowOff>76200</xdr:rowOff>
    </xdr:from>
    <xdr:to>
      <xdr:col>5</xdr:col>
      <xdr:colOff>1000125</xdr:colOff>
      <xdr:row>45</xdr:row>
      <xdr:rowOff>152400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xmlns="" id="{29FA853F-E335-4A81-9D4D-9E819FABC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1143000</xdr:colOff>
      <xdr:row>3</xdr:row>
      <xdr:rowOff>104775</xdr:rowOff>
    </xdr:from>
    <xdr:to>
      <xdr:col>11</xdr:col>
      <xdr:colOff>330200</xdr:colOff>
      <xdr:row>14</xdr:row>
      <xdr:rowOff>18644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xmlns="" id="{FBE5B552-ED47-472A-8926-A68A502486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57129"/>
        <a:stretch/>
      </xdr:blipFill>
      <xdr:spPr>
        <a:xfrm>
          <a:off x="8429625" y="704850"/>
          <a:ext cx="3292475" cy="2018894"/>
        </a:xfrm>
        <a:prstGeom prst="rect">
          <a:avLst/>
        </a:prstGeom>
        <a:ln w="762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200025</xdr:colOff>
      <xdr:row>10</xdr:row>
      <xdr:rowOff>24665</xdr:rowOff>
    </xdr:from>
    <xdr:to>
      <xdr:col>16</xdr:col>
      <xdr:colOff>570842</xdr:colOff>
      <xdr:row>17</xdr:row>
      <xdr:rowOff>190129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xmlns="" id="{AA363D88-2199-435E-BE57-B4F50E500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06025" y="1929665"/>
          <a:ext cx="2656817" cy="1498964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91</xdr:row>
      <xdr:rowOff>69350</xdr:rowOff>
    </xdr:from>
    <xdr:to>
      <xdr:col>16</xdr:col>
      <xdr:colOff>549079</xdr:colOff>
      <xdr:row>101</xdr:row>
      <xdr:rowOff>133349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xmlns="" id="{523E9289-9F43-4A18-A7B0-327A8FD55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2200" y="18004925"/>
          <a:ext cx="2752529" cy="1968999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69</xdr:row>
      <xdr:rowOff>33466</xdr:rowOff>
    </xdr:from>
    <xdr:to>
      <xdr:col>16</xdr:col>
      <xdr:colOff>662939</xdr:colOff>
      <xdr:row>77</xdr:row>
      <xdr:rowOff>57150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xmlns="" id="{432DC904-38A1-4507-B3C4-940AB2B9B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82200" y="13749466"/>
          <a:ext cx="2863214" cy="1547684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180974</xdr:colOff>
      <xdr:row>47</xdr:row>
      <xdr:rowOff>123462</xdr:rowOff>
    </xdr:from>
    <xdr:to>
      <xdr:col>16</xdr:col>
      <xdr:colOff>606615</xdr:colOff>
      <xdr:row>58</xdr:row>
      <xdr:rowOff>171450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xmlns="" id="{A80E6449-A2AB-495A-9796-EEE49A214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86974" y="9457962"/>
          <a:ext cx="2711641" cy="2143488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27</xdr:row>
      <xdr:rowOff>103866</xdr:rowOff>
    </xdr:from>
    <xdr:to>
      <xdr:col>16</xdr:col>
      <xdr:colOff>685773</xdr:colOff>
      <xdr:row>37</xdr:row>
      <xdr:rowOff>95250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xmlns="" id="{BB0470E4-722F-41EC-8833-3D755AC13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86975" y="5628366"/>
          <a:ext cx="2790798" cy="189638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90487</xdr:colOff>
      <xdr:row>6</xdr:row>
      <xdr:rowOff>57150</xdr:rowOff>
    </xdr:from>
    <xdr:to>
      <xdr:col>11</xdr:col>
      <xdr:colOff>657225</xdr:colOff>
      <xdr:row>21</xdr:row>
      <xdr:rowOff>133350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xmlns="" id="{B9893367-2306-4FD5-85E9-B24D83EB4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295275</xdr:colOff>
      <xdr:row>26</xdr:row>
      <xdr:rowOff>47625</xdr:rowOff>
    </xdr:from>
    <xdr:to>
      <xdr:col>11</xdr:col>
      <xdr:colOff>295275</xdr:colOff>
      <xdr:row>40</xdr:row>
      <xdr:rowOff>123825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xmlns="" id="{4C5CF1CA-A48F-4533-A7A5-57063F0D6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285750</xdr:colOff>
      <xdr:row>43</xdr:row>
      <xdr:rowOff>38099</xdr:rowOff>
    </xdr:from>
    <xdr:to>
      <xdr:col>11</xdr:col>
      <xdr:colOff>561975</xdr:colOff>
      <xdr:row>63</xdr:row>
      <xdr:rowOff>123824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xmlns="" id="{03E666B7-5D38-4A4F-9C1A-11492255E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66674</xdr:colOff>
      <xdr:row>67</xdr:row>
      <xdr:rowOff>123825</xdr:rowOff>
    </xdr:from>
    <xdr:to>
      <xdr:col>11</xdr:col>
      <xdr:colOff>685799</xdr:colOff>
      <xdr:row>82</xdr:row>
      <xdr:rowOff>66675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xmlns="" id="{38BB855E-8483-4F6B-BEA4-CD5AF8181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133350</xdr:colOff>
      <xdr:row>88</xdr:row>
      <xdr:rowOff>123825</xdr:rowOff>
    </xdr:from>
    <xdr:to>
      <xdr:col>11</xdr:col>
      <xdr:colOff>581025</xdr:colOff>
      <xdr:row>107</xdr:row>
      <xdr:rowOff>85725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xmlns="" id="{11857DF0-FC5F-4749-AC26-6C15C41D7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le1" displayName="Tabelle1" ref="A1:Q1271" totalsRowShown="0" headerRowDxfId="21" dataDxfId="20" tableBorderDxfId="19" headerRowCellStyle="Standard 7" dataCellStyle="Standard 7">
  <autoFilter ref="A1:Q1271"/>
  <tableColumns count="17">
    <tableColumn id="1" name="Country" dataDxfId="18" dataCellStyle="Standard 7"/>
    <tableColumn id="2" name="Campaign ID" dataDxfId="17" dataCellStyle="Standard 7"/>
    <tableColumn id="3" name="Campaign Name" dataDxfId="16" dataCellStyle="Standard 7"/>
    <tableColumn id="4" name="Day" dataDxfId="15" dataCellStyle="Standard 7"/>
    <tableColumn id="5" name="Currency" dataDxfId="14" dataCellStyle="Standard 7"/>
    <tableColumn id="6" name="Views" dataDxfId="13" dataCellStyle="Standard 7"/>
    <tableColumn id="7" name="CTR" dataDxfId="12" dataCellStyle="Standard 7"/>
    <tableColumn id="8" name="Clicks" dataDxfId="11" dataCellStyle="Standard 7"/>
    <tableColumn id="9" name="CPC" dataDxfId="10" dataCellStyle="Standard 7"/>
    <tableColumn id="10" name="ECPM" dataDxfId="9" dataCellStyle="Standard 7"/>
    <tableColumn id="11" name="Sales" dataDxfId="8" dataCellStyle="Standard 7"/>
    <tableColumn id="12" name="Sales ND" dataDxfId="7" dataCellStyle="Standard 7"/>
    <tableColumn id="13" name="CVR" dataDxfId="6" dataCellStyle="Standard 7"/>
    <tableColumn id="14" name="Revenue" dataDxfId="5" dataCellStyle="Standard 7"/>
    <tableColumn id="15" name="Avg. Cart" dataDxfId="4" dataCellStyle="Standard 7"/>
    <tableColumn id="16" name="Cost" dataDxfId="3" dataCellStyle="Standard 7"/>
    <tableColumn id="17" name="COS" dataDxfId="2" dataCellStyle="Standard 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zoomScaleNormal="100" workbookViewId="0">
      <selection sqref="A1:XFD1"/>
    </sheetView>
  </sheetViews>
  <sheetFormatPr baseColWidth="10" defaultRowHeight="14.5" x14ac:dyDescent="0.35"/>
  <cols>
    <col min="1" max="1" width="55.7265625" bestFit="1" customWidth="1"/>
    <col min="2" max="2" width="39.7265625" customWidth="1"/>
  </cols>
  <sheetData>
    <row r="1" spans="1:2" x14ac:dyDescent="0.35">
      <c r="A1" t="s">
        <v>0</v>
      </c>
    </row>
    <row r="3" spans="1:2" s="55" customFormat="1" ht="21.75" customHeight="1" x14ac:dyDescent="0.35">
      <c r="A3" t="s">
        <v>72</v>
      </c>
      <c r="B3" t="s">
        <v>73</v>
      </c>
    </row>
    <row r="4" spans="1:2" x14ac:dyDescent="0.35">
      <c r="A4" s="55" t="s">
        <v>74</v>
      </c>
      <c r="B4" s="55" t="s">
        <v>75</v>
      </c>
    </row>
    <row r="5" spans="1:2" x14ac:dyDescent="0.35">
      <c r="A5" t="s">
        <v>77</v>
      </c>
      <c r="B5" t="s">
        <v>76</v>
      </c>
    </row>
    <row r="6" spans="1:2" x14ac:dyDescent="0.35">
      <c r="A6" t="s">
        <v>78</v>
      </c>
      <c r="B6" t="s">
        <v>79</v>
      </c>
    </row>
    <row r="7" spans="1:2" x14ac:dyDescent="0.35">
      <c r="A7" t="s">
        <v>80</v>
      </c>
      <c r="B7" t="s">
        <v>81</v>
      </c>
    </row>
    <row r="8" spans="1:2" x14ac:dyDescent="0.35">
      <c r="A8" t="s">
        <v>82</v>
      </c>
      <c r="B8" t="s">
        <v>83</v>
      </c>
    </row>
    <row r="9" spans="1:2" x14ac:dyDescent="0.35">
      <c r="A9" t="s">
        <v>84</v>
      </c>
      <c r="B9" t="s">
        <v>85</v>
      </c>
    </row>
    <row r="10" spans="1:2" x14ac:dyDescent="0.35">
      <c r="A10" t="s">
        <v>199</v>
      </c>
      <c r="B10" t="s">
        <v>200</v>
      </c>
    </row>
    <row r="11" spans="1:2" x14ac:dyDescent="0.35">
      <c r="A11" t="s">
        <v>214</v>
      </c>
      <c r="B11" t="s">
        <v>213</v>
      </c>
    </row>
    <row r="13" spans="1:2" x14ac:dyDescent="0.35">
      <c r="A13" s="14" t="s">
        <v>196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8"/>
  <sheetViews>
    <sheetView workbookViewId="0">
      <selection activeCell="D20" sqref="D20"/>
    </sheetView>
  </sheetViews>
  <sheetFormatPr baseColWidth="10" defaultRowHeight="14.5" x14ac:dyDescent="0.35"/>
  <sheetData>
    <row r="1" spans="1:11" x14ac:dyDescent="0.35">
      <c r="A1" t="s">
        <v>10</v>
      </c>
    </row>
    <row r="2" spans="1:11" x14ac:dyDescent="0.35">
      <c r="A2" s="115" t="s">
        <v>205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</row>
    <row r="3" spans="1:11" x14ac:dyDescent="0.35">
      <c r="A3" s="115" t="s">
        <v>206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</row>
    <row r="4" spans="1:11" ht="15" thickBot="1" x14ac:dyDescent="0.4"/>
    <row r="5" spans="1:11" ht="15" thickBot="1" x14ac:dyDescent="0.4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</row>
    <row r="6" spans="1:11" x14ac:dyDescent="0.35">
      <c r="A6" s="4">
        <v>1</v>
      </c>
      <c r="B6" s="5">
        <v>2</v>
      </c>
      <c r="C6" s="5">
        <v>3</v>
      </c>
      <c r="D6" s="5">
        <v>4</v>
      </c>
      <c r="E6" s="6">
        <f>SUM(A6:D6)</f>
        <v>10</v>
      </c>
    </row>
    <row r="7" spans="1:11" ht="15" thickBot="1" x14ac:dyDescent="0.4">
      <c r="A7" s="7">
        <v>6</v>
      </c>
      <c r="B7" s="8">
        <v>7</v>
      </c>
      <c r="C7" s="8">
        <v>8</v>
      </c>
      <c r="D7" s="8">
        <v>9</v>
      </c>
      <c r="E7" s="9">
        <f>SUM(A7:D7)</f>
        <v>30</v>
      </c>
    </row>
    <row r="9" spans="1:11" x14ac:dyDescent="0.35">
      <c r="A9" s="115" t="s">
        <v>11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</row>
    <row r="10" spans="1:11" x14ac:dyDescent="0.35">
      <c r="A10" s="115" t="s">
        <v>13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</row>
    <row r="12" spans="1:11" x14ac:dyDescent="0.35">
      <c r="A12" t="s">
        <v>6</v>
      </c>
      <c r="B12" s="10" t="s">
        <v>7</v>
      </c>
      <c r="C12" s="20" t="s">
        <v>8</v>
      </c>
      <c r="D12" s="21" t="s">
        <v>9</v>
      </c>
      <c r="E12" s="11" t="s">
        <v>5</v>
      </c>
    </row>
    <row r="13" spans="1:11" x14ac:dyDescent="0.35">
      <c r="A13" s="17">
        <v>789</v>
      </c>
      <c r="B13" s="12">
        <v>84</v>
      </c>
      <c r="C13" s="22">
        <v>33</v>
      </c>
      <c r="D13" s="23">
        <v>54</v>
      </c>
    </row>
    <row r="14" spans="1:11" x14ac:dyDescent="0.35">
      <c r="A14">
        <v>32</v>
      </c>
      <c r="B14" s="14">
        <v>473</v>
      </c>
      <c r="C14" s="22">
        <v>1</v>
      </c>
      <c r="D14" s="24">
        <v>76</v>
      </c>
    </row>
    <row r="15" spans="1:11" x14ac:dyDescent="0.35">
      <c r="A15" s="13">
        <v>4123</v>
      </c>
      <c r="B15" s="16">
        <v>6457</v>
      </c>
      <c r="C15" s="25">
        <v>3</v>
      </c>
      <c r="D15" s="26">
        <v>47</v>
      </c>
    </row>
    <row r="16" spans="1:11" x14ac:dyDescent="0.35">
      <c r="A16">
        <v>22</v>
      </c>
      <c r="B16">
        <v>236</v>
      </c>
      <c r="C16">
        <v>57</v>
      </c>
      <c r="D16" s="15">
        <v>234</v>
      </c>
    </row>
    <row r="17" spans="1:4" ht="15" thickBot="1" x14ac:dyDescent="0.4">
      <c r="A17" s="18">
        <v>9</v>
      </c>
      <c r="B17" s="19">
        <v>289</v>
      </c>
      <c r="C17">
        <v>662</v>
      </c>
      <c r="D17">
        <v>4</v>
      </c>
    </row>
    <row r="18" spans="1:4" ht="15" thickTop="1" x14ac:dyDescent="0.35"/>
  </sheetData>
  <mergeCells count="4">
    <mergeCell ref="A2:K2"/>
    <mergeCell ref="A3:K3"/>
    <mergeCell ref="A9:K9"/>
    <mergeCell ref="A10:K10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7"/>
  <sheetViews>
    <sheetView workbookViewId="0">
      <selection activeCell="C34" sqref="C34"/>
    </sheetView>
  </sheetViews>
  <sheetFormatPr baseColWidth="10" defaultRowHeight="14.5" x14ac:dyDescent="0.35"/>
  <sheetData>
    <row r="1" spans="1:11" x14ac:dyDescent="0.35">
      <c r="A1" s="115" t="s">
        <v>204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1" x14ac:dyDescent="0.35">
      <c r="A2" s="115" t="s">
        <v>205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</row>
    <row r="3" spans="1:11" x14ac:dyDescent="0.35">
      <c r="A3" s="115" t="s">
        <v>206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</row>
    <row r="4" spans="1:11" ht="15" thickBot="1" x14ac:dyDescent="0.4"/>
    <row r="5" spans="1:11" ht="15" thickBot="1" x14ac:dyDescent="0.4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</row>
    <row r="6" spans="1:11" x14ac:dyDescent="0.35">
      <c r="A6" s="4">
        <v>1</v>
      </c>
      <c r="B6" s="5">
        <v>2</v>
      </c>
      <c r="C6" s="5">
        <v>3</v>
      </c>
      <c r="D6" s="5">
        <v>4</v>
      </c>
      <c r="E6" s="6">
        <f>SUM(A6:D6)</f>
        <v>10</v>
      </c>
    </row>
    <row r="7" spans="1:11" ht="15" thickBot="1" x14ac:dyDescent="0.4">
      <c r="A7" s="7">
        <v>6</v>
      </c>
      <c r="B7" s="8">
        <v>7</v>
      </c>
      <c r="C7" s="8">
        <v>8</v>
      </c>
      <c r="D7" s="8">
        <v>9</v>
      </c>
      <c r="E7" s="9">
        <f>SUM(A7:D7)</f>
        <v>30</v>
      </c>
    </row>
    <row r="9" spans="1:11" x14ac:dyDescent="0.35">
      <c r="A9" s="115" t="s">
        <v>11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</row>
    <row r="10" spans="1:11" x14ac:dyDescent="0.35">
      <c r="A10" s="115" t="s">
        <v>13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</row>
    <row r="11" spans="1:11" ht="15" thickBot="1" x14ac:dyDescent="0.4"/>
    <row r="12" spans="1:11" ht="15" thickBot="1" x14ac:dyDescent="0.4">
      <c r="A12" s="111" t="s">
        <v>6</v>
      </c>
      <c r="B12" s="112" t="s">
        <v>7</v>
      </c>
      <c r="C12" s="112" t="s">
        <v>8</v>
      </c>
      <c r="D12" s="112" t="s">
        <v>9</v>
      </c>
      <c r="E12" s="113" t="s">
        <v>5</v>
      </c>
    </row>
    <row r="13" spans="1:11" x14ac:dyDescent="0.35">
      <c r="A13" s="103">
        <v>789</v>
      </c>
      <c r="B13" s="104">
        <v>84</v>
      </c>
      <c r="C13" s="104">
        <v>33</v>
      </c>
      <c r="D13" s="104">
        <v>54</v>
      </c>
      <c r="E13" s="105">
        <f>SUM(A13:D13)</f>
        <v>960</v>
      </c>
    </row>
    <row r="14" spans="1:11" x14ac:dyDescent="0.35">
      <c r="A14" s="106">
        <v>32</v>
      </c>
      <c r="B14" s="107">
        <v>473</v>
      </c>
      <c r="C14" s="107">
        <v>1</v>
      </c>
      <c r="D14" s="107">
        <v>76</v>
      </c>
      <c r="E14" s="108">
        <f t="shared" ref="E14:E17" si="0">SUM(A14:D14)</f>
        <v>582</v>
      </c>
    </row>
    <row r="15" spans="1:11" x14ac:dyDescent="0.35">
      <c r="A15" s="106">
        <v>4123</v>
      </c>
      <c r="B15" s="107">
        <v>6457</v>
      </c>
      <c r="C15" s="107">
        <v>3</v>
      </c>
      <c r="D15" s="107">
        <v>47</v>
      </c>
      <c r="E15" s="108">
        <f t="shared" si="0"/>
        <v>10630</v>
      </c>
    </row>
    <row r="16" spans="1:11" x14ac:dyDescent="0.35">
      <c r="A16" s="106">
        <v>22</v>
      </c>
      <c r="B16" s="107">
        <v>236</v>
      </c>
      <c r="C16" s="107">
        <v>57</v>
      </c>
      <c r="D16" s="107">
        <v>234</v>
      </c>
      <c r="E16" s="108">
        <f t="shared" si="0"/>
        <v>549</v>
      </c>
    </row>
    <row r="17" spans="1:5" ht="15" thickBot="1" x14ac:dyDescent="0.4">
      <c r="A17" s="109">
        <v>9</v>
      </c>
      <c r="B17" s="110">
        <v>289</v>
      </c>
      <c r="C17" s="110">
        <v>662</v>
      </c>
      <c r="D17" s="110">
        <v>4</v>
      </c>
      <c r="E17" s="9">
        <f t="shared" si="0"/>
        <v>964</v>
      </c>
    </row>
  </sheetData>
  <mergeCells count="5">
    <mergeCell ref="A1:K1"/>
    <mergeCell ref="A3:K3"/>
    <mergeCell ref="A2:K2"/>
    <mergeCell ref="A9:K9"/>
    <mergeCell ref="A10:K10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59"/>
  <sheetViews>
    <sheetView workbookViewId="0">
      <selection activeCell="H46" sqref="H46"/>
    </sheetView>
  </sheetViews>
  <sheetFormatPr baseColWidth="10" defaultRowHeight="14.5" x14ac:dyDescent="0.35"/>
  <cols>
    <col min="4" max="4" width="18.453125" bestFit="1" customWidth="1"/>
    <col min="5" max="5" width="17.26953125" bestFit="1" customWidth="1"/>
    <col min="6" max="6" width="24.7265625" customWidth="1"/>
    <col min="7" max="7" width="14.54296875" bestFit="1" customWidth="1"/>
    <col min="8" max="8" width="17.7265625" bestFit="1" customWidth="1"/>
    <col min="9" max="9" width="14.7265625" customWidth="1"/>
    <col min="10" max="10" width="17.7265625" bestFit="1" customWidth="1"/>
  </cols>
  <sheetData>
    <row r="1" spans="1:8" x14ac:dyDescent="0.35">
      <c r="A1" t="s">
        <v>12</v>
      </c>
    </row>
    <row r="2" spans="1:8" ht="15" thickBot="1" x14ac:dyDescent="0.4"/>
    <row r="3" spans="1:8" ht="15.5" thickTop="1" thickBot="1" x14ac:dyDescent="0.4">
      <c r="A3" t="s">
        <v>197</v>
      </c>
      <c r="G3" s="32"/>
    </row>
    <row r="4" spans="1:8" ht="15" thickTop="1" x14ac:dyDescent="0.35"/>
    <row r="5" spans="1:8" x14ac:dyDescent="0.35">
      <c r="A5" s="47" t="s">
        <v>23</v>
      </c>
      <c r="B5" s="47"/>
      <c r="C5" s="47"/>
      <c r="D5" s="47"/>
      <c r="E5" s="47"/>
      <c r="F5" s="47"/>
      <c r="G5" s="47"/>
      <c r="H5" s="47"/>
    </row>
    <row r="6" spans="1:8" x14ac:dyDescent="0.35">
      <c r="A6" s="47" t="s">
        <v>207</v>
      </c>
      <c r="B6" s="47"/>
      <c r="C6" s="47"/>
      <c r="D6" s="47"/>
      <c r="E6" s="47"/>
      <c r="F6" s="47"/>
      <c r="G6" s="47"/>
      <c r="H6" s="47"/>
    </row>
    <row r="7" spans="1:8" x14ac:dyDescent="0.35">
      <c r="A7" s="47" t="s">
        <v>62</v>
      </c>
      <c r="B7" s="47"/>
      <c r="C7" s="47"/>
      <c r="D7" s="47"/>
      <c r="E7" s="47"/>
      <c r="F7" s="47"/>
      <c r="G7" s="47"/>
      <c r="H7" s="47"/>
    </row>
    <row r="8" spans="1:8" x14ac:dyDescent="0.35">
      <c r="A8" s="47" t="s">
        <v>63</v>
      </c>
      <c r="B8" s="47"/>
      <c r="C8" s="47"/>
      <c r="D8" s="47"/>
      <c r="E8" s="47"/>
      <c r="F8" s="47"/>
      <c r="G8" s="47"/>
      <c r="H8" s="47"/>
    </row>
    <row r="9" spans="1:8" x14ac:dyDescent="0.35">
      <c r="A9" s="47" t="s">
        <v>64</v>
      </c>
      <c r="B9" s="47"/>
      <c r="C9" s="47"/>
      <c r="D9" s="47"/>
      <c r="E9" s="47"/>
      <c r="F9" s="47"/>
      <c r="G9" s="47"/>
      <c r="H9" s="47"/>
    </row>
    <row r="10" spans="1:8" x14ac:dyDescent="0.35">
      <c r="A10" s="47" t="s">
        <v>65</v>
      </c>
      <c r="B10" s="47"/>
      <c r="C10" s="47"/>
      <c r="D10" s="47"/>
      <c r="E10" s="47"/>
      <c r="F10" s="47"/>
      <c r="G10" s="47"/>
      <c r="H10" s="47"/>
    </row>
    <row r="11" spans="1:8" x14ac:dyDescent="0.35">
      <c r="A11" s="47" t="s">
        <v>66</v>
      </c>
      <c r="B11" s="47"/>
      <c r="C11" s="47"/>
      <c r="D11" s="47"/>
      <c r="E11" s="47"/>
      <c r="F11" s="47"/>
      <c r="G11" s="47"/>
      <c r="H11" s="47"/>
    </row>
    <row r="12" spans="1:8" x14ac:dyDescent="0.35">
      <c r="A12" s="47" t="s">
        <v>67</v>
      </c>
      <c r="B12" s="47"/>
      <c r="C12" s="47"/>
      <c r="D12" s="47"/>
      <c r="E12" s="47"/>
      <c r="F12" s="47"/>
      <c r="G12" s="47"/>
      <c r="H12" s="47"/>
    </row>
    <row r="13" spans="1:8" x14ac:dyDescent="0.35">
      <c r="A13" s="47" t="s">
        <v>68</v>
      </c>
      <c r="B13" s="47"/>
      <c r="C13" s="47"/>
      <c r="D13" s="47"/>
      <c r="E13" s="47"/>
      <c r="F13" s="47"/>
      <c r="G13" s="47"/>
      <c r="H13" s="47"/>
    </row>
    <row r="14" spans="1:8" x14ac:dyDescent="0.35">
      <c r="A14" s="47" t="s">
        <v>69</v>
      </c>
      <c r="B14" s="47"/>
      <c r="C14" s="47"/>
      <c r="D14" s="47"/>
      <c r="E14" s="47"/>
      <c r="F14" s="47"/>
      <c r="G14" s="47"/>
      <c r="H14" s="47"/>
    </row>
    <row r="17" spans="1:10" x14ac:dyDescent="0.35">
      <c r="A17" s="33" t="s">
        <v>15</v>
      </c>
      <c r="B17" s="33" t="s">
        <v>16</v>
      </c>
      <c r="C17" s="33" t="s">
        <v>17</v>
      </c>
      <c r="D17" s="33" t="s">
        <v>20</v>
      </c>
      <c r="E17" s="33" t="s">
        <v>21</v>
      </c>
      <c r="F17" s="33" t="s">
        <v>22</v>
      </c>
      <c r="G17" s="33" t="s">
        <v>18</v>
      </c>
      <c r="H17" s="33" t="s">
        <v>19</v>
      </c>
    </row>
    <row r="18" spans="1:10" x14ac:dyDescent="0.35">
      <c r="A18" s="47"/>
      <c r="B18" s="47"/>
      <c r="C18" s="47"/>
      <c r="D18" s="47"/>
      <c r="E18" s="47"/>
      <c r="F18" s="47"/>
      <c r="G18" s="47"/>
      <c r="H18" s="47"/>
    </row>
    <row r="19" spans="1:10" x14ac:dyDescent="0.35">
      <c r="A19" s="47"/>
      <c r="B19" s="47"/>
      <c r="C19" s="47"/>
      <c r="D19" s="47"/>
      <c r="E19" s="48"/>
      <c r="F19" s="47"/>
      <c r="G19" s="47"/>
      <c r="H19" s="47"/>
    </row>
    <row r="20" spans="1:10" x14ac:dyDescent="0.35">
      <c r="A20" s="47"/>
      <c r="B20" s="47"/>
      <c r="C20" s="47"/>
      <c r="D20" s="47"/>
      <c r="E20" s="47"/>
      <c r="F20" s="47"/>
      <c r="G20" s="47"/>
      <c r="H20" s="47"/>
    </row>
    <row r="21" spans="1:10" x14ac:dyDescent="0.35">
      <c r="A21" s="47"/>
      <c r="B21" s="47"/>
      <c r="C21" s="47"/>
      <c r="D21" s="47"/>
      <c r="E21" s="47"/>
      <c r="F21" s="47"/>
      <c r="G21" s="47"/>
      <c r="H21" s="47"/>
    </row>
    <row r="22" spans="1:10" x14ac:dyDescent="0.35">
      <c r="A22" s="47"/>
      <c r="B22" s="47"/>
      <c r="C22" s="49"/>
      <c r="D22" s="47"/>
      <c r="E22" s="47"/>
      <c r="F22" s="50"/>
      <c r="G22" s="51"/>
      <c r="H22" s="50"/>
      <c r="I22" s="30"/>
    </row>
    <row r="23" spans="1:10" x14ac:dyDescent="0.35">
      <c r="A23" s="47"/>
      <c r="B23" s="47"/>
      <c r="C23" s="49"/>
      <c r="D23" s="47"/>
      <c r="E23" s="47"/>
      <c r="F23" s="50"/>
      <c r="G23" s="51"/>
      <c r="H23" s="50"/>
      <c r="I23" s="30"/>
    </row>
    <row r="24" spans="1:10" x14ac:dyDescent="0.35">
      <c r="A24" s="47"/>
      <c r="B24" s="47"/>
      <c r="C24" s="49"/>
      <c r="D24" s="47"/>
      <c r="E24" s="47"/>
      <c r="F24" s="50"/>
      <c r="G24" s="51"/>
      <c r="H24" s="50"/>
      <c r="I24" s="30"/>
    </row>
    <row r="25" spans="1:10" x14ac:dyDescent="0.35">
      <c r="A25" s="47"/>
      <c r="B25" s="47"/>
      <c r="C25" s="49"/>
      <c r="D25" s="47"/>
      <c r="E25" s="47"/>
      <c r="F25" s="50"/>
      <c r="G25" s="51"/>
      <c r="H25" s="50"/>
      <c r="I25" s="30"/>
    </row>
    <row r="26" spans="1:10" x14ac:dyDescent="0.35">
      <c r="A26" s="47"/>
      <c r="B26" s="47"/>
      <c r="C26" s="49"/>
      <c r="D26" s="47"/>
      <c r="E26" s="47"/>
      <c r="F26" s="50"/>
      <c r="G26" s="51"/>
      <c r="H26" s="50"/>
      <c r="I26" s="30"/>
    </row>
    <row r="27" spans="1:10" x14ac:dyDescent="0.35">
      <c r="A27" s="47"/>
      <c r="B27" s="47"/>
      <c r="C27" s="49"/>
      <c r="D27" s="47"/>
      <c r="E27" s="47"/>
      <c r="F27" s="50"/>
      <c r="G27" s="51"/>
      <c r="H27" s="50"/>
      <c r="I27" s="30"/>
    </row>
    <row r="28" spans="1:10" x14ac:dyDescent="0.35">
      <c r="A28" s="99"/>
      <c r="B28" s="99"/>
      <c r="C28" s="100"/>
      <c r="D28" s="99"/>
      <c r="E28" s="99"/>
      <c r="F28" s="101"/>
      <c r="G28" s="102"/>
      <c r="H28" s="101"/>
      <c r="I28" s="30"/>
    </row>
    <row r="29" spans="1:10" x14ac:dyDescent="0.35">
      <c r="A29" s="52" t="s">
        <v>70</v>
      </c>
      <c r="B29" s="52"/>
      <c r="C29" s="52"/>
      <c r="D29" s="52"/>
      <c r="E29" s="52"/>
      <c r="F29" s="52"/>
      <c r="G29" s="52"/>
      <c r="H29" s="52"/>
      <c r="I29" s="52"/>
      <c r="J29" s="52"/>
    </row>
    <row r="30" spans="1:10" x14ac:dyDescent="0.35">
      <c r="A30" s="52" t="s">
        <v>71</v>
      </c>
      <c r="B30" s="52"/>
      <c r="C30" s="52"/>
      <c r="D30" s="52"/>
      <c r="E30" s="52"/>
      <c r="F30" s="52"/>
      <c r="G30" s="52"/>
      <c r="H30" s="52"/>
      <c r="I30" s="52"/>
      <c r="J30" s="52"/>
    </row>
    <row r="31" spans="1:10" x14ac:dyDescent="0.35">
      <c r="A31" s="99"/>
      <c r="B31" s="99"/>
      <c r="C31" s="100"/>
      <c r="D31" s="99"/>
      <c r="E31" s="99"/>
      <c r="F31" s="101"/>
      <c r="G31" s="102"/>
      <c r="H31" s="101"/>
      <c r="I31" s="30"/>
    </row>
    <row r="32" spans="1:10" x14ac:dyDescent="0.35">
      <c r="A32" s="53"/>
      <c r="B32" s="52"/>
      <c r="C32" s="52"/>
      <c r="D32" s="52"/>
      <c r="E32" s="52"/>
      <c r="F32" s="52"/>
      <c r="G32" s="102"/>
      <c r="H32" s="101"/>
      <c r="I32" s="30"/>
    </row>
    <row r="33" spans="1:9" x14ac:dyDescent="0.35">
      <c r="A33" s="53"/>
      <c r="B33" s="52"/>
      <c r="C33" s="52"/>
      <c r="D33" s="52"/>
      <c r="E33" s="52"/>
      <c r="F33" s="52"/>
      <c r="G33" s="102"/>
      <c r="H33" s="101"/>
      <c r="I33" s="30"/>
    </row>
    <row r="34" spans="1:9" x14ac:dyDescent="0.35">
      <c r="A34" s="53"/>
      <c r="B34" s="52"/>
      <c r="C34" s="52"/>
      <c r="D34" s="52"/>
      <c r="E34" s="52"/>
      <c r="F34" s="52"/>
      <c r="G34" s="102"/>
      <c r="H34" s="101"/>
      <c r="I34" s="30"/>
    </row>
    <row r="35" spans="1:9" x14ac:dyDescent="0.35">
      <c r="A35" s="53"/>
      <c r="B35" s="52"/>
      <c r="C35" s="52"/>
      <c r="D35" s="52"/>
      <c r="E35" s="52"/>
      <c r="F35" s="52"/>
      <c r="G35" s="102"/>
      <c r="H35" s="101"/>
      <c r="I35" s="30"/>
    </row>
    <row r="36" spans="1:9" x14ac:dyDescent="0.35">
      <c r="A36" s="53"/>
      <c r="B36" s="52"/>
      <c r="C36" s="52"/>
      <c r="D36" s="52"/>
      <c r="E36" s="52"/>
      <c r="F36" s="52"/>
      <c r="G36" s="102"/>
      <c r="H36" s="101"/>
      <c r="I36" s="30"/>
    </row>
    <row r="37" spans="1:9" x14ac:dyDescent="0.35">
      <c r="A37" s="53"/>
      <c r="B37" s="52"/>
      <c r="C37" s="52"/>
      <c r="D37" s="52"/>
      <c r="E37" s="52"/>
      <c r="F37" s="52"/>
      <c r="G37" s="29"/>
      <c r="H37" s="28"/>
      <c r="I37" s="30"/>
    </row>
    <row r="38" spans="1:9" x14ac:dyDescent="0.35">
      <c r="A38" s="53"/>
      <c r="B38" s="52"/>
      <c r="C38" s="52"/>
      <c r="D38" s="52"/>
      <c r="E38" s="52"/>
      <c r="F38" s="52"/>
      <c r="G38" s="29"/>
      <c r="H38" s="28"/>
      <c r="I38" s="30"/>
    </row>
    <row r="39" spans="1:9" x14ac:dyDescent="0.35">
      <c r="A39" s="53"/>
      <c r="B39" s="52"/>
      <c r="C39" s="52"/>
      <c r="D39" s="52"/>
      <c r="E39" s="52"/>
      <c r="F39" s="52"/>
      <c r="G39" s="29"/>
      <c r="H39" s="28"/>
      <c r="I39" s="30"/>
    </row>
    <row r="40" spans="1:9" x14ac:dyDescent="0.35">
      <c r="A40" s="53"/>
      <c r="B40" s="52"/>
      <c r="C40" s="52"/>
      <c r="D40" s="52"/>
      <c r="E40" s="52"/>
      <c r="F40" s="52"/>
      <c r="G40" s="29"/>
      <c r="H40" s="28"/>
      <c r="I40" s="30"/>
    </row>
    <row r="41" spans="1:9" x14ac:dyDescent="0.35">
      <c r="A41" s="53"/>
      <c r="B41" s="52"/>
      <c r="C41" s="52"/>
      <c r="D41" s="52"/>
      <c r="E41" s="52"/>
      <c r="F41" s="52"/>
    </row>
    <row r="42" spans="1:9" x14ac:dyDescent="0.35">
      <c r="A42" s="53"/>
      <c r="B42" s="52"/>
      <c r="C42" s="52"/>
      <c r="D42" s="52"/>
      <c r="E42" s="52"/>
      <c r="F42" s="52"/>
    </row>
    <row r="43" spans="1:9" x14ac:dyDescent="0.35">
      <c r="A43" s="53"/>
      <c r="B43" s="52"/>
      <c r="C43" s="52"/>
      <c r="D43" s="52"/>
      <c r="E43" s="52"/>
      <c r="F43" s="52"/>
    </row>
    <row r="44" spans="1:9" x14ac:dyDescent="0.35">
      <c r="A44" s="53"/>
      <c r="B44" s="52"/>
      <c r="C44" s="52"/>
      <c r="D44" s="52"/>
      <c r="E44" s="52"/>
      <c r="F44" s="52"/>
    </row>
    <row r="45" spans="1:9" x14ac:dyDescent="0.35">
      <c r="A45" s="53"/>
      <c r="B45" s="52"/>
      <c r="C45" s="52"/>
      <c r="D45" s="52"/>
      <c r="E45" s="52"/>
      <c r="F45" s="52"/>
    </row>
    <row r="46" spans="1:9" x14ac:dyDescent="0.35">
      <c r="A46" s="53"/>
      <c r="B46" s="52"/>
      <c r="C46" s="52"/>
      <c r="D46" s="52"/>
      <c r="E46" s="52"/>
      <c r="F46" s="52"/>
    </row>
    <row r="47" spans="1:9" x14ac:dyDescent="0.35">
      <c r="A47" s="52"/>
      <c r="B47" s="52"/>
      <c r="C47" s="52"/>
      <c r="D47" s="52"/>
      <c r="E47" s="52"/>
      <c r="F47" s="52"/>
    </row>
    <row r="48" spans="1:9" x14ac:dyDescent="0.35">
      <c r="A48" s="52"/>
      <c r="B48" s="52"/>
      <c r="C48" s="52"/>
      <c r="D48" s="52"/>
      <c r="E48" s="52"/>
      <c r="F48" s="52"/>
    </row>
    <row r="49" spans="1:6" x14ac:dyDescent="0.35">
      <c r="A49" s="52"/>
      <c r="B49" s="52"/>
      <c r="C49" s="52"/>
      <c r="D49" s="52"/>
      <c r="E49" s="52"/>
      <c r="F49" s="52"/>
    </row>
    <row r="50" spans="1:6" x14ac:dyDescent="0.35">
      <c r="A50" s="52"/>
      <c r="B50" s="52"/>
      <c r="C50" s="52"/>
      <c r="D50" s="52"/>
      <c r="E50" s="52"/>
      <c r="F50" s="52"/>
    </row>
    <row r="51" spans="1:6" x14ac:dyDescent="0.35">
      <c r="A51" s="52"/>
      <c r="B51" s="52"/>
      <c r="C51" s="52"/>
      <c r="D51" s="52"/>
      <c r="E51" s="52"/>
      <c r="F51" s="52"/>
    </row>
    <row r="52" spans="1:6" x14ac:dyDescent="0.35">
      <c r="A52" s="52"/>
      <c r="B52" s="52"/>
      <c r="C52" s="52"/>
      <c r="D52" s="52"/>
      <c r="E52" s="52"/>
      <c r="F52" s="52"/>
    </row>
    <row r="53" spans="1:6" x14ac:dyDescent="0.35">
      <c r="A53" s="52"/>
      <c r="B53" s="52"/>
      <c r="C53" s="52"/>
      <c r="D53" s="52"/>
      <c r="E53" s="52"/>
      <c r="F53" s="52"/>
    </row>
    <row r="54" spans="1:6" x14ac:dyDescent="0.35">
      <c r="A54" s="52"/>
      <c r="B54" s="52"/>
      <c r="C54" s="52"/>
      <c r="D54" s="52"/>
      <c r="E54" s="52"/>
      <c r="F54" s="52"/>
    </row>
    <row r="55" spans="1:6" x14ac:dyDescent="0.35">
      <c r="A55" s="52"/>
      <c r="B55" s="52"/>
      <c r="C55" s="52"/>
      <c r="D55" s="52"/>
      <c r="E55" s="52"/>
      <c r="F55" s="52"/>
    </row>
    <row r="56" spans="1:6" x14ac:dyDescent="0.35">
      <c r="A56" s="52"/>
      <c r="B56" s="52"/>
      <c r="C56" s="52"/>
      <c r="D56" s="52"/>
      <c r="E56" s="52"/>
      <c r="F56" s="52"/>
    </row>
    <row r="57" spans="1:6" x14ac:dyDescent="0.35">
      <c r="A57" s="52"/>
      <c r="B57" s="52"/>
      <c r="C57" s="52"/>
      <c r="D57" s="52"/>
      <c r="E57" s="52"/>
      <c r="F57" s="52"/>
    </row>
    <row r="58" spans="1:6" x14ac:dyDescent="0.35">
      <c r="A58" s="52"/>
      <c r="B58" s="52"/>
      <c r="C58" s="52"/>
      <c r="D58" s="52"/>
      <c r="E58" s="52"/>
      <c r="F58" s="52"/>
    </row>
    <row r="59" spans="1:6" x14ac:dyDescent="0.35">
      <c r="A59" s="52"/>
      <c r="B59" s="52"/>
      <c r="C59" s="52"/>
      <c r="D59" s="52"/>
      <c r="E59" s="52"/>
      <c r="F59" s="52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opLeftCell="A25" workbookViewId="0">
      <selection activeCell="H18" sqref="H18"/>
    </sheetView>
  </sheetViews>
  <sheetFormatPr baseColWidth="10" defaultRowHeight="14.5" x14ac:dyDescent="0.35"/>
  <cols>
    <col min="4" max="4" width="18.453125" bestFit="1" customWidth="1"/>
    <col min="5" max="5" width="17.26953125" bestFit="1" customWidth="1"/>
    <col min="6" max="6" width="24.7265625" customWidth="1"/>
    <col min="7" max="7" width="14.54296875" bestFit="1" customWidth="1"/>
    <col min="8" max="8" width="17.7265625" bestFit="1" customWidth="1"/>
    <col min="9" max="9" width="14.7265625" customWidth="1"/>
    <col min="10" max="10" width="17.7265625" bestFit="1" customWidth="1"/>
  </cols>
  <sheetData>
    <row r="1" spans="1:8" x14ac:dyDescent="0.35">
      <c r="A1" t="s">
        <v>12</v>
      </c>
    </row>
    <row r="2" spans="1:8" ht="15" thickBot="1" x14ac:dyDescent="0.4"/>
    <row r="3" spans="1:8" ht="15.5" thickTop="1" thickBot="1" x14ac:dyDescent="0.4">
      <c r="A3" t="s">
        <v>197</v>
      </c>
      <c r="G3" s="54">
        <v>0.19</v>
      </c>
    </row>
    <row r="4" spans="1:8" ht="15" thickTop="1" x14ac:dyDescent="0.35"/>
    <row r="5" spans="1:8" x14ac:dyDescent="0.35">
      <c r="A5" s="47" t="s">
        <v>23</v>
      </c>
      <c r="B5" s="47"/>
      <c r="C5" s="47"/>
      <c r="D5" s="47"/>
      <c r="E5" s="47"/>
      <c r="F5" s="47"/>
      <c r="G5" s="47"/>
      <c r="H5" s="47"/>
    </row>
    <row r="6" spans="1:8" x14ac:dyDescent="0.35">
      <c r="A6" s="47" t="s">
        <v>24</v>
      </c>
      <c r="B6" s="47"/>
      <c r="C6" s="47"/>
      <c r="D6" s="47"/>
      <c r="E6" s="47"/>
      <c r="F6" s="47"/>
      <c r="G6" s="47"/>
      <c r="H6" s="47"/>
    </row>
    <row r="7" spans="1:8" x14ac:dyDescent="0.35">
      <c r="A7" s="47" t="s">
        <v>62</v>
      </c>
      <c r="B7" s="47"/>
      <c r="C7" s="47"/>
      <c r="D7" s="47"/>
      <c r="E7" s="47"/>
      <c r="F7" s="47"/>
      <c r="G7" s="47"/>
      <c r="H7" s="47"/>
    </row>
    <row r="8" spans="1:8" x14ac:dyDescent="0.35">
      <c r="A8" s="47" t="s">
        <v>63</v>
      </c>
      <c r="B8" s="47"/>
      <c r="C8" s="47"/>
      <c r="D8" s="47"/>
      <c r="E8" s="47"/>
      <c r="F8" s="47"/>
      <c r="G8" s="47"/>
      <c r="H8" s="47"/>
    </row>
    <row r="9" spans="1:8" x14ac:dyDescent="0.35">
      <c r="A9" s="47" t="s">
        <v>64</v>
      </c>
      <c r="B9" s="47"/>
      <c r="C9" s="47"/>
      <c r="D9" s="47"/>
      <c r="E9" s="47"/>
      <c r="F9" s="47"/>
      <c r="G9" s="47"/>
      <c r="H9" s="47"/>
    </row>
    <row r="10" spans="1:8" x14ac:dyDescent="0.35">
      <c r="A10" s="47" t="s">
        <v>65</v>
      </c>
      <c r="B10" s="47"/>
      <c r="C10" s="47"/>
      <c r="D10" s="47"/>
      <c r="E10" s="47"/>
      <c r="F10" s="47"/>
      <c r="G10" s="47"/>
      <c r="H10" s="47"/>
    </row>
    <row r="11" spans="1:8" x14ac:dyDescent="0.35">
      <c r="A11" s="47" t="s">
        <v>66</v>
      </c>
      <c r="B11" s="47"/>
      <c r="C11" s="47"/>
      <c r="D11" s="47"/>
      <c r="E11" s="47"/>
      <c r="F11" s="47"/>
      <c r="G11" s="47"/>
      <c r="H11" s="47"/>
    </row>
    <row r="12" spans="1:8" x14ac:dyDescent="0.35">
      <c r="A12" s="47" t="s">
        <v>227</v>
      </c>
      <c r="B12" s="47"/>
      <c r="C12" s="47"/>
      <c r="D12" s="47"/>
      <c r="E12" s="47"/>
      <c r="F12" s="47"/>
      <c r="G12" s="47"/>
      <c r="H12" s="47"/>
    </row>
    <row r="13" spans="1:8" x14ac:dyDescent="0.35">
      <c r="A13" s="47" t="s">
        <v>68</v>
      </c>
      <c r="B13" s="47"/>
      <c r="C13" s="47"/>
      <c r="D13" s="47"/>
      <c r="E13" s="47"/>
      <c r="F13" s="47"/>
      <c r="G13" s="47"/>
      <c r="H13" s="47"/>
    </row>
    <row r="14" spans="1:8" x14ac:dyDescent="0.35">
      <c r="A14" s="47" t="s">
        <v>69</v>
      </c>
      <c r="B14" s="47"/>
      <c r="C14" s="47"/>
      <c r="D14" s="47"/>
      <c r="E14" s="47"/>
      <c r="F14" s="47"/>
      <c r="G14" s="47"/>
      <c r="H14" s="47"/>
    </row>
    <row r="17" spans="1:10" x14ac:dyDescent="0.35">
      <c r="A17" s="33" t="s">
        <v>15</v>
      </c>
      <c r="B17" s="33" t="s">
        <v>16</v>
      </c>
      <c r="C17" s="33" t="s">
        <v>17</v>
      </c>
      <c r="D17" s="33" t="s">
        <v>20</v>
      </c>
      <c r="E17" s="33" t="s">
        <v>21</v>
      </c>
      <c r="F17" s="33" t="s">
        <v>22</v>
      </c>
      <c r="G17" s="33" t="s">
        <v>18</v>
      </c>
      <c r="H17" s="33" t="s">
        <v>19</v>
      </c>
    </row>
    <row r="18" spans="1:10" x14ac:dyDescent="0.35">
      <c r="A18" s="27">
        <v>43556</v>
      </c>
      <c r="B18">
        <v>40</v>
      </c>
      <c r="C18">
        <v>12</v>
      </c>
      <c r="D18" s="28">
        <v>90</v>
      </c>
      <c r="E18" s="29">
        <f t="shared" ref="E18:E27" si="0">B18-C18</f>
        <v>28</v>
      </c>
      <c r="F18" s="28">
        <f t="shared" ref="F18:F27" si="1">D18/E18</f>
        <v>3.2142857142857144</v>
      </c>
      <c r="G18" s="30">
        <f t="shared" ref="G18:G27" si="2">C18/B18</f>
        <v>0.3</v>
      </c>
      <c r="H18" s="31">
        <f>D18/(1+$G$3)</f>
        <v>75.630252100840337</v>
      </c>
    </row>
    <row r="19" spans="1:10" x14ac:dyDescent="0.35">
      <c r="A19" s="27">
        <v>43557</v>
      </c>
      <c r="B19">
        <v>30</v>
      </c>
      <c r="C19">
        <v>8</v>
      </c>
      <c r="D19" s="28">
        <v>60.56</v>
      </c>
      <c r="E19" s="29">
        <f t="shared" si="0"/>
        <v>22</v>
      </c>
      <c r="F19" s="28">
        <f t="shared" si="1"/>
        <v>2.7527272727272729</v>
      </c>
      <c r="G19" s="30">
        <f t="shared" si="2"/>
        <v>0.26666666666666666</v>
      </c>
      <c r="H19" s="31">
        <f t="shared" ref="H19:H27" si="3">D19/(1+$G$3)</f>
        <v>50.890756302521012</v>
      </c>
    </row>
    <row r="20" spans="1:10" x14ac:dyDescent="0.35">
      <c r="A20" s="27">
        <v>43558</v>
      </c>
      <c r="B20">
        <v>78</v>
      </c>
      <c r="C20">
        <v>14</v>
      </c>
      <c r="D20" s="28">
        <v>23.63</v>
      </c>
      <c r="E20" s="29">
        <f t="shared" si="0"/>
        <v>64</v>
      </c>
      <c r="F20" s="28">
        <f t="shared" si="1"/>
        <v>0.36921874999999998</v>
      </c>
      <c r="G20" s="30">
        <f t="shared" si="2"/>
        <v>0.17948717948717949</v>
      </c>
      <c r="H20" s="31">
        <f t="shared" si="3"/>
        <v>19.857142857142858</v>
      </c>
    </row>
    <row r="21" spans="1:10" x14ac:dyDescent="0.35">
      <c r="A21" s="27">
        <v>43559</v>
      </c>
      <c r="B21">
        <v>28</v>
      </c>
      <c r="C21">
        <v>2</v>
      </c>
      <c r="D21" s="28">
        <v>78.430000000000007</v>
      </c>
      <c r="E21" s="29">
        <f t="shared" si="0"/>
        <v>26</v>
      </c>
      <c r="F21" s="28">
        <f t="shared" si="1"/>
        <v>3.0165384615384618</v>
      </c>
      <c r="G21" s="30">
        <f t="shared" si="2"/>
        <v>7.1428571428571425E-2</v>
      </c>
      <c r="H21" s="31">
        <f t="shared" si="3"/>
        <v>65.907563025210095</v>
      </c>
    </row>
    <row r="22" spans="1:10" x14ac:dyDescent="0.35">
      <c r="A22" s="27">
        <v>43560</v>
      </c>
      <c r="B22">
        <v>12</v>
      </c>
      <c r="C22">
        <v>5</v>
      </c>
      <c r="D22" s="28">
        <v>39.590000000000003</v>
      </c>
      <c r="E22" s="29">
        <f t="shared" si="0"/>
        <v>7</v>
      </c>
      <c r="F22" s="28">
        <f t="shared" si="1"/>
        <v>5.6557142857142866</v>
      </c>
      <c r="G22" s="30">
        <f t="shared" si="2"/>
        <v>0.41666666666666669</v>
      </c>
      <c r="H22" s="31">
        <f t="shared" si="3"/>
        <v>33.268907563025216</v>
      </c>
      <c r="I22" s="30"/>
      <c r="J22" s="31"/>
    </row>
    <row r="23" spans="1:10" x14ac:dyDescent="0.35">
      <c r="A23" s="27">
        <v>43561</v>
      </c>
      <c r="B23">
        <v>56</v>
      </c>
      <c r="C23">
        <v>23</v>
      </c>
      <c r="D23" s="28">
        <v>29.99</v>
      </c>
      <c r="E23" s="29">
        <f t="shared" si="0"/>
        <v>33</v>
      </c>
      <c r="F23" s="28">
        <f t="shared" si="1"/>
        <v>0.9087878787878787</v>
      </c>
      <c r="G23" s="30">
        <f t="shared" si="2"/>
        <v>0.4107142857142857</v>
      </c>
      <c r="H23" s="31">
        <f t="shared" si="3"/>
        <v>25.201680672268907</v>
      </c>
      <c r="I23" s="30"/>
      <c r="J23" s="31"/>
    </row>
    <row r="24" spans="1:10" x14ac:dyDescent="0.35">
      <c r="A24" s="27">
        <v>43562</v>
      </c>
      <c r="B24">
        <v>34</v>
      </c>
      <c r="C24">
        <v>7</v>
      </c>
      <c r="D24" s="28">
        <v>12.75</v>
      </c>
      <c r="E24" s="29">
        <f t="shared" si="0"/>
        <v>27</v>
      </c>
      <c r="F24" s="28">
        <f t="shared" si="1"/>
        <v>0.47222222222222221</v>
      </c>
      <c r="G24" s="30">
        <f t="shared" si="2"/>
        <v>0.20588235294117646</v>
      </c>
      <c r="H24" s="31">
        <f t="shared" si="3"/>
        <v>10.714285714285715</v>
      </c>
      <c r="I24" s="30"/>
    </row>
    <row r="25" spans="1:10" x14ac:dyDescent="0.35">
      <c r="A25" s="27">
        <v>43563</v>
      </c>
      <c r="B25">
        <v>19</v>
      </c>
      <c r="C25">
        <v>1</v>
      </c>
      <c r="D25" s="28">
        <v>34.86</v>
      </c>
      <c r="E25" s="29">
        <f t="shared" si="0"/>
        <v>18</v>
      </c>
      <c r="F25" s="28">
        <f t="shared" si="1"/>
        <v>1.9366666666666665</v>
      </c>
      <c r="G25" s="30">
        <f t="shared" si="2"/>
        <v>5.2631578947368418E-2</v>
      </c>
      <c r="H25" s="31">
        <f t="shared" si="3"/>
        <v>29.294117647058826</v>
      </c>
      <c r="I25" s="30"/>
    </row>
    <row r="26" spans="1:10" x14ac:dyDescent="0.35">
      <c r="A26" s="27">
        <v>43564</v>
      </c>
      <c r="B26">
        <v>104</v>
      </c>
      <c r="C26">
        <v>28</v>
      </c>
      <c r="D26" s="28">
        <v>21.31</v>
      </c>
      <c r="E26" s="29">
        <f t="shared" si="0"/>
        <v>76</v>
      </c>
      <c r="F26" s="28">
        <f t="shared" si="1"/>
        <v>0.28039473684210525</v>
      </c>
      <c r="G26" s="30">
        <f t="shared" si="2"/>
        <v>0.26923076923076922</v>
      </c>
      <c r="H26" s="31">
        <f t="shared" si="3"/>
        <v>17.907563025210084</v>
      </c>
      <c r="I26" s="30"/>
    </row>
    <row r="27" spans="1:10" x14ac:dyDescent="0.35">
      <c r="A27" s="27">
        <v>43565</v>
      </c>
      <c r="B27">
        <v>45</v>
      </c>
      <c r="C27">
        <v>17</v>
      </c>
      <c r="D27" s="28">
        <v>64.23</v>
      </c>
      <c r="E27" s="29">
        <f t="shared" si="0"/>
        <v>28</v>
      </c>
      <c r="F27" s="28">
        <f t="shared" si="1"/>
        <v>2.2939285714285718</v>
      </c>
      <c r="G27" s="30">
        <f t="shared" si="2"/>
        <v>0.37777777777777777</v>
      </c>
      <c r="H27" s="31">
        <f t="shared" si="3"/>
        <v>53.97478991596639</v>
      </c>
      <c r="I27" s="30"/>
    </row>
    <row r="28" spans="1:10" x14ac:dyDescent="0.35">
      <c r="A28" s="27"/>
      <c r="D28" s="28"/>
      <c r="E28" s="29"/>
      <c r="F28" s="28"/>
      <c r="G28" s="30"/>
      <c r="H28" s="31"/>
      <c r="I28" s="30"/>
    </row>
    <row r="29" spans="1:10" x14ac:dyDescent="0.35">
      <c r="A29" s="52" t="s">
        <v>70</v>
      </c>
      <c r="B29" s="52"/>
      <c r="C29" s="52"/>
      <c r="D29" s="52"/>
      <c r="E29" s="52"/>
      <c r="F29" s="52"/>
      <c r="G29" s="52"/>
      <c r="H29" s="52"/>
      <c r="I29" s="52"/>
    </row>
    <row r="30" spans="1:10" x14ac:dyDescent="0.35">
      <c r="A30" s="52" t="s">
        <v>71</v>
      </c>
      <c r="B30" s="52"/>
      <c r="C30" s="52"/>
      <c r="D30" s="52"/>
      <c r="E30" s="52"/>
      <c r="F30" s="52"/>
      <c r="G30" s="52"/>
      <c r="H30" s="52"/>
      <c r="I30" s="52"/>
    </row>
    <row r="31" spans="1:10" x14ac:dyDescent="0.35">
      <c r="A31" s="27"/>
      <c r="D31" s="28"/>
      <c r="E31" s="29"/>
      <c r="F31" s="28"/>
      <c r="G31" s="30"/>
      <c r="H31" s="31"/>
      <c r="I31" s="30"/>
    </row>
    <row r="32" spans="1:10" x14ac:dyDescent="0.35">
      <c r="A32" s="53"/>
      <c r="B32" s="52"/>
      <c r="C32" s="52"/>
      <c r="D32" s="52"/>
      <c r="E32" s="52"/>
      <c r="F32" s="52"/>
      <c r="G32" s="30"/>
      <c r="H32" s="31"/>
      <c r="I32" s="30"/>
    </row>
    <row r="33" spans="1:9" x14ac:dyDescent="0.35">
      <c r="A33" s="53"/>
      <c r="B33" s="52"/>
      <c r="C33" s="52"/>
      <c r="D33" s="52"/>
      <c r="E33" s="52"/>
      <c r="F33" s="52"/>
      <c r="G33" s="30"/>
      <c r="H33" s="31"/>
      <c r="I33" s="30"/>
    </row>
    <row r="34" spans="1:9" x14ac:dyDescent="0.35">
      <c r="A34" s="53"/>
      <c r="B34" s="52"/>
      <c r="C34" s="52"/>
      <c r="D34" s="52"/>
      <c r="E34" s="52"/>
      <c r="F34" s="52"/>
      <c r="G34" s="30"/>
      <c r="H34" s="31"/>
      <c r="I34" s="30"/>
    </row>
    <row r="35" spans="1:9" x14ac:dyDescent="0.35">
      <c r="A35" s="53"/>
      <c r="B35" s="52"/>
      <c r="C35" s="52"/>
      <c r="D35" s="52"/>
      <c r="E35" s="52"/>
      <c r="F35" s="52"/>
      <c r="G35" s="30"/>
      <c r="H35" s="31"/>
      <c r="I35" s="30"/>
    </row>
    <row r="36" spans="1:9" x14ac:dyDescent="0.35">
      <c r="A36" s="53"/>
      <c r="B36" s="52"/>
      <c r="C36" s="52"/>
      <c r="D36" s="52"/>
      <c r="E36" s="52"/>
      <c r="F36" s="52"/>
      <c r="G36" s="30"/>
      <c r="H36" s="31"/>
      <c r="I36" s="30"/>
    </row>
    <row r="37" spans="1:9" x14ac:dyDescent="0.35">
      <c r="A37" s="52"/>
      <c r="B37" s="52"/>
      <c r="C37" s="52"/>
      <c r="D37" s="52"/>
      <c r="E37" s="52"/>
      <c r="F37" s="52"/>
      <c r="G37" s="29"/>
      <c r="H37" s="28"/>
      <c r="I37" s="30"/>
    </row>
    <row r="38" spans="1:9" x14ac:dyDescent="0.35">
      <c r="A38" s="52"/>
      <c r="B38" s="52"/>
      <c r="C38" s="52"/>
      <c r="D38" s="52"/>
      <c r="E38" s="52"/>
      <c r="F38" s="52"/>
      <c r="G38" s="29"/>
      <c r="H38" s="28"/>
      <c r="I38" s="30"/>
    </row>
    <row r="39" spans="1:9" x14ac:dyDescent="0.35">
      <c r="A39" s="53"/>
      <c r="B39" s="52"/>
      <c r="C39" s="52"/>
      <c r="D39" s="52"/>
      <c r="E39" s="52"/>
      <c r="F39" s="52"/>
      <c r="G39" s="29"/>
      <c r="H39" s="28"/>
      <c r="I39" s="30"/>
    </row>
    <row r="40" spans="1:9" x14ac:dyDescent="0.35">
      <c r="A40" s="53"/>
      <c r="B40" s="52"/>
      <c r="C40" s="52"/>
      <c r="D40" s="52"/>
      <c r="E40" s="52"/>
      <c r="F40" s="52"/>
      <c r="G40" s="29"/>
      <c r="H40" s="28"/>
      <c r="I40" s="30"/>
    </row>
    <row r="41" spans="1:9" x14ac:dyDescent="0.35">
      <c r="A41" s="53"/>
      <c r="B41" s="52"/>
      <c r="C41" s="52"/>
      <c r="D41" s="52"/>
      <c r="E41" s="52"/>
      <c r="F41" s="52"/>
    </row>
    <row r="42" spans="1:9" x14ac:dyDescent="0.35">
      <c r="A42" s="53"/>
      <c r="B42" s="52"/>
      <c r="C42" s="52"/>
      <c r="D42" s="52"/>
      <c r="E42" s="52"/>
      <c r="F42" s="52"/>
    </row>
    <row r="43" spans="1:9" x14ac:dyDescent="0.35">
      <c r="A43" s="53"/>
      <c r="B43" s="52"/>
      <c r="C43" s="52"/>
      <c r="D43" s="52"/>
      <c r="E43" s="52"/>
      <c r="F43" s="52"/>
    </row>
    <row r="44" spans="1:9" x14ac:dyDescent="0.35">
      <c r="A44" s="53"/>
      <c r="B44" s="52"/>
      <c r="C44" s="52"/>
      <c r="D44" s="52"/>
      <c r="E44" s="52"/>
      <c r="F44" s="52"/>
    </row>
    <row r="45" spans="1:9" x14ac:dyDescent="0.35">
      <c r="A45" s="53"/>
      <c r="B45" s="52"/>
      <c r="C45" s="52"/>
      <c r="D45" s="52"/>
      <c r="E45" s="52"/>
      <c r="F45" s="52"/>
    </row>
    <row r="46" spans="1:9" x14ac:dyDescent="0.35">
      <c r="A46" s="53"/>
      <c r="B46" s="52"/>
      <c r="C46" s="52"/>
      <c r="D46" s="52"/>
      <c r="E46" s="52"/>
      <c r="F46" s="52"/>
    </row>
    <row r="47" spans="1:9" x14ac:dyDescent="0.35">
      <c r="A47" s="53"/>
      <c r="B47" s="52"/>
      <c r="C47" s="52"/>
      <c r="D47" s="52"/>
      <c r="E47" s="52"/>
      <c r="F47" s="52"/>
    </row>
    <row r="48" spans="1:9" x14ac:dyDescent="0.35">
      <c r="A48" s="53"/>
      <c r="B48" s="52"/>
      <c r="C48" s="52"/>
      <c r="D48" s="52"/>
      <c r="E48" s="52"/>
      <c r="F48" s="52"/>
    </row>
    <row r="49" spans="1:6" x14ac:dyDescent="0.35">
      <c r="A49" s="52"/>
      <c r="B49" s="52"/>
      <c r="C49" s="52"/>
      <c r="D49" s="52"/>
      <c r="E49" s="52"/>
      <c r="F49" s="52"/>
    </row>
    <row r="50" spans="1:6" x14ac:dyDescent="0.35">
      <c r="A50" s="52"/>
      <c r="B50" s="52"/>
      <c r="C50" s="52"/>
      <c r="D50" s="52"/>
      <c r="E50" s="52"/>
      <c r="F50" s="52"/>
    </row>
    <row r="51" spans="1:6" x14ac:dyDescent="0.35">
      <c r="A51" s="52"/>
      <c r="B51" s="52"/>
      <c r="C51" s="52"/>
      <c r="D51" s="52"/>
      <c r="E51" s="52"/>
      <c r="F51" s="52"/>
    </row>
    <row r="52" spans="1:6" x14ac:dyDescent="0.35">
      <c r="A52" s="52"/>
      <c r="B52" s="52"/>
      <c r="C52" s="52"/>
      <c r="D52" s="52"/>
      <c r="E52" s="52"/>
      <c r="F52" s="52"/>
    </row>
    <row r="53" spans="1:6" x14ac:dyDescent="0.35">
      <c r="A53" s="52"/>
      <c r="B53" s="52"/>
      <c r="C53" s="52"/>
      <c r="D53" s="52"/>
      <c r="E53" s="52"/>
      <c r="F53" s="52"/>
    </row>
    <row r="54" spans="1:6" x14ac:dyDescent="0.35">
      <c r="A54" s="52"/>
      <c r="B54" s="52"/>
      <c r="C54" s="52"/>
      <c r="D54" s="52"/>
      <c r="E54" s="52"/>
      <c r="F54" s="52"/>
    </row>
    <row r="55" spans="1:6" x14ac:dyDescent="0.35">
      <c r="A55" s="52"/>
      <c r="B55" s="52"/>
      <c r="C55" s="52"/>
      <c r="D55" s="52"/>
      <c r="E55" s="52"/>
      <c r="F55" s="52"/>
    </row>
    <row r="56" spans="1:6" x14ac:dyDescent="0.35">
      <c r="A56" s="52"/>
      <c r="B56" s="52"/>
      <c r="C56" s="52"/>
      <c r="D56" s="52"/>
      <c r="E56" s="52"/>
      <c r="F56" s="52"/>
    </row>
    <row r="57" spans="1:6" x14ac:dyDescent="0.35">
      <c r="A57" s="52"/>
      <c r="B57" s="52"/>
      <c r="C57" s="52"/>
      <c r="D57" s="52"/>
      <c r="E57" s="52"/>
      <c r="F57" s="52"/>
    </row>
    <row r="58" spans="1:6" x14ac:dyDescent="0.35">
      <c r="A58" s="52"/>
      <c r="B58" s="52"/>
      <c r="C58" s="52"/>
      <c r="D58" s="52"/>
      <c r="E58" s="52"/>
      <c r="F58" s="52"/>
    </row>
    <row r="59" spans="1:6" x14ac:dyDescent="0.35">
      <c r="A59" s="52"/>
      <c r="B59" s="52"/>
      <c r="C59" s="52"/>
      <c r="D59" s="52"/>
      <c r="E59" s="52"/>
      <c r="F59" s="52"/>
    </row>
    <row r="60" spans="1:6" x14ac:dyDescent="0.35">
      <c r="A60" s="52"/>
      <c r="B60" s="52"/>
      <c r="C60" s="52"/>
      <c r="D60" s="52"/>
      <c r="E60" s="52"/>
      <c r="F60" s="52"/>
    </row>
    <row r="61" spans="1:6" x14ac:dyDescent="0.35">
      <c r="A61" s="52"/>
      <c r="B61" s="52"/>
      <c r="C61" s="52"/>
      <c r="D61" s="52"/>
      <c r="E61" s="52"/>
      <c r="F61" s="52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30"/>
  <sheetViews>
    <sheetView workbookViewId="0">
      <selection activeCell="J22" sqref="J22"/>
    </sheetView>
  </sheetViews>
  <sheetFormatPr baseColWidth="10" defaultRowHeight="14.5" x14ac:dyDescent="0.35"/>
  <cols>
    <col min="13" max="13" width="24.7265625" customWidth="1"/>
  </cols>
  <sheetData>
    <row r="1" spans="1:13" x14ac:dyDescent="0.35">
      <c r="A1" t="s">
        <v>192</v>
      </c>
    </row>
    <row r="2" spans="1:13" x14ac:dyDescent="0.35">
      <c r="A2" t="s">
        <v>208</v>
      </c>
    </row>
    <row r="4" spans="1:13" x14ac:dyDescent="0.35">
      <c r="A4" s="33" t="s">
        <v>91</v>
      </c>
      <c r="B4" s="33" t="s">
        <v>15</v>
      </c>
      <c r="C4" s="33" t="s">
        <v>92</v>
      </c>
      <c r="D4" s="33" t="s">
        <v>93</v>
      </c>
      <c r="E4" s="33" t="s">
        <v>94</v>
      </c>
    </row>
    <row r="5" spans="1:13" ht="15" thickBot="1" x14ac:dyDescent="0.4">
      <c r="A5" t="s">
        <v>95</v>
      </c>
      <c r="B5" s="27">
        <v>43473</v>
      </c>
      <c r="C5">
        <v>6</v>
      </c>
      <c r="D5" s="31">
        <v>2976.66</v>
      </c>
      <c r="E5" t="s">
        <v>99</v>
      </c>
      <c r="J5" s="56"/>
      <c r="K5" s="56"/>
      <c r="L5" s="56"/>
    </row>
    <row r="6" spans="1:13" ht="15.5" thickTop="1" thickBot="1" x14ac:dyDescent="0.4">
      <c r="A6" t="s">
        <v>96</v>
      </c>
      <c r="B6" s="27">
        <v>43480</v>
      </c>
      <c r="C6">
        <v>4</v>
      </c>
      <c r="D6" s="31">
        <v>209.68</v>
      </c>
      <c r="E6" t="s">
        <v>100</v>
      </c>
      <c r="G6" t="s">
        <v>104</v>
      </c>
      <c r="K6" s="32"/>
      <c r="M6" s="116" t="s">
        <v>103</v>
      </c>
    </row>
    <row r="7" spans="1:13" ht="15.5" thickTop="1" thickBot="1" x14ac:dyDescent="0.4">
      <c r="A7" t="s">
        <v>95</v>
      </c>
      <c r="B7" s="27">
        <v>43481</v>
      </c>
      <c r="C7">
        <v>10</v>
      </c>
      <c r="D7" s="31">
        <v>58.13</v>
      </c>
      <c r="E7" t="s">
        <v>101</v>
      </c>
      <c r="G7" t="s">
        <v>105</v>
      </c>
      <c r="K7" s="32"/>
      <c r="M7" s="116"/>
    </row>
    <row r="8" spans="1:13" ht="15.5" thickTop="1" thickBot="1" x14ac:dyDescent="0.4">
      <c r="A8" t="s">
        <v>97</v>
      </c>
      <c r="B8" s="27">
        <v>43492</v>
      </c>
      <c r="C8">
        <v>2</v>
      </c>
      <c r="D8" s="31">
        <v>195.85</v>
      </c>
      <c r="E8" t="s">
        <v>102</v>
      </c>
      <c r="G8" s="56"/>
      <c r="H8" s="56"/>
      <c r="I8" s="56"/>
      <c r="J8" s="56"/>
      <c r="K8" s="56"/>
      <c r="M8" s="116"/>
    </row>
    <row r="9" spans="1:13" ht="15.5" thickTop="1" thickBot="1" x14ac:dyDescent="0.4">
      <c r="A9" t="s">
        <v>98</v>
      </c>
      <c r="B9" s="27">
        <v>43494</v>
      </c>
      <c r="C9">
        <v>3</v>
      </c>
      <c r="D9" s="31">
        <v>11.05</v>
      </c>
      <c r="E9" t="s">
        <v>102</v>
      </c>
      <c r="G9" t="s">
        <v>106</v>
      </c>
      <c r="K9" s="57"/>
      <c r="M9" s="116"/>
    </row>
    <row r="10" spans="1:13" ht="15.5" thickTop="1" thickBot="1" x14ac:dyDescent="0.4">
      <c r="A10" t="s">
        <v>98</v>
      </c>
      <c r="B10" s="27">
        <v>43499</v>
      </c>
      <c r="C10">
        <v>14</v>
      </c>
      <c r="D10" s="31">
        <v>762.27</v>
      </c>
      <c r="E10" t="s">
        <v>99</v>
      </c>
      <c r="G10" t="s">
        <v>107</v>
      </c>
      <c r="K10" s="57"/>
      <c r="M10" s="116"/>
    </row>
    <row r="11" spans="1:13" ht="15.5" thickTop="1" thickBot="1" x14ac:dyDescent="0.4">
      <c r="A11" t="s">
        <v>97</v>
      </c>
      <c r="B11" s="27">
        <v>43502</v>
      </c>
      <c r="C11">
        <v>21</v>
      </c>
      <c r="D11" s="31">
        <v>1721.39</v>
      </c>
      <c r="E11" t="s">
        <v>100</v>
      </c>
    </row>
    <row r="12" spans="1:13" ht="15.5" thickTop="1" thickBot="1" x14ac:dyDescent="0.4">
      <c r="A12" t="s">
        <v>96</v>
      </c>
      <c r="B12" s="27">
        <v>43503</v>
      </c>
      <c r="C12">
        <v>3</v>
      </c>
      <c r="D12" s="31">
        <v>164.45</v>
      </c>
      <c r="E12" t="s">
        <v>99</v>
      </c>
      <c r="G12" t="s">
        <v>108</v>
      </c>
      <c r="K12" s="32"/>
    </row>
    <row r="13" spans="1:13" ht="15.5" thickTop="1" thickBot="1" x14ac:dyDescent="0.4">
      <c r="A13" t="s">
        <v>95</v>
      </c>
      <c r="B13" s="27">
        <v>43504</v>
      </c>
      <c r="C13">
        <v>6</v>
      </c>
      <c r="D13" s="31">
        <v>468.82</v>
      </c>
      <c r="E13" t="s">
        <v>101</v>
      </c>
      <c r="G13" t="s">
        <v>110</v>
      </c>
      <c r="K13" s="32"/>
    </row>
    <row r="14" spans="1:13" ht="15.5" thickTop="1" thickBot="1" x14ac:dyDescent="0.4">
      <c r="A14" t="s">
        <v>97</v>
      </c>
      <c r="B14" s="27">
        <v>43508</v>
      </c>
      <c r="C14">
        <v>17</v>
      </c>
      <c r="D14" s="31">
        <v>1448.97</v>
      </c>
      <c r="E14" t="s">
        <v>102</v>
      </c>
    </row>
    <row r="15" spans="1:13" ht="15.5" thickTop="1" thickBot="1" x14ac:dyDescent="0.4">
      <c r="A15" t="s">
        <v>98</v>
      </c>
      <c r="B15" s="27">
        <v>43510</v>
      </c>
      <c r="C15">
        <v>12</v>
      </c>
      <c r="D15" s="31">
        <v>682.76</v>
      </c>
      <c r="E15" t="s">
        <v>99</v>
      </c>
      <c r="G15" t="s">
        <v>114</v>
      </c>
      <c r="K15" s="32"/>
    </row>
    <row r="16" spans="1:13" ht="15.5" thickTop="1" thickBot="1" x14ac:dyDescent="0.4">
      <c r="A16" t="s">
        <v>95</v>
      </c>
      <c r="B16" s="27">
        <v>43513</v>
      </c>
      <c r="C16">
        <v>9</v>
      </c>
      <c r="D16" s="31">
        <v>329.7</v>
      </c>
      <c r="E16" t="s">
        <v>101</v>
      </c>
      <c r="G16" t="s">
        <v>113</v>
      </c>
      <c r="K16" s="32"/>
    </row>
    <row r="17" spans="1:12" ht="15.5" thickTop="1" thickBot="1" x14ac:dyDescent="0.4">
      <c r="A17" t="s">
        <v>96</v>
      </c>
      <c r="B17" s="27">
        <v>43520</v>
      </c>
      <c r="C17">
        <v>1</v>
      </c>
      <c r="D17" s="31">
        <v>42.13</v>
      </c>
      <c r="E17" t="s">
        <v>102</v>
      </c>
      <c r="G17" t="s">
        <v>112</v>
      </c>
      <c r="K17" s="32"/>
      <c r="L17" s="56"/>
    </row>
    <row r="18" spans="1:12" ht="15.5" thickTop="1" thickBot="1" x14ac:dyDescent="0.4">
      <c r="A18" t="s">
        <v>97</v>
      </c>
      <c r="B18" s="27">
        <v>43524</v>
      </c>
      <c r="C18">
        <v>19</v>
      </c>
      <c r="D18" s="31">
        <v>209.79</v>
      </c>
      <c r="E18" t="s">
        <v>102</v>
      </c>
      <c r="G18" t="s">
        <v>115</v>
      </c>
      <c r="K18" s="32"/>
    </row>
    <row r="19" spans="1:12" ht="15" thickTop="1" x14ac:dyDescent="0.35">
      <c r="A19" t="s">
        <v>96</v>
      </c>
      <c r="B19" s="27">
        <v>43527</v>
      </c>
      <c r="C19">
        <v>8</v>
      </c>
      <c r="D19" s="31">
        <v>449.78</v>
      </c>
      <c r="E19" t="s">
        <v>99</v>
      </c>
      <c r="L19" s="56"/>
    </row>
    <row r="20" spans="1:12" x14ac:dyDescent="0.35">
      <c r="A20" t="s">
        <v>98</v>
      </c>
      <c r="B20" s="27">
        <v>43529</v>
      </c>
      <c r="C20">
        <v>16</v>
      </c>
      <c r="D20" s="31">
        <v>1071.72</v>
      </c>
      <c r="E20" t="s">
        <v>101</v>
      </c>
    </row>
    <row r="21" spans="1:12" x14ac:dyDescent="0.35">
      <c r="A21" t="s">
        <v>95</v>
      </c>
      <c r="B21" s="27">
        <v>43530</v>
      </c>
      <c r="C21">
        <v>5</v>
      </c>
      <c r="D21" s="31">
        <v>199.09</v>
      </c>
      <c r="E21" t="s">
        <v>100</v>
      </c>
      <c r="G21" t="s">
        <v>116</v>
      </c>
    </row>
    <row r="22" spans="1:12" x14ac:dyDescent="0.35">
      <c r="A22" t="s">
        <v>95</v>
      </c>
      <c r="B22" s="27">
        <v>43536</v>
      </c>
      <c r="C22">
        <v>4</v>
      </c>
      <c r="D22" s="31">
        <v>69.95</v>
      </c>
      <c r="E22" t="s">
        <v>100</v>
      </c>
    </row>
    <row r="23" spans="1:12" x14ac:dyDescent="0.35">
      <c r="A23" t="s">
        <v>97</v>
      </c>
      <c r="B23" s="27">
        <v>43539</v>
      </c>
      <c r="C23">
        <v>22</v>
      </c>
      <c r="D23" s="31">
        <v>811.46</v>
      </c>
      <c r="E23" t="s">
        <v>102</v>
      </c>
    </row>
    <row r="24" spans="1:12" x14ac:dyDescent="0.35">
      <c r="A24" t="s">
        <v>95</v>
      </c>
      <c r="B24" s="27">
        <v>43542</v>
      </c>
      <c r="C24">
        <v>19</v>
      </c>
      <c r="D24" s="31">
        <v>1619.97</v>
      </c>
      <c r="E24" t="s">
        <v>100</v>
      </c>
    </row>
    <row r="25" spans="1:12" x14ac:dyDescent="0.35">
      <c r="A25" t="s">
        <v>96</v>
      </c>
      <c r="B25" s="27">
        <v>43544</v>
      </c>
      <c r="C25">
        <v>9</v>
      </c>
      <c r="D25" s="31">
        <v>248.85</v>
      </c>
      <c r="E25" t="s">
        <v>99</v>
      </c>
    </row>
    <row r="26" spans="1:12" x14ac:dyDescent="0.35">
      <c r="A26" t="s">
        <v>98</v>
      </c>
      <c r="B26" s="27">
        <v>43546</v>
      </c>
      <c r="C26">
        <v>11</v>
      </c>
      <c r="D26" s="31">
        <v>974.85</v>
      </c>
      <c r="E26" t="s">
        <v>101</v>
      </c>
    </row>
    <row r="27" spans="1:12" x14ac:dyDescent="0.35">
      <c r="A27" t="s">
        <v>97</v>
      </c>
      <c r="B27" s="27">
        <v>43551</v>
      </c>
      <c r="C27">
        <v>18</v>
      </c>
      <c r="D27" s="31">
        <v>253.08</v>
      </c>
      <c r="E27" t="s">
        <v>101</v>
      </c>
    </row>
    <row r="28" spans="1:12" x14ac:dyDescent="0.35">
      <c r="A28" t="s">
        <v>97</v>
      </c>
      <c r="B28" s="27">
        <v>43552</v>
      </c>
      <c r="C28">
        <v>13</v>
      </c>
      <c r="D28" s="31">
        <v>554.87</v>
      </c>
      <c r="E28" t="s">
        <v>102</v>
      </c>
    </row>
    <row r="29" spans="1:12" x14ac:dyDescent="0.35">
      <c r="A29" t="s">
        <v>96</v>
      </c>
      <c r="B29" s="27">
        <v>43553</v>
      </c>
      <c r="C29">
        <v>7</v>
      </c>
      <c r="D29" s="31">
        <v>501.05</v>
      </c>
      <c r="E29" t="s">
        <v>99</v>
      </c>
    </row>
    <row r="30" spans="1:12" x14ac:dyDescent="0.35">
      <c r="A30" t="s">
        <v>98</v>
      </c>
      <c r="B30" s="27">
        <v>43555</v>
      </c>
      <c r="C30">
        <v>2</v>
      </c>
      <c r="D30" s="31">
        <v>51.6</v>
      </c>
      <c r="E30" t="s">
        <v>100</v>
      </c>
    </row>
  </sheetData>
  <mergeCells count="1">
    <mergeCell ref="M6:M10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T30"/>
  <sheetViews>
    <sheetView topLeftCell="B1" workbookViewId="0">
      <selection activeCell="M22" sqref="M22"/>
    </sheetView>
  </sheetViews>
  <sheetFormatPr baseColWidth="10" defaultRowHeight="14.5" x14ac:dyDescent="0.35"/>
  <sheetData>
    <row r="4" spans="1:20" x14ac:dyDescent="0.35">
      <c r="A4" t="s">
        <v>91</v>
      </c>
      <c r="B4" t="s">
        <v>15</v>
      </c>
      <c r="C4" t="s">
        <v>92</v>
      </c>
      <c r="D4" t="s">
        <v>93</v>
      </c>
      <c r="E4" t="s">
        <v>94</v>
      </c>
    </row>
    <row r="5" spans="1:20" ht="15" thickBot="1" x14ac:dyDescent="0.4">
      <c r="A5" t="s">
        <v>95</v>
      </c>
      <c r="B5" s="27">
        <v>43473</v>
      </c>
      <c r="C5">
        <v>6</v>
      </c>
      <c r="D5" s="31">
        <v>2976.66</v>
      </c>
      <c r="E5" t="s">
        <v>99</v>
      </c>
      <c r="J5" s="56"/>
      <c r="K5" s="56"/>
      <c r="L5" s="56"/>
    </row>
    <row r="6" spans="1:20" ht="15.5" thickTop="1" thickBot="1" x14ac:dyDescent="0.4">
      <c r="A6" t="s">
        <v>96</v>
      </c>
      <c r="B6" s="27">
        <v>43480</v>
      </c>
      <c r="C6">
        <v>4</v>
      </c>
      <c r="D6" s="31">
        <v>209.68</v>
      </c>
      <c r="E6" t="s">
        <v>100</v>
      </c>
      <c r="G6" t="s">
        <v>104</v>
      </c>
      <c r="K6" s="32">
        <f>MEDIAN(C5:C30)</f>
        <v>9</v>
      </c>
      <c r="O6" t="s">
        <v>109</v>
      </c>
      <c r="S6" s="58">
        <f>INDEX($B$5:$B$30,MATCH($K$12,$C$5:$C$30,0))</f>
        <v>43520</v>
      </c>
    </row>
    <row r="7" spans="1:20" ht="15.5" thickTop="1" thickBot="1" x14ac:dyDescent="0.4">
      <c r="A7" t="s">
        <v>95</v>
      </c>
      <c r="B7" s="27">
        <v>43481</v>
      </c>
      <c r="C7">
        <v>10</v>
      </c>
      <c r="D7" s="31">
        <v>58.13</v>
      </c>
      <c r="E7" t="s">
        <v>101</v>
      </c>
      <c r="G7" t="s">
        <v>105</v>
      </c>
      <c r="K7" s="32">
        <f>AVERAGE(C5:C30)</f>
        <v>10.038461538461538</v>
      </c>
      <c r="O7" t="s">
        <v>117</v>
      </c>
      <c r="S7" s="32">
        <f>VLOOKUP($K$13,$C$5:$D$30,2,)</f>
        <v>811.46</v>
      </c>
    </row>
    <row r="8" spans="1:20" ht="15.5" thickTop="1" thickBot="1" x14ac:dyDescent="0.4">
      <c r="A8" t="s">
        <v>97</v>
      </c>
      <c r="B8" s="27">
        <v>43492</v>
      </c>
      <c r="C8">
        <v>2</v>
      </c>
      <c r="D8" s="31">
        <v>195.85</v>
      </c>
      <c r="E8" t="s">
        <v>102</v>
      </c>
      <c r="G8" s="56"/>
      <c r="H8" s="56"/>
      <c r="I8" s="56"/>
      <c r="J8" s="56"/>
      <c r="K8" s="56"/>
    </row>
    <row r="9" spans="1:20" ht="15.5" thickTop="1" thickBot="1" x14ac:dyDescent="0.4">
      <c r="A9" t="s">
        <v>98</v>
      </c>
      <c r="B9" s="27">
        <v>43494</v>
      </c>
      <c r="C9">
        <v>3</v>
      </c>
      <c r="D9" s="31">
        <v>11.05</v>
      </c>
      <c r="E9" t="s">
        <v>102</v>
      </c>
      <c r="G9" t="s">
        <v>106</v>
      </c>
      <c r="K9" s="57">
        <f>MEDIAN(D5:D30)</f>
        <v>389.74</v>
      </c>
      <c r="O9" t="s">
        <v>111</v>
      </c>
      <c r="T9" s="32" t="str">
        <f>INDEX($A$5:$A$30,MATCH($K$13,$C$5:$C$30,0))</f>
        <v>Hr. Herbst</v>
      </c>
    </row>
    <row r="10" spans="1:20" ht="15.5" thickTop="1" thickBot="1" x14ac:dyDescent="0.4">
      <c r="A10" t="s">
        <v>98</v>
      </c>
      <c r="B10" s="27">
        <v>43499</v>
      </c>
      <c r="C10">
        <v>14</v>
      </c>
      <c r="D10" s="31">
        <v>762.27</v>
      </c>
      <c r="E10" t="s">
        <v>99</v>
      </c>
      <c r="G10" t="s">
        <v>107</v>
      </c>
      <c r="K10" s="57">
        <f>AVERAGE(D5:D30)</f>
        <v>618.76615384615388</v>
      </c>
      <c r="O10" t="s">
        <v>118</v>
      </c>
      <c r="T10" s="32">
        <f>MAX(SUMIFS($D$5:$D$30,$E$5:$E$30,"Ost"),SUMIFS($D$5:$D$30,$E$5:$E$30,"Süd"),SUMIFS($D$5:$D$30,$E$5:$E$30,"Nord"),SUMIFS($D$5:$D$30,$E$5:$E$30,"West"))</f>
        <v>5785.82</v>
      </c>
    </row>
    <row r="11" spans="1:20" ht="15.5" thickTop="1" thickBot="1" x14ac:dyDescent="0.4">
      <c r="A11" t="s">
        <v>97</v>
      </c>
      <c r="B11" s="27">
        <v>43502</v>
      </c>
      <c r="C11">
        <v>21</v>
      </c>
      <c r="D11" s="31">
        <v>1721.39</v>
      </c>
      <c r="E11" t="s">
        <v>100</v>
      </c>
    </row>
    <row r="12" spans="1:20" ht="15.5" thickTop="1" thickBot="1" x14ac:dyDescent="0.4">
      <c r="A12" t="s">
        <v>96</v>
      </c>
      <c r="B12" s="27">
        <v>43503</v>
      </c>
      <c r="C12">
        <v>3</v>
      </c>
      <c r="D12" s="31">
        <v>164.45</v>
      </c>
      <c r="E12" t="s">
        <v>99</v>
      </c>
      <c r="G12" t="s">
        <v>108</v>
      </c>
      <c r="K12" s="32">
        <f>MIN(C5:C30)</f>
        <v>1</v>
      </c>
    </row>
    <row r="13" spans="1:20" ht="15.5" thickTop="1" thickBot="1" x14ac:dyDescent="0.4">
      <c r="A13" t="s">
        <v>95</v>
      </c>
      <c r="B13" s="27">
        <v>43504</v>
      </c>
      <c r="C13">
        <v>6</v>
      </c>
      <c r="D13" s="31">
        <v>468.82</v>
      </c>
      <c r="E13" t="s">
        <v>101</v>
      </c>
      <c r="G13" t="s">
        <v>110</v>
      </c>
      <c r="K13" s="32">
        <f>MAX(C5:C30)</f>
        <v>22</v>
      </c>
    </row>
    <row r="14" spans="1:20" ht="15.5" thickTop="1" thickBot="1" x14ac:dyDescent="0.4">
      <c r="A14" t="s">
        <v>97</v>
      </c>
      <c r="B14" s="27">
        <v>43508</v>
      </c>
      <c r="C14">
        <v>17</v>
      </c>
      <c r="D14" s="31">
        <v>1448.97</v>
      </c>
      <c r="E14" t="s">
        <v>102</v>
      </c>
    </row>
    <row r="15" spans="1:20" ht="15.5" thickTop="1" thickBot="1" x14ac:dyDescent="0.4">
      <c r="A15" t="s">
        <v>98</v>
      </c>
      <c r="B15" s="27">
        <v>43510</v>
      </c>
      <c r="C15">
        <v>12</v>
      </c>
      <c r="D15" s="31">
        <v>682.76</v>
      </c>
      <c r="E15" t="s">
        <v>99</v>
      </c>
      <c r="G15" t="s">
        <v>114</v>
      </c>
      <c r="K15" s="32">
        <f>SUMIFS(D5:D30,A5:A30,"Fr. Winter")</f>
        <v>3554.25</v>
      </c>
    </row>
    <row r="16" spans="1:20" ht="15.5" thickTop="1" thickBot="1" x14ac:dyDescent="0.4">
      <c r="A16" t="s">
        <v>95</v>
      </c>
      <c r="B16" s="27">
        <v>43513</v>
      </c>
      <c r="C16">
        <v>9</v>
      </c>
      <c r="D16" s="31">
        <v>329.7</v>
      </c>
      <c r="E16" t="s">
        <v>101</v>
      </c>
      <c r="G16" t="s">
        <v>113</v>
      </c>
      <c r="K16" s="32">
        <f>SUMIFS(D5:D30,A5:A30,"Fr. Frühling")</f>
        <v>1615.9399999999998</v>
      </c>
    </row>
    <row r="17" spans="1:12" ht="15.5" thickTop="1" thickBot="1" x14ac:dyDescent="0.4">
      <c r="A17" t="s">
        <v>96</v>
      </c>
      <c r="B17" s="27">
        <v>43520</v>
      </c>
      <c r="C17">
        <v>1</v>
      </c>
      <c r="D17" s="31">
        <v>42.13</v>
      </c>
      <c r="E17" t="s">
        <v>102</v>
      </c>
      <c r="G17" t="s">
        <v>112</v>
      </c>
      <c r="K17" s="32">
        <f>SUMIFS(D5:D30,A5:A30,"Hr. Sommer")</f>
        <v>5722.3200000000006</v>
      </c>
    </row>
    <row r="18" spans="1:12" ht="15.5" thickTop="1" thickBot="1" x14ac:dyDescent="0.4">
      <c r="A18" t="s">
        <v>97</v>
      </c>
      <c r="B18" s="27">
        <v>43524</v>
      </c>
      <c r="C18">
        <v>19</v>
      </c>
      <c r="D18" s="31">
        <v>209.79</v>
      </c>
      <c r="E18" t="s">
        <v>102</v>
      </c>
      <c r="G18" t="s">
        <v>115</v>
      </c>
      <c r="K18" s="32">
        <f>SUMIFS(D5:D30,A5:A30,"Hr. Herbst")</f>
        <v>5195.41</v>
      </c>
    </row>
    <row r="19" spans="1:12" ht="15.5" thickTop="1" thickBot="1" x14ac:dyDescent="0.4">
      <c r="A19" t="s">
        <v>96</v>
      </c>
      <c r="B19" s="27">
        <v>43527</v>
      </c>
      <c r="C19">
        <v>8</v>
      </c>
      <c r="D19" s="31">
        <v>449.78</v>
      </c>
      <c r="E19" t="s">
        <v>99</v>
      </c>
    </row>
    <row r="20" spans="1:12" ht="15.5" thickTop="1" thickBot="1" x14ac:dyDescent="0.4">
      <c r="A20" t="s">
        <v>98</v>
      </c>
      <c r="B20" s="27">
        <v>43529</v>
      </c>
      <c r="C20">
        <v>16</v>
      </c>
      <c r="D20" s="31">
        <v>1071.72</v>
      </c>
      <c r="E20" t="s">
        <v>101</v>
      </c>
      <c r="G20" t="s">
        <v>109</v>
      </c>
      <c r="K20" s="58">
        <f>INDEX($B$5:$B$30,MATCH($K$12,$C$5:$C$30,0))</f>
        <v>43520</v>
      </c>
    </row>
    <row r="21" spans="1:12" ht="15.5" thickTop="1" thickBot="1" x14ac:dyDescent="0.4">
      <c r="A21" t="s">
        <v>95</v>
      </c>
      <c r="B21" s="27">
        <v>43530</v>
      </c>
      <c r="C21">
        <v>5</v>
      </c>
      <c r="D21" s="31">
        <v>199.09</v>
      </c>
      <c r="E21" t="s">
        <v>100</v>
      </c>
      <c r="G21" t="s">
        <v>117</v>
      </c>
      <c r="K21" s="32">
        <f>VLOOKUP($K$13,$C$5:$D$30,2,)</f>
        <v>811.46</v>
      </c>
    </row>
    <row r="22" spans="1:12" ht="15.5" thickTop="1" thickBot="1" x14ac:dyDescent="0.4">
      <c r="A22" t="s">
        <v>95</v>
      </c>
      <c r="B22" s="27">
        <v>43536</v>
      </c>
      <c r="C22">
        <v>4</v>
      </c>
      <c r="D22" s="31">
        <v>69.95</v>
      </c>
      <c r="E22" t="s">
        <v>100</v>
      </c>
    </row>
    <row r="23" spans="1:12" ht="15.5" thickTop="1" thickBot="1" x14ac:dyDescent="0.4">
      <c r="A23" t="s">
        <v>97</v>
      </c>
      <c r="B23" s="27">
        <v>43539</v>
      </c>
      <c r="C23">
        <v>22</v>
      </c>
      <c r="D23" s="31">
        <v>811.46</v>
      </c>
      <c r="E23" t="s">
        <v>102</v>
      </c>
      <c r="G23" t="s">
        <v>111</v>
      </c>
      <c r="L23" s="32" t="str">
        <f>INDEX($A$5:$A$30,MATCH($K$13,$C$5:$C$30,0))</f>
        <v>Hr. Herbst</v>
      </c>
    </row>
    <row r="24" spans="1:12" ht="15.5" thickTop="1" thickBot="1" x14ac:dyDescent="0.4">
      <c r="A24" t="s">
        <v>95</v>
      </c>
      <c r="B24" s="27">
        <v>43542</v>
      </c>
      <c r="C24">
        <v>19</v>
      </c>
      <c r="D24" s="31">
        <v>1619.97</v>
      </c>
      <c r="E24" t="s">
        <v>100</v>
      </c>
      <c r="G24" t="s">
        <v>118</v>
      </c>
      <c r="L24" s="32">
        <f>MAX(SUMIFS($D$5:$D$30,$E$5:$E$30,"Ost"),SUMIFS($D$5:$D$30,$E$5:$E$30,"Süd"),SUMIFS($D$5:$D$30,$E$5:$E$30,"Nord"),SUMIFS($D$5:$D$30,$E$5:$E$30,"West"))</f>
        <v>5785.82</v>
      </c>
    </row>
    <row r="25" spans="1:12" ht="15" thickTop="1" x14ac:dyDescent="0.35">
      <c r="A25" t="s">
        <v>96</v>
      </c>
      <c r="B25" s="27">
        <v>43544</v>
      </c>
      <c r="C25">
        <v>9</v>
      </c>
      <c r="D25" s="31">
        <v>248.85</v>
      </c>
      <c r="E25" t="s">
        <v>99</v>
      </c>
    </row>
    <row r="26" spans="1:12" x14ac:dyDescent="0.35">
      <c r="A26" t="s">
        <v>98</v>
      </c>
      <c r="B26" s="27">
        <v>43546</v>
      </c>
      <c r="C26">
        <v>11</v>
      </c>
      <c r="D26" s="31">
        <v>974.85</v>
      </c>
      <c r="E26" t="s">
        <v>101</v>
      </c>
      <c r="G26" t="s">
        <v>116</v>
      </c>
    </row>
    <row r="27" spans="1:12" x14ac:dyDescent="0.35">
      <c r="A27" t="s">
        <v>97</v>
      </c>
      <c r="B27" s="27">
        <v>43551</v>
      </c>
      <c r="C27">
        <v>18</v>
      </c>
      <c r="D27" s="31">
        <v>253.08</v>
      </c>
      <c r="E27" t="s">
        <v>101</v>
      </c>
    </row>
    <row r="28" spans="1:12" x14ac:dyDescent="0.35">
      <c r="A28" t="s">
        <v>97</v>
      </c>
      <c r="B28" s="27">
        <v>43552</v>
      </c>
      <c r="C28">
        <v>13</v>
      </c>
      <c r="D28" s="31">
        <v>554.87</v>
      </c>
      <c r="E28" t="s">
        <v>102</v>
      </c>
    </row>
    <row r="29" spans="1:12" x14ac:dyDescent="0.35">
      <c r="A29" t="s">
        <v>96</v>
      </c>
      <c r="B29" s="27">
        <v>43553</v>
      </c>
      <c r="C29">
        <v>7</v>
      </c>
      <c r="D29" s="31">
        <v>501.05</v>
      </c>
      <c r="E29" t="s">
        <v>99</v>
      </c>
    </row>
    <row r="30" spans="1:12" x14ac:dyDescent="0.35">
      <c r="A30" t="s">
        <v>98</v>
      </c>
      <c r="B30" s="27">
        <v>43555</v>
      </c>
      <c r="C30">
        <v>2</v>
      </c>
      <c r="D30" s="31">
        <v>51.6</v>
      </c>
      <c r="E30" t="s">
        <v>100</v>
      </c>
    </row>
  </sheetData>
  <conditionalFormatting sqref="C5:C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1" sqref="C1"/>
    </sheetView>
  </sheetViews>
  <sheetFormatPr baseColWidth="10" defaultRowHeight="14.5" x14ac:dyDescent="0.35"/>
  <cols>
    <col min="1" max="1" width="16.81640625" bestFit="1" customWidth="1"/>
    <col min="2" max="2" width="14.26953125" bestFit="1" customWidth="1"/>
    <col min="3" max="3" width="16.26953125" bestFit="1" customWidth="1"/>
  </cols>
  <sheetData>
    <row r="1" spans="1:4" s="33" customFormat="1" ht="15" thickBot="1" x14ac:dyDescent="0.4">
      <c r="B1" s="33" t="s">
        <v>44</v>
      </c>
      <c r="C1" s="33" t="s">
        <v>48</v>
      </c>
      <c r="D1" s="33" t="s">
        <v>49</v>
      </c>
    </row>
    <row r="2" spans="1:4" x14ac:dyDescent="0.35">
      <c r="A2" s="33" t="s">
        <v>45</v>
      </c>
      <c r="B2" s="41">
        <v>50</v>
      </c>
      <c r="C2" s="42">
        <v>200</v>
      </c>
      <c r="D2" s="43">
        <v>72</v>
      </c>
    </row>
    <row r="3" spans="1:4" x14ac:dyDescent="0.35">
      <c r="A3" s="33" t="s">
        <v>52</v>
      </c>
      <c r="B3" s="35" t="s">
        <v>14</v>
      </c>
      <c r="C3" t="s">
        <v>14</v>
      </c>
      <c r="D3" s="34" t="s">
        <v>14</v>
      </c>
    </row>
    <row r="4" spans="1:4" x14ac:dyDescent="0.35">
      <c r="A4" s="33" t="s">
        <v>51</v>
      </c>
      <c r="B4" s="35" t="s">
        <v>43</v>
      </c>
      <c r="C4" t="s">
        <v>43</v>
      </c>
      <c r="D4" s="34" t="s">
        <v>14</v>
      </c>
    </row>
    <row r="5" spans="1:4" x14ac:dyDescent="0.35">
      <c r="A5" s="33" t="s">
        <v>46</v>
      </c>
      <c r="B5" s="35">
        <v>7</v>
      </c>
      <c r="C5">
        <v>8</v>
      </c>
      <c r="D5" s="34">
        <v>2</v>
      </c>
    </row>
    <row r="6" spans="1:4" ht="15" thickBot="1" x14ac:dyDescent="0.4">
      <c r="A6" s="33" t="s">
        <v>47</v>
      </c>
      <c r="B6" s="38">
        <v>622</v>
      </c>
      <c r="C6" s="36">
        <v>1243</v>
      </c>
      <c r="D6" s="37">
        <v>398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P35"/>
  <sheetViews>
    <sheetView topLeftCell="A5" workbookViewId="0">
      <selection activeCell="O14" sqref="O14"/>
    </sheetView>
  </sheetViews>
  <sheetFormatPr baseColWidth="10" defaultRowHeight="14.5" x14ac:dyDescent="0.35"/>
  <cols>
    <col min="1" max="1" width="25.81640625" customWidth="1"/>
    <col min="3" max="3" width="14.453125" bestFit="1" customWidth="1"/>
    <col min="4" max="4" width="16.54296875" bestFit="1" customWidth="1"/>
  </cols>
  <sheetData>
    <row r="1" spans="1:16" x14ac:dyDescent="0.35">
      <c r="A1" t="s">
        <v>53</v>
      </c>
    </row>
    <row r="3" spans="1:16" x14ac:dyDescent="0.35">
      <c r="A3" t="s">
        <v>55</v>
      </c>
    </row>
    <row r="4" spans="1:16" x14ac:dyDescent="0.35">
      <c r="A4" t="s">
        <v>56</v>
      </c>
    </row>
    <row r="6" spans="1:16" x14ac:dyDescent="0.35">
      <c r="A6" s="45" t="s">
        <v>57</v>
      </c>
      <c r="B6" s="45"/>
      <c r="C6" s="45"/>
      <c r="D6" s="45"/>
      <c r="E6" s="45"/>
      <c r="F6" s="45"/>
      <c r="G6" s="45"/>
      <c r="H6" s="45"/>
      <c r="I6" s="45"/>
      <c r="J6" s="45"/>
    </row>
    <row r="7" spans="1:16" x14ac:dyDescent="0.35">
      <c r="A7" s="45" t="s">
        <v>58</v>
      </c>
      <c r="B7" s="45"/>
      <c r="C7" s="45"/>
      <c r="D7" s="45"/>
      <c r="E7" s="45"/>
      <c r="F7" s="45"/>
      <c r="G7" s="45"/>
      <c r="H7" s="45"/>
      <c r="I7" s="45"/>
      <c r="J7" s="45"/>
    </row>
    <row r="9" spans="1:16" x14ac:dyDescent="0.35">
      <c r="A9" s="46" t="s">
        <v>60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</row>
    <row r="10" spans="1:16" x14ac:dyDescent="0.35">
      <c r="A10" s="46" t="s">
        <v>61</v>
      </c>
      <c r="B10" s="46"/>
      <c r="C10" s="46"/>
      <c r="D10" s="46"/>
    </row>
    <row r="11" spans="1:16" x14ac:dyDescent="0.35">
      <c r="I11" s="117" t="s">
        <v>50</v>
      </c>
      <c r="J11" s="117"/>
      <c r="K11" s="117"/>
      <c r="L11" s="117"/>
      <c r="M11" s="117"/>
      <c r="N11" s="117"/>
      <c r="O11" s="117"/>
      <c r="P11" s="117"/>
    </row>
    <row r="12" spans="1:16" ht="15" thickBot="1" x14ac:dyDescent="0.4">
      <c r="A12" s="39" t="s">
        <v>25</v>
      </c>
      <c r="B12" s="39" t="s">
        <v>26</v>
      </c>
      <c r="C12" s="39" t="s">
        <v>27</v>
      </c>
      <c r="D12" s="39" t="s">
        <v>28</v>
      </c>
      <c r="E12" s="39" t="s">
        <v>29</v>
      </c>
      <c r="F12" s="39" t="s">
        <v>30</v>
      </c>
      <c r="G12" s="39" t="s">
        <v>31</v>
      </c>
      <c r="H12" s="40" t="s">
        <v>32</v>
      </c>
      <c r="I12" s="39">
        <v>1</v>
      </c>
      <c r="J12" s="39">
        <v>2</v>
      </c>
      <c r="K12" s="39">
        <v>3</v>
      </c>
      <c r="L12" s="39">
        <v>4</v>
      </c>
      <c r="M12" s="39">
        <v>5</v>
      </c>
      <c r="N12" s="39">
        <v>6</v>
      </c>
      <c r="O12" s="39">
        <v>7</v>
      </c>
      <c r="P12" s="39">
        <v>8</v>
      </c>
    </row>
    <row r="13" spans="1:16" x14ac:dyDescent="0.35">
      <c r="A13" t="s">
        <v>33</v>
      </c>
      <c r="B13">
        <v>128</v>
      </c>
      <c r="C13" s="31">
        <v>45</v>
      </c>
      <c r="D13" t="s">
        <v>14</v>
      </c>
      <c r="E13" t="s">
        <v>43</v>
      </c>
      <c r="F13" t="s">
        <v>43</v>
      </c>
      <c r="G13">
        <v>3</v>
      </c>
      <c r="H13" s="34" t="s">
        <v>14</v>
      </c>
      <c r="I13" s="44"/>
      <c r="J13" s="44"/>
      <c r="K13" s="44"/>
      <c r="L13" s="44"/>
      <c r="M13" s="44"/>
      <c r="N13" s="44"/>
      <c r="O13" s="44"/>
      <c r="P13" s="44"/>
    </row>
    <row r="14" spans="1:16" x14ac:dyDescent="0.35">
      <c r="A14" t="s">
        <v>34</v>
      </c>
      <c r="B14">
        <v>72</v>
      </c>
      <c r="C14" s="31">
        <v>263</v>
      </c>
      <c r="D14" t="s">
        <v>43</v>
      </c>
      <c r="E14" t="s">
        <v>14</v>
      </c>
      <c r="F14" t="s">
        <v>14</v>
      </c>
      <c r="G14">
        <v>5</v>
      </c>
      <c r="H14" s="34" t="s">
        <v>14</v>
      </c>
      <c r="I14" s="44"/>
      <c r="J14" s="44"/>
      <c r="K14" s="44"/>
      <c r="L14" s="44"/>
      <c r="M14" s="44"/>
      <c r="N14" s="44"/>
      <c r="O14" s="44"/>
      <c r="P14" s="44"/>
    </row>
    <row r="15" spans="1:16" x14ac:dyDescent="0.35">
      <c r="A15" t="s">
        <v>35</v>
      </c>
      <c r="B15">
        <v>44</v>
      </c>
      <c r="C15" s="31">
        <v>52</v>
      </c>
      <c r="D15" t="s">
        <v>14</v>
      </c>
      <c r="E15" t="s">
        <v>43</v>
      </c>
      <c r="F15" t="s">
        <v>14</v>
      </c>
      <c r="G15">
        <v>3</v>
      </c>
      <c r="H15" s="34" t="s">
        <v>14</v>
      </c>
      <c r="I15" s="44"/>
      <c r="J15" s="44"/>
      <c r="K15" s="44"/>
      <c r="L15" s="44"/>
      <c r="M15" s="44"/>
      <c r="N15" s="44"/>
      <c r="O15" s="44"/>
      <c r="P15" s="44"/>
    </row>
    <row r="16" spans="1:16" x14ac:dyDescent="0.35">
      <c r="A16" t="s">
        <v>36</v>
      </c>
      <c r="B16">
        <v>45</v>
      </c>
      <c r="C16" s="31">
        <v>78</v>
      </c>
      <c r="D16" t="s">
        <v>14</v>
      </c>
      <c r="E16" t="s">
        <v>14</v>
      </c>
      <c r="F16" t="s">
        <v>43</v>
      </c>
      <c r="G16">
        <v>3</v>
      </c>
      <c r="H16" s="34" t="s">
        <v>14</v>
      </c>
      <c r="I16" s="44"/>
      <c r="J16" s="44"/>
      <c r="K16" s="44"/>
      <c r="L16" s="44"/>
      <c r="M16" s="44"/>
      <c r="N16" s="44"/>
      <c r="O16" s="44"/>
      <c r="P16" s="44"/>
    </row>
    <row r="17" spans="1:16" x14ac:dyDescent="0.35">
      <c r="A17" t="s">
        <v>37</v>
      </c>
      <c r="B17">
        <v>38</v>
      </c>
      <c r="C17" s="31">
        <v>126</v>
      </c>
      <c r="D17" t="s">
        <v>43</v>
      </c>
      <c r="E17" t="s">
        <v>14</v>
      </c>
      <c r="F17" t="s">
        <v>14</v>
      </c>
      <c r="G17">
        <v>5</v>
      </c>
      <c r="H17" s="34" t="s">
        <v>14</v>
      </c>
      <c r="I17" s="44"/>
      <c r="J17" s="44"/>
      <c r="K17" s="44"/>
      <c r="L17" s="44"/>
      <c r="M17" s="44"/>
      <c r="N17" s="44"/>
      <c r="O17" s="44"/>
      <c r="P17" s="44"/>
    </row>
    <row r="18" spans="1:16" x14ac:dyDescent="0.35">
      <c r="A18" t="s">
        <v>38</v>
      </c>
      <c r="B18">
        <v>63</v>
      </c>
      <c r="C18" s="31">
        <v>110</v>
      </c>
      <c r="D18" t="s">
        <v>43</v>
      </c>
      <c r="E18" t="s">
        <v>14</v>
      </c>
      <c r="F18" t="s">
        <v>14</v>
      </c>
      <c r="G18">
        <v>4</v>
      </c>
      <c r="H18" s="34" t="s">
        <v>14</v>
      </c>
      <c r="I18" s="44"/>
      <c r="J18" s="44"/>
      <c r="K18" s="44"/>
      <c r="L18" s="44"/>
      <c r="M18" s="44"/>
      <c r="N18" s="44"/>
      <c r="O18" s="44"/>
      <c r="P18" s="44"/>
    </row>
    <row r="19" spans="1:16" x14ac:dyDescent="0.35">
      <c r="A19" t="s">
        <v>39</v>
      </c>
      <c r="B19">
        <v>24</v>
      </c>
      <c r="C19" s="31">
        <v>89</v>
      </c>
      <c r="D19" t="s">
        <v>43</v>
      </c>
      <c r="E19" t="s">
        <v>14</v>
      </c>
      <c r="F19" t="s">
        <v>43</v>
      </c>
      <c r="G19">
        <v>4</v>
      </c>
      <c r="H19" s="34" t="s">
        <v>14</v>
      </c>
      <c r="I19" s="44"/>
      <c r="J19" s="44"/>
      <c r="K19" s="44"/>
      <c r="L19" s="44"/>
      <c r="M19" s="44"/>
      <c r="N19" s="44"/>
      <c r="O19" s="44"/>
      <c r="P19" s="44"/>
    </row>
    <row r="20" spans="1:16" x14ac:dyDescent="0.35">
      <c r="A20" t="s">
        <v>40</v>
      </c>
      <c r="B20">
        <v>160</v>
      </c>
      <c r="C20" s="31">
        <v>23</v>
      </c>
      <c r="D20" t="s">
        <v>14</v>
      </c>
      <c r="E20" t="s">
        <v>43</v>
      </c>
      <c r="F20" t="s">
        <v>43</v>
      </c>
      <c r="G20">
        <v>2</v>
      </c>
      <c r="H20" s="34" t="s">
        <v>43</v>
      </c>
      <c r="I20" s="44"/>
      <c r="J20" s="44"/>
      <c r="K20" s="44"/>
      <c r="L20" s="44"/>
      <c r="M20" s="44"/>
      <c r="N20" s="44"/>
      <c r="O20" s="44"/>
      <c r="P20" s="44"/>
    </row>
    <row r="21" spans="1:16" x14ac:dyDescent="0.35">
      <c r="A21" t="s">
        <v>41</v>
      </c>
      <c r="B21">
        <v>106</v>
      </c>
      <c r="C21" s="31">
        <v>62</v>
      </c>
      <c r="D21" t="s">
        <v>14</v>
      </c>
      <c r="E21" t="s">
        <v>14</v>
      </c>
      <c r="F21" t="s">
        <v>14</v>
      </c>
      <c r="G21">
        <v>3</v>
      </c>
      <c r="H21" s="34" t="s">
        <v>14</v>
      </c>
      <c r="I21" s="44"/>
      <c r="J21" s="44"/>
      <c r="K21" s="44"/>
      <c r="L21" s="44"/>
      <c r="M21" s="44"/>
      <c r="N21" s="44"/>
      <c r="O21" s="44"/>
      <c r="P21" s="44"/>
    </row>
    <row r="22" spans="1:16" x14ac:dyDescent="0.35">
      <c r="A22" t="s">
        <v>42</v>
      </c>
      <c r="B22">
        <v>68</v>
      </c>
      <c r="C22" s="31">
        <v>198</v>
      </c>
      <c r="D22" t="s">
        <v>43</v>
      </c>
      <c r="E22" t="s">
        <v>14</v>
      </c>
      <c r="F22" t="s">
        <v>14</v>
      </c>
      <c r="G22">
        <v>5</v>
      </c>
      <c r="H22" s="34" t="s">
        <v>14</v>
      </c>
      <c r="I22" s="44"/>
      <c r="J22" s="44"/>
      <c r="K22" s="44"/>
      <c r="L22" s="44"/>
      <c r="M22" s="44"/>
      <c r="N22" s="44"/>
      <c r="O22" s="44"/>
      <c r="P22" s="44"/>
    </row>
    <row r="25" spans="1:16" ht="15" thickBot="1" x14ac:dyDescent="0.4">
      <c r="A25" s="39" t="s">
        <v>25</v>
      </c>
      <c r="B25" s="36" t="str">
        <f>Aufgabe4!B1</f>
        <v>Kollege A</v>
      </c>
      <c r="C25" s="36" t="str">
        <f>Aufgabe4!C1</f>
        <v>Kollege B</v>
      </c>
      <c r="D25" s="36" t="str">
        <f>Aufgabe4!D1</f>
        <v>Kollege C</v>
      </c>
      <c r="E25" s="99"/>
      <c r="F25" s="99"/>
    </row>
    <row r="26" spans="1:16" x14ac:dyDescent="0.35">
      <c r="A26" t="s">
        <v>33</v>
      </c>
      <c r="B26" s="46"/>
      <c r="C26" s="46"/>
      <c r="D26" s="46"/>
      <c r="E26" s="99"/>
      <c r="F26" s="99"/>
    </row>
    <row r="27" spans="1:16" x14ac:dyDescent="0.35">
      <c r="A27" t="s">
        <v>34</v>
      </c>
      <c r="B27" s="46"/>
      <c r="C27" s="46"/>
      <c r="D27" s="46"/>
      <c r="E27" s="99"/>
      <c r="F27" s="99"/>
    </row>
    <row r="28" spans="1:16" x14ac:dyDescent="0.35">
      <c r="A28" t="s">
        <v>35</v>
      </c>
      <c r="B28" s="46"/>
      <c r="C28" s="46"/>
      <c r="D28" s="46"/>
      <c r="E28" s="99"/>
      <c r="F28" s="99"/>
    </row>
    <row r="29" spans="1:16" x14ac:dyDescent="0.35">
      <c r="A29" t="s">
        <v>36</v>
      </c>
      <c r="B29" s="46"/>
      <c r="C29" s="46"/>
      <c r="D29" s="46"/>
      <c r="E29" s="99"/>
      <c r="F29" s="99"/>
    </row>
    <row r="30" spans="1:16" x14ac:dyDescent="0.35">
      <c r="A30" t="s">
        <v>37</v>
      </c>
      <c r="B30" s="46"/>
      <c r="C30" s="46"/>
      <c r="D30" s="46"/>
      <c r="E30" s="99"/>
      <c r="F30" s="99"/>
    </row>
    <row r="31" spans="1:16" x14ac:dyDescent="0.35">
      <c r="A31" t="s">
        <v>38</v>
      </c>
      <c r="B31" s="46"/>
      <c r="C31" s="46"/>
      <c r="D31" s="46"/>
      <c r="E31" s="99"/>
      <c r="F31" s="99"/>
    </row>
    <row r="32" spans="1:16" x14ac:dyDescent="0.35">
      <c r="A32" t="s">
        <v>39</v>
      </c>
      <c r="B32" s="46"/>
      <c r="C32" s="46"/>
      <c r="D32" s="46"/>
      <c r="E32" s="99"/>
      <c r="F32" s="99"/>
    </row>
    <row r="33" spans="1:6" x14ac:dyDescent="0.35">
      <c r="A33" t="s">
        <v>40</v>
      </c>
      <c r="B33" s="46"/>
      <c r="C33" s="46"/>
      <c r="D33" s="46"/>
      <c r="E33" s="99"/>
      <c r="F33" s="99"/>
    </row>
    <row r="34" spans="1:6" x14ac:dyDescent="0.35">
      <c r="A34" t="s">
        <v>41</v>
      </c>
      <c r="B34" s="46"/>
      <c r="C34" s="46"/>
      <c r="D34" s="46"/>
      <c r="E34" s="99"/>
      <c r="F34" s="99"/>
    </row>
    <row r="35" spans="1:6" x14ac:dyDescent="0.35">
      <c r="A35" t="s">
        <v>42</v>
      </c>
      <c r="B35" s="46"/>
      <c r="C35" s="46"/>
      <c r="D35" s="46"/>
      <c r="E35" s="99"/>
      <c r="F35" s="99"/>
    </row>
  </sheetData>
  <mergeCells count="1">
    <mergeCell ref="I11:P11"/>
  </mergeCells>
  <pageMargins left="0.7" right="0.7" top="0.78740157499999996" bottom="0.78740157499999996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opLeftCell="A8" workbookViewId="0">
      <selection activeCell="H26" sqref="H26"/>
    </sheetView>
  </sheetViews>
  <sheetFormatPr baseColWidth="10" defaultRowHeight="14.5" x14ac:dyDescent="0.35"/>
  <cols>
    <col min="1" max="1" width="25.81640625" customWidth="1"/>
    <col min="3" max="3" width="14.453125" bestFit="1" customWidth="1"/>
    <col min="4" max="4" width="16.54296875" bestFit="1" customWidth="1"/>
  </cols>
  <sheetData>
    <row r="1" spans="1:16" x14ac:dyDescent="0.35">
      <c r="A1" t="s">
        <v>53</v>
      </c>
    </row>
    <row r="4" spans="1:16" x14ac:dyDescent="0.35">
      <c r="A4" t="s">
        <v>55</v>
      </c>
      <c r="O4" t="s">
        <v>54</v>
      </c>
    </row>
    <row r="5" spans="1:16" x14ac:dyDescent="0.35">
      <c r="A5" t="s">
        <v>56</v>
      </c>
    </row>
    <row r="7" spans="1:16" x14ac:dyDescent="0.35">
      <c r="A7" t="s">
        <v>57</v>
      </c>
    </row>
    <row r="8" spans="1:16" x14ac:dyDescent="0.35">
      <c r="A8" t="s">
        <v>58</v>
      </c>
    </row>
    <row r="10" spans="1:16" x14ac:dyDescent="0.35">
      <c r="A10" t="s">
        <v>59</v>
      </c>
    </row>
    <row r="12" spans="1:16" x14ac:dyDescent="0.35">
      <c r="I12" s="117" t="s">
        <v>50</v>
      </c>
      <c r="J12" s="117"/>
      <c r="K12" s="117"/>
      <c r="L12" s="117"/>
      <c r="M12" s="117"/>
      <c r="N12" s="117"/>
      <c r="O12" s="117"/>
      <c r="P12" s="117"/>
    </row>
    <row r="13" spans="1:16" ht="15" thickBot="1" x14ac:dyDescent="0.4">
      <c r="A13" s="39" t="s">
        <v>25</v>
      </c>
      <c r="B13" s="39" t="s">
        <v>26</v>
      </c>
      <c r="C13" s="39" t="s">
        <v>27</v>
      </c>
      <c r="D13" s="39" t="s">
        <v>28</v>
      </c>
      <c r="E13" s="39" t="s">
        <v>29</v>
      </c>
      <c r="F13" s="39" t="s">
        <v>30</v>
      </c>
      <c r="G13" s="39" t="s">
        <v>31</v>
      </c>
      <c r="H13" s="40" t="s">
        <v>32</v>
      </c>
      <c r="I13" s="39">
        <v>1</v>
      </c>
      <c r="J13" s="39">
        <v>2</v>
      </c>
      <c r="K13" s="39">
        <v>3</v>
      </c>
      <c r="L13" s="39">
        <v>4</v>
      </c>
      <c r="M13" s="39">
        <v>5</v>
      </c>
      <c r="N13" s="39">
        <v>6</v>
      </c>
      <c r="O13" s="39">
        <v>7</v>
      </c>
      <c r="P13" s="39">
        <v>8</v>
      </c>
    </row>
    <row r="14" spans="1:16" x14ac:dyDescent="0.35">
      <c r="A14" t="s">
        <v>33</v>
      </c>
      <c r="B14">
        <v>128</v>
      </c>
      <c r="C14" s="31">
        <v>45</v>
      </c>
      <c r="D14" t="s">
        <v>14</v>
      </c>
      <c r="E14" t="s">
        <v>43</v>
      </c>
      <c r="F14" t="s">
        <v>43</v>
      </c>
      <c r="G14">
        <v>3</v>
      </c>
      <c r="H14" s="34" t="s">
        <v>14</v>
      </c>
      <c r="I14" s="31">
        <f t="shared" ref="I14:N23" si="0">I$13*$C14</f>
        <v>45</v>
      </c>
      <c r="J14" s="31">
        <f t="shared" si="0"/>
        <v>90</v>
      </c>
      <c r="K14" s="31">
        <f t="shared" si="0"/>
        <v>135</v>
      </c>
      <c r="L14" s="31">
        <f t="shared" si="0"/>
        <v>180</v>
      </c>
      <c r="M14" s="31">
        <f t="shared" si="0"/>
        <v>225</v>
      </c>
      <c r="N14" s="31">
        <f t="shared" si="0"/>
        <v>270</v>
      </c>
      <c r="O14" s="31">
        <f t="shared" ref="O14:P23" si="1">IF($D14="ja",(O$13-1)*$C14,O$13*$C14)</f>
        <v>270</v>
      </c>
      <c r="P14" s="31">
        <f t="shared" si="1"/>
        <v>315</v>
      </c>
    </row>
    <row r="15" spans="1:16" x14ac:dyDescent="0.35">
      <c r="A15" t="s">
        <v>34</v>
      </c>
      <c r="B15">
        <v>72</v>
      </c>
      <c r="C15" s="31">
        <v>263</v>
      </c>
      <c r="D15" t="s">
        <v>43</v>
      </c>
      <c r="E15" t="s">
        <v>14</v>
      </c>
      <c r="F15" t="s">
        <v>14</v>
      </c>
      <c r="G15">
        <v>5</v>
      </c>
      <c r="H15" s="34" t="s">
        <v>14</v>
      </c>
      <c r="I15" s="31">
        <f t="shared" si="0"/>
        <v>263</v>
      </c>
      <c r="J15" s="31">
        <f t="shared" si="0"/>
        <v>526</v>
      </c>
      <c r="K15" s="31">
        <f t="shared" si="0"/>
        <v>789</v>
      </c>
      <c r="L15" s="31">
        <f t="shared" si="0"/>
        <v>1052</v>
      </c>
      <c r="M15" s="31">
        <f t="shared" si="0"/>
        <v>1315</v>
      </c>
      <c r="N15" s="31">
        <f t="shared" si="0"/>
        <v>1578</v>
      </c>
      <c r="O15" s="31">
        <f t="shared" si="1"/>
        <v>1841</v>
      </c>
      <c r="P15" s="31">
        <f t="shared" si="1"/>
        <v>2104</v>
      </c>
    </row>
    <row r="16" spans="1:16" x14ac:dyDescent="0.35">
      <c r="A16" t="s">
        <v>35</v>
      </c>
      <c r="B16">
        <v>44</v>
      </c>
      <c r="C16" s="31">
        <v>52</v>
      </c>
      <c r="D16" t="s">
        <v>14</v>
      </c>
      <c r="E16" t="s">
        <v>43</v>
      </c>
      <c r="F16" t="s">
        <v>14</v>
      </c>
      <c r="G16">
        <v>3</v>
      </c>
      <c r="H16" s="34" t="s">
        <v>14</v>
      </c>
      <c r="I16" s="31">
        <f t="shared" si="0"/>
        <v>52</v>
      </c>
      <c r="J16" s="31">
        <f t="shared" si="0"/>
        <v>104</v>
      </c>
      <c r="K16" s="31">
        <f t="shared" si="0"/>
        <v>156</v>
      </c>
      <c r="L16" s="31">
        <f t="shared" si="0"/>
        <v>208</v>
      </c>
      <c r="M16" s="31">
        <f t="shared" si="0"/>
        <v>260</v>
      </c>
      <c r="N16" s="31">
        <f t="shared" si="0"/>
        <v>312</v>
      </c>
      <c r="O16" s="31">
        <f t="shared" si="1"/>
        <v>312</v>
      </c>
      <c r="P16" s="31">
        <f t="shared" si="1"/>
        <v>364</v>
      </c>
    </row>
    <row r="17" spans="1:16" x14ac:dyDescent="0.35">
      <c r="A17" t="s">
        <v>36</v>
      </c>
      <c r="B17">
        <v>45</v>
      </c>
      <c r="C17" s="31">
        <v>78</v>
      </c>
      <c r="D17" t="s">
        <v>14</v>
      </c>
      <c r="E17" t="s">
        <v>14</v>
      </c>
      <c r="F17" t="s">
        <v>43</v>
      </c>
      <c r="G17">
        <v>3</v>
      </c>
      <c r="H17" s="34" t="s">
        <v>14</v>
      </c>
      <c r="I17" s="31">
        <f t="shared" si="0"/>
        <v>78</v>
      </c>
      <c r="J17" s="31">
        <f t="shared" si="0"/>
        <v>156</v>
      </c>
      <c r="K17" s="31">
        <f t="shared" si="0"/>
        <v>234</v>
      </c>
      <c r="L17" s="31">
        <f t="shared" si="0"/>
        <v>312</v>
      </c>
      <c r="M17" s="31">
        <f t="shared" si="0"/>
        <v>390</v>
      </c>
      <c r="N17" s="31">
        <f t="shared" si="0"/>
        <v>468</v>
      </c>
      <c r="O17" s="31">
        <f t="shared" si="1"/>
        <v>468</v>
      </c>
      <c r="P17" s="31">
        <f t="shared" si="1"/>
        <v>546</v>
      </c>
    </row>
    <row r="18" spans="1:16" x14ac:dyDescent="0.35">
      <c r="A18" t="s">
        <v>37</v>
      </c>
      <c r="B18">
        <v>38</v>
      </c>
      <c r="C18" s="31">
        <v>126</v>
      </c>
      <c r="D18" t="s">
        <v>43</v>
      </c>
      <c r="E18" t="s">
        <v>14</v>
      </c>
      <c r="F18" t="s">
        <v>14</v>
      </c>
      <c r="G18">
        <v>5</v>
      </c>
      <c r="H18" s="34" t="s">
        <v>14</v>
      </c>
      <c r="I18" s="31">
        <f t="shared" si="0"/>
        <v>126</v>
      </c>
      <c r="J18" s="31">
        <f t="shared" si="0"/>
        <v>252</v>
      </c>
      <c r="K18" s="31">
        <f t="shared" si="0"/>
        <v>378</v>
      </c>
      <c r="L18" s="31">
        <f t="shared" si="0"/>
        <v>504</v>
      </c>
      <c r="M18" s="31">
        <f t="shared" si="0"/>
        <v>630</v>
      </c>
      <c r="N18" s="31">
        <f t="shared" si="0"/>
        <v>756</v>
      </c>
      <c r="O18" s="31">
        <f t="shared" si="1"/>
        <v>882</v>
      </c>
      <c r="P18" s="31">
        <f t="shared" si="1"/>
        <v>1008</v>
      </c>
    </row>
    <row r="19" spans="1:16" x14ac:dyDescent="0.35">
      <c r="A19" t="s">
        <v>38</v>
      </c>
      <c r="B19">
        <v>63</v>
      </c>
      <c r="C19" s="31">
        <v>110</v>
      </c>
      <c r="D19" t="s">
        <v>43</v>
      </c>
      <c r="E19" t="s">
        <v>14</v>
      </c>
      <c r="F19" t="s">
        <v>14</v>
      </c>
      <c r="G19">
        <v>4</v>
      </c>
      <c r="H19" s="34" t="s">
        <v>14</v>
      </c>
      <c r="I19" s="31">
        <f t="shared" si="0"/>
        <v>110</v>
      </c>
      <c r="J19" s="31">
        <f t="shared" si="0"/>
        <v>220</v>
      </c>
      <c r="K19" s="31">
        <f t="shared" si="0"/>
        <v>330</v>
      </c>
      <c r="L19" s="31">
        <f t="shared" si="0"/>
        <v>440</v>
      </c>
      <c r="M19" s="31">
        <f t="shared" si="0"/>
        <v>550</v>
      </c>
      <c r="N19" s="31">
        <f t="shared" si="0"/>
        <v>660</v>
      </c>
      <c r="O19" s="31">
        <f t="shared" si="1"/>
        <v>770</v>
      </c>
      <c r="P19" s="31">
        <f t="shared" si="1"/>
        <v>880</v>
      </c>
    </row>
    <row r="20" spans="1:16" x14ac:dyDescent="0.35">
      <c r="A20" t="s">
        <v>39</v>
      </c>
      <c r="B20">
        <v>24</v>
      </c>
      <c r="C20" s="31">
        <v>89</v>
      </c>
      <c r="D20" t="s">
        <v>43</v>
      </c>
      <c r="E20" t="s">
        <v>14</v>
      </c>
      <c r="F20" t="s">
        <v>43</v>
      </c>
      <c r="G20">
        <v>4</v>
      </c>
      <c r="H20" s="34" t="s">
        <v>14</v>
      </c>
      <c r="I20" s="31">
        <f t="shared" si="0"/>
        <v>89</v>
      </c>
      <c r="J20" s="31">
        <f t="shared" si="0"/>
        <v>178</v>
      </c>
      <c r="K20" s="31">
        <f t="shared" si="0"/>
        <v>267</v>
      </c>
      <c r="L20" s="31">
        <f t="shared" si="0"/>
        <v>356</v>
      </c>
      <c r="M20" s="31">
        <f t="shared" si="0"/>
        <v>445</v>
      </c>
      <c r="N20" s="31">
        <f t="shared" si="0"/>
        <v>534</v>
      </c>
      <c r="O20" s="31">
        <f t="shared" si="1"/>
        <v>623</v>
      </c>
      <c r="P20" s="31">
        <f t="shared" si="1"/>
        <v>712</v>
      </c>
    </row>
    <row r="21" spans="1:16" x14ac:dyDescent="0.35">
      <c r="A21" t="s">
        <v>40</v>
      </c>
      <c r="B21">
        <v>160</v>
      </c>
      <c r="C21" s="31">
        <v>23</v>
      </c>
      <c r="D21" t="s">
        <v>14</v>
      </c>
      <c r="E21" t="s">
        <v>43</v>
      </c>
      <c r="F21" t="s">
        <v>43</v>
      </c>
      <c r="G21">
        <v>2</v>
      </c>
      <c r="H21" s="34" t="s">
        <v>43</v>
      </c>
      <c r="I21" s="31">
        <f t="shared" si="0"/>
        <v>23</v>
      </c>
      <c r="J21" s="31">
        <f t="shared" si="0"/>
        <v>46</v>
      </c>
      <c r="K21" s="31">
        <f t="shared" si="0"/>
        <v>69</v>
      </c>
      <c r="L21" s="31">
        <f t="shared" si="0"/>
        <v>92</v>
      </c>
      <c r="M21" s="31">
        <f t="shared" si="0"/>
        <v>115</v>
      </c>
      <c r="N21" s="31">
        <f t="shared" si="0"/>
        <v>138</v>
      </c>
      <c r="O21" s="31">
        <f t="shared" si="1"/>
        <v>138</v>
      </c>
      <c r="P21" s="31">
        <f t="shared" si="1"/>
        <v>161</v>
      </c>
    </row>
    <row r="22" spans="1:16" x14ac:dyDescent="0.35">
      <c r="A22" t="s">
        <v>41</v>
      </c>
      <c r="B22">
        <v>106</v>
      </c>
      <c r="C22" s="31">
        <v>62</v>
      </c>
      <c r="D22" t="s">
        <v>14</v>
      </c>
      <c r="E22" t="s">
        <v>14</v>
      </c>
      <c r="F22" t="s">
        <v>14</v>
      </c>
      <c r="G22">
        <v>3</v>
      </c>
      <c r="H22" s="34" t="s">
        <v>14</v>
      </c>
      <c r="I22" s="31">
        <f t="shared" si="0"/>
        <v>62</v>
      </c>
      <c r="J22" s="31">
        <f t="shared" si="0"/>
        <v>124</v>
      </c>
      <c r="K22" s="31">
        <f t="shared" si="0"/>
        <v>186</v>
      </c>
      <c r="L22" s="31">
        <f t="shared" si="0"/>
        <v>248</v>
      </c>
      <c r="M22" s="31">
        <f t="shared" si="0"/>
        <v>310</v>
      </c>
      <c r="N22" s="31">
        <f t="shared" si="0"/>
        <v>372</v>
      </c>
      <c r="O22" s="31">
        <f t="shared" si="1"/>
        <v>372</v>
      </c>
      <c r="P22" s="31">
        <f t="shared" si="1"/>
        <v>434</v>
      </c>
    </row>
    <row r="23" spans="1:16" x14ac:dyDescent="0.35">
      <c r="A23" t="s">
        <v>42</v>
      </c>
      <c r="B23">
        <v>68</v>
      </c>
      <c r="C23" s="31">
        <v>198</v>
      </c>
      <c r="D23" t="s">
        <v>43</v>
      </c>
      <c r="E23" t="s">
        <v>14</v>
      </c>
      <c r="F23" t="s">
        <v>14</v>
      </c>
      <c r="G23">
        <v>5</v>
      </c>
      <c r="H23" s="34" t="s">
        <v>14</v>
      </c>
      <c r="I23" s="31">
        <f t="shared" si="0"/>
        <v>198</v>
      </c>
      <c r="J23" s="31">
        <f t="shared" si="0"/>
        <v>396</v>
      </c>
      <c r="K23" s="31">
        <f t="shared" si="0"/>
        <v>594</v>
      </c>
      <c r="L23" s="31">
        <f t="shared" si="0"/>
        <v>792</v>
      </c>
      <c r="M23" s="31">
        <f t="shared" si="0"/>
        <v>990</v>
      </c>
      <c r="N23" s="31">
        <f t="shared" si="0"/>
        <v>1188</v>
      </c>
      <c r="O23" s="31">
        <f t="shared" si="1"/>
        <v>1386</v>
      </c>
      <c r="P23" s="31">
        <f t="shared" si="1"/>
        <v>1584</v>
      </c>
    </row>
    <row r="26" spans="1:16" ht="15" thickBot="1" x14ac:dyDescent="0.4">
      <c r="A26" s="39" t="s">
        <v>25</v>
      </c>
      <c r="B26" s="36" t="str">
        <f>Aufgabe4!B1</f>
        <v>Kollege A</v>
      </c>
      <c r="C26" s="36" t="str">
        <f>Aufgabe4!C1</f>
        <v>Kollege B</v>
      </c>
      <c r="D26" s="36" t="str">
        <f>Aufgabe4!D1</f>
        <v>Kollege C</v>
      </c>
    </row>
    <row r="27" spans="1:16" x14ac:dyDescent="0.35">
      <c r="A27" t="s">
        <v>33</v>
      </c>
      <c r="B27" t="str">
        <f>IF(AND($B14&lt;Aufgabe4!B$2,$E14=Aufgabe4!B$3,$O14&lt;Aufgabe4!B$6),$O14,"passt nicht")</f>
        <v>passt nicht</v>
      </c>
      <c r="C27" t="str">
        <f>IF(AND($B14&lt;Aufgabe4!$C$2,$E14=Aufgabe4!$C$3,P14&lt;Aufgabe4!$C$6),P14,"passt nicht")</f>
        <v>passt nicht</v>
      </c>
      <c r="D27" t="str">
        <f>IF(AND($B14&lt;Aufgabe4!$D$2,E14=Aufgabe4!$D$3,F14=Aufgabe4!$D$4,J14&lt;Aufgabe4!$D$6),J14,"passt nicht")</f>
        <v>passt nicht</v>
      </c>
    </row>
    <row r="28" spans="1:16" x14ac:dyDescent="0.35">
      <c r="A28" t="s">
        <v>34</v>
      </c>
      <c r="B28" t="str">
        <f>IF(AND($B15&lt;Aufgabe4!B$2,$E15=Aufgabe4!B$3,$O15&lt;Aufgabe4!B$6),$O15,"passt nicht")</f>
        <v>passt nicht</v>
      </c>
      <c r="C28" t="str">
        <f>IF(AND($B15&lt;Aufgabe4!$C$2,$E15=Aufgabe4!$C$3,P15&lt;Aufgabe4!$C$6),P15,"passt nicht")</f>
        <v>passt nicht</v>
      </c>
      <c r="D28" t="str">
        <f>IF(AND($B15&lt;Aufgabe4!$D$2,E15=Aufgabe4!$D$3,F15=Aufgabe4!$D$4,J15&lt;Aufgabe4!$D$6),J15,"passt nicht")</f>
        <v>passt nicht</v>
      </c>
    </row>
    <row r="29" spans="1:16" x14ac:dyDescent="0.35">
      <c r="A29" t="s">
        <v>35</v>
      </c>
      <c r="B29" t="str">
        <f>IF(AND($B16&lt;Aufgabe4!B$2,$E16=Aufgabe4!B$3,$O16&lt;Aufgabe4!B$6),$O16,"passt nicht")</f>
        <v>passt nicht</v>
      </c>
      <c r="C29" t="str">
        <f>IF(AND($B16&lt;Aufgabe4!$C$2,$E16=Aufgabe4!$C$3,P16&lt;Aufgabe4!$C$6),P16,"passt nicht")</f>
        <v>passt nicht</v>
      </c>
      <c r="D29" t="str">
        <f>IF(AND($B16&lt;Aufgabe4!$D$2,E16=Aufgabe4!$D$3,F16=Aufgabe4!$D$4,J16&lt;Aufgabe4!$D$6),J16,"passt nicht")</f>
        <v>passt nicht</v>
      </c>
    </row>
    <row r="30" spans="1:16" x14ac:dyDescent="0.35">
      <c r="A30" t="s">
        <v>36</v>
      </c>
      <c r="B30">
        <f>IF(AND($B17&lt;Aufgabe4!B$2,$E17=Aufgabe4!B$3,$O17&lt;Aufgabe4!B$6),$O17,"passt nicht")</f>
        <v>468</v>
      </c>
      <c r="C30">
        <f>IF(AND($B17&lt;Aufgabe4!$C$2,$E17=Aufgabe4!$C$3,P17&lt;Aufgabe4!$C$6),P17,"passt nicht")</f>
        <v>546</v>
      </c>
      <c r="D30" t="str">
        <f>IF(AND($B17&lt;Aufgabe4!$D$2,E17=Aufgabe4!$D$3,F17=Aufgabe4!$D$4,J17&lt;Aufgabe4!$D$6),J17,"passt nicht")</f>
        <v>passt nicht</v>
      </c>
    </row>
    <row r="31" spans="1:16" x14ac:dyDescent="0.35">
      <c r="A31" t="s">
        <v>37</v>
      </c>
      <c r="B31" t="str">
        <f>IF(AND($B18&lt;Aufgabe4!B$2,$E18=Aufgabe4!B$3,$O18&lt;Aufgabe4!B$6),$O18,"passt nicht")</f>
        <v>passt nicht</v>
      </c>
      <c r="C31">
        <f>IF(AND($B18&lt;Aufgabe4!$C$2,$E18=Aufgabe4!$C$3,P18&lt;Aufgabe4!$C$6),P18,"passt nicht")</f>
        <v>1008</v>
      </c>
      <c r="D31">
        <f>IF(AND($B18&lt;Aufgabe4!$D$2,E18=Aufgabe4!$D$3,F18=Aufgabe4!$D$4,J18&lt;Aufgabe4!$D$6),J18,"passt nicht")</f>
        <v>252</v>
      </c>
    </row>
    <row r="32" spans="1:16" x14ac:dyDescent="0.35">
      <c r="A32" t="s">
        <v>38</v>
      </c>
      <c r="B32" t="str">
        <f>IF(AND($B19&lt;Aufgabe4!B$2,$E19=Aufgabe4!B$3,$O19&lt;Aufgabe4!B$6),$O19,"passt nicht")</f>
        <v>passt nicht</v>
      </c>
      <c r="C32">
        <f>IF(AND($B19&lt;Aufgabe4!$C$2,$E19=Aufgabe4!$C$3,P19&lt;Aufgabe4!$C$6),P19,"passt nicht")</f>
        <v>880</v>
      </c>
      <c r="D32">
        <f>IF(AND($B19&lt;Aufgabe4!$D$2,E19=Aufgabe4!$D$3,F19=Aufgabe4!$D$4,J19&lt;Aufgabe4!$D$6),J19,"passt nicht")</f>
        <v>220</v>
      </c>
    </row>
    <row r="33" spans="1:4" x14ac:dyDescent="0.35">
      <c r="A33" t="s">
        <v>39</v>
      </c>
      <c r="B33" t="str">
        <f>IF(AND($B20&lt;Aufgabe4!B$2,$E20=Aufgabe4!B$3,$O20&lt;Aufgabe4!B$6),$O20,"passt nicht")</f>
        <v>passt nicht</v>
      </c>
      <c r="C33">
        <f>IF(AND($B20&lt;Aufgabe4!$C$2,$E20=Aufgabe4!$C$3,P20&lt;Aufgabe4!$C$6),P20,"passt nicht")</f>
        <v>712</v>
      </c>
      <c r="D33" t="str">
        <f>IF(AND($B20&lt;Aufgabe4!$D$2,E20=Aufgabe4!$D$3,F20=Aufgabe4!$D$4,J20&lt;Aufgabe4!$D$6),J20,"passt nicht")</f>
        <v>passt nicht</v>
      </c>
    </row>
    <row r="34" spans="1:4" x14ac:dyDescent="0.35">
      <c r="A34" t="s">
        <v>40</v>
      </c>
      <c r="B34" t="str">
        <f>IF(AND($B21&lt;Aufgabe4!B$2,$E21=Aufgabe4!B$3,$O21&lt;Aufgabe4!B$6),$O21,"passt nicht")</f>
        <v>passt nicht</v>
      </c>
      <c r="C34" t="str">
        <f>IF(AND($B21&lt;Aufgabe4!$C$2,$E21=Aufgabe4!$C$3,P21&lt;Aufgabe4!$C$6),P21,"passt nicht")</f>
        <v>passt nicht</v>
      </c>
      <c r="D34" t="str">
        <f>IF(AND($B21&lt;Aufgabe4!$D$2,E21=Aufgabe4!$D$3,F21=Aufgabe4!$D$4,J21&lt;Aufgabe4!$D$6),J21,"passt nicht")</f>
        <v>passt nicht</v>
      </c>
    </row>
    <row r="35" spans="1:4" x14ac:dyDescent="0.35">
      <c r="A35" t="s">
        <v>41</v>
      </c>
      <c r="B35" t="str">
        <f>IF(AND($B22&lt;Aufgabe4!B$2,$E22=Aufgabe4!B$3,$O22&lt;Aufgabe4!B$6),$O22,"passt nicht")</f>
        <v>passt nicht</v>
      </c>
      <c r="C35">
        <f>IF(AND($B22&lt;Aufgabe4!$C$2,$E22=Aufgabe4!$C$3,P22&lt;Aufgabe4!$C$6),P22,"passt nicht")</f>
        <v>434</v>
      </c>
      <c r="D35" t="str">
        <f>IF(AND($B22&lt;Aufgabe4!$D$2,E22=Aufgabe4!$D$3,F22=Aufgabe4!$D$4,J22&lt;Aufgabe4!$D$6),J22,"passt nicht")</f>
        <v>passt nicht</v>
      </c>
    </row>
    <row r="36" spans="1:4" x14ac:dyDescent="0.35">
      <c r="A36" t="s">
        <v>42</v>
      </c>
      <c r="B36" t="str">
        <f>IF(AND($B23&lt;Aufgabe4!B$2,$E23=Aufgabe4!B$3,$O23&lt;Aufgabe4!B$6),$O23,"passt nicht")</f>
        <v>passt nicht</v>
      </c>
      <c r="C36" t="str">
        <f>IF(AND($B23&lt;Aufgabe4!$C$2,$E23=Aufgabe4!$C$3,P23&lt;Aufgabe4!$C$6),P23,"passt nicht")</f>
        <v>passt nicht</v>
      </c>
      <c r="D36">
        <f>IF(AND($B23&lt;Aufgabe4!$D$2,E23=Aufgabe4!$D$3,F23=Aufgabe4!$D$4,J23&lt;Aufgabe4!$D$6),J23,"passt nicht")</f>
        <v>396</v>
      </c>
    </row>
  </sheetData>
  <mergeCells count="1">
    <mergeCell ref="I12:P12"/>
  </mergeCells>
  <conditionalFormatting sqref="B27:F36">
    <cfRule type="cellIs" dxfId="1" priority="1" operator="equal">
      <formula>"passt nicht"</formula>
    </cfRule>
    <cfRule type="cellIs" dxfId="0" priority="2" operator="equal">
      <formula>"passt"</formula>
    </cfRule>
  </conditionalFormatting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Q1271"/>
  <sheetViews>
    <sheetView topLeftCell="A170" zoomScaleNormal="100" workbookViewId="0">
      <selection activeCell="H187" sqref="H187"/>
    </sheetView>
  </sheetViews>
  <sheetFormatPr baseColWidth="10" defaultColWidth="11.453125" defaultRowHeight="14.5" x14ac:dyDescent="0.35"/>
  <cols>
    <col min="1" max="1" width="15.81640625" bestFit="1" customWidth="1"/>
    <col min="3" max="3" width="21.453125" bestFit="1" customWidth="1"/>
    <col min="4" max="4" width="13.1796875" bestFit="1" customWidth="1"/>
  </cols>
  <sheetData>
    <row r="1" spans="1:17" x14ac:dyDescent="0.35">
      <c r="A1" s="59" t="s">
        <v>119</v>
      </c>
      <c r="B1" s="60" t="s">
        <v>120</v>
      </c>
      <c r="C1" s="60" t="s">
        <v>121</v>
      </c>
      <c r="D1" s="60" t="s">
        <v>122</v>
      </c>
      <c r="E1" s="60" t="s">
        <v>123</v>
      </c>
      <c r="F1" s="60" t="s">
        <v>124</v>
      </c>
      <c r="G1" s="60" t="s">
        <v>125</v>
      </c>
      <c r="H1" s="60" t="s">
        <v>126</v>
      </c>
      <c r="I1" s="60" t="s">
        <v>127</v>
      </c>
      <c r="J1" s="60" t="s">
        <v>128</v>
      </c>
      <c r="K1" s="60" t="s">
        <v>129</v>
      </c>
      <c r="L1" s="60" t="s">
        <v>130</v>
      </c>
      <c r="M1" s="60" t="s">
        <v>131</v>
      </c>
      <c r="N1" s="60" t="s">
        <v>132</v>
      </c>
      <c r="O1" s="60" t="s">
        <v>133</v>
      </c>
      <c r="P1" s="60" t="s">
        <v>134</v>
      </c>
      <c r="Q1" s="61" t="s">
        <v>135</v>
      </c>
    </row>
    <row r="2" spans="1:17" x14ac:dyDescent="0.35">
      <c r="A2" s="62" t="s">
        <v>136</v>
      </c>
      <c r="B2" s="63">
        <v>28644</v>
      </c>
      <c r="C2" s="63" t="s">
        <v>137</v>
      </c>
      <c r="D2" s="64">
        <v>42552</v>
      </c>
      <c r="E2" s="63" t="s">
        <v>138</v>
      </c>
      <c r="F2" s="65">
        <v>29645</v>
      </c>
      <c r="G2" s="66">
        <v>1.05869740016081E-2</v>
      </c>
      <c r="H2" s="65">
        <v>546</v>
      </c>
      <c r="I2" s="67">
        <v>1.41999990200695</v>
      </c>
      <c r="J2" s="67">
        <v>15.0335020448337</v>
      </c>
      <c r="K2" s="65">
        <v>35</v>
      </c>
      <c r="L2" s="65">
        <v>42</v>
      </c>
      <c r="M2" s="66">
        <v>0.122362869198312</v>
      </c>
      <c r="N2" s="67">
        <v>5182.9889307212497</v>
      </c>
      <c r="O2" s="67">
        <v>89.361878115883698</v>
      </c>
      <c r="P2" s="67">
        <v>673.07995355129196</v>
      </c>
      <c r="Q2" s="68">
        <v>0.12986328208453801</v>
      </c>
    </row>
    <row r="3" spans="1:17" x14ac:dyDescent="0.35">
      <c r="A3" s="62" t="s">
        <v>136</v>
      </c>
      <c r="B3" s="63">
        <v>28644</v>
      </c>
      <c r="C3" s="63" t="s">
        <v>137</v>
      </c>
      <c r="D3" s="64">
        <v>42553</v>
      </c>
      <c r="E3" s="63" t="s">
        <v>138</v>
      </c>
      <c r="F3" s="65">
        <v>5181</v>
      </c>
      <c r="G3" s="66">
        <v>9.4367120891933193E-3</v>
      </c>
      <c r="H3" s="65">
        <v>263</v>
      </c>
      <c r="I3" s="67">
        <v>1.419999926707</v>
      </c>
      <c r="J3" s="67">
        <v>13.4001304750096</v>
      </c>
      <c r="K3" s="65">
        <v>49</v>
      </c>
      <c r="L3" s="65">
        <v>55</v>
      </c>
      <c r="M3" s="66">
        <v>7.3359073359073407E-2</v>
      </c>
      <c r="N3" s="67">
        <v>3522.4738934240199</v>
      </c>
      <c r="O3" s="67">
        <v>92.696681405895205</v>
      </c>
      <c r="P3" s="67">
        <v>735.55996203422501</v>
      </c>
      <c r="Q3" s="68">
        <v>0.20881913799486701</v>
      </c>
    </row>
    <row r="4" spans="1:17" x14ac:dyDescent="0.35">
      <c r="A4" s="62" t="s">
        <v>136</v>
      </c>
      <c r="B4" s="63">
        <v>28644</v>
      </c>
      <c r="C4" s="63" t="s">
        <v>137</v>
      </c>
      <c r="D4" s="64">
        <v>42554</v>
      </c>
      <c r="E4" s="63" t="s">
        <v>138</v>
      </c>
      <c r="F4" s="65">
        <v>37364</v>
      </c>
      <c r="G4" s="66">
        <v>7.8716210172281205E-3</v>
      </c>
      <c r="H4" s="65">
        <v>415</v>
      </c>
      <c r="I4" s="67">
        <v>1.4200000221079001</v>
      </c>
      <c r="J4" s="67">
        <v>11.177702018489001</v>
      </c>
      <c r="K4" s="65">
        <v>96</v>
      </c>
      <c r="L4" s="65">
        <v>57</v>
      </c>
      <c r="M4" s="66">
        <v>9.54545454545455E-2</v>
      </c>
      <c r="N4" s="67">
        <v>4149.6238210597103</v>
      </c>
      <c r="O4" s="67">
        <v>98.800567168088406</v>
      </c>
      <c r="P4" s="67">
        <v>624.80000972747803</v>
      </c>
      <c r="Q4" s="68">
        <v>0.150567867515258</v>
      </c>
    </row>
    <row r="5" spans="1:17" x14ac:dyDescent="0.35">
      <c r="A5" s="62" t="s">
        <v>136</v>
      </c>
      <c r="B5" s="63">
        <v>28644</v>
      </c>
      <c r="C5" s="63" t="s">
        <v>137</v>
      </c>
      <c r="D5" s="64">
        <v>42555</v>
      </c>
      <c r="E5" s="63" t="s">
        <v>138</v>
      </c>
      <c r="F5" s="65">
        <v>63380</v>
      </c>
      <c r="G5" s="66">
        <v>8.0906148867313891E-3</v>
      </c>
      <c r="H5" s="65">
        <v>594</v>
      </c>
      <c r="I5" s="67">
        <v>1.41999999093421</v>
      </c>
      <c r="J5" s="67">
        <v>11.488673065810699</v>
      </c>
      <c r="K5" s="65">
        <v>34</v>
      </c>
      <c r="L5" s="65">
        <v>47</v>
      </c>
      <c r="M5" s="66">
        <v>7.1604938271604898E-2</v>
      </c>
      <c r="N5" s="67">
        <v>2762.9168524697998</v>
      </c>
      <c r="O5" s="67">
        <v>95.272994912751798</v>
      </c>
      <c r="P5" s="67">
        <v>575.099996328354</v>
      </c>
      <c r="Q5" s="68">
        <v>0.20814958503520101</v>
      </c>
    </row>
    <row r="6" spans="1:17" x14ac:dyDescent="0.35">
      <c r="A6" s="62" t="s">
        <v>136</v>
      </c>
      <c r="B6" s="63">
        <v>28644</v>
      </c>
      <c r="C6" s="63" t="s">
        <v>137</v>
      </c>
      <c r="D6" s="64">
        <v>42556</v>
      </c>
      <c r="E6" s="63" t="s">
        <v>138</v>
      </c>
      <c r="F6" s="65">
        <v>68629</v>
      </c>
      <c r="G6" s="66">
        <v>8.9567408473966194E-3</v>
      </c>
      <c r="H6" s="65">
        <v>327</v>
      </c>
      <c r="I6" s="67">
        <v>1.3929550740735801</v>
      </c>
      <c r="J6" s="67">
        <v>12.476337610543199</v>
      </c>
      <c r="K6" s="65">
        <v>55</v>
      </c>
      <c r="L6" s="65">
        <v>39</v>
      </c>
      <c r="M6" s="66">
        <v>4.9645390070922002E-2</v>
      </c>
      <c r="N6" s="67">
        <v>1333.95280490967</v>
      </c>
      <c r="O6" s="67">
        <v>63.521562138555801</v>
      </c>
      <c r="P6" s="67">
        <v>589.21999633312203</v>
      </c>
      <c r="Q6" s="68">
        <v>0.44170977726083899</v>
      </c>
    </row>
    <row r="7" spans="1:17" x14ac:dyDescent="0.35">
      <c r="A7" s="62" t="s">
        <v>136</v>
      </c>
      <c r="B7" s="63">
        <v>28644</v>
      </c>
      <c r="C7" s="63" t="s">
        <v>137</v>
      </c>
      <c r="D7" s="64">
        <v>42557</v>
      </c>
      <c r="E7" s="63" t="s">
        <v>138</v>
      </c>
      <c r="F7" s="65">
        <v>47953</v>
      </c>
      <c r="G7" s="66">
        <v>9.6592142392012206E-3</v>
      </c>
      <c r="H7" s="65">
        <v>538</v>
      </c>
      <c r="I7" s="67">
        <v>1.3799999799621201</v>
      </c>
      <c r="J7" s="67">
        <v>13.3297154565475</v>
      </c>
      <c r="K7" s="65">
        <v>70</v>
      </c>
      <c r="L7" s="65">
        <v>42</v>
      </c>
      <c r="M7" s="66">
        <v>5.8426966292134799E-2</v>
      </c>
      <c r="N7" s="67">
        <v>2028.95669725279</v>
      </c>
      <c r="O7" s="67">
        <v>78.036796048184399</v>
      </c>
      <c r="P7" s="67">
        <v>614.09999108314503</v>
      </c>
      <c r="Q7" s="68">
        <v>0.30266786467874601</v>
      </c>
    </row>
    <row r="8" spans="1:17" x14ac:dyDescent="0.35">
      <c r="A8" s="62" t="s">
        <v>136</v>
      </c>
      <c r="B8" s="63">
        <v>28644</v>
      </c>
      <c r="C8" s="63" t="s">
        <v>137</v>
      </c>
      <c r="D8" s="64">
        <v>42558</v>
      </c>
      <c r="E8" s="63" t="s">
        <v>138</v>
      </c>
      <c r="F8" s="65">
        <v>11584</v>
      </c>
      <c r="G8" s="66">
        <v>9.5642933049946907E-3</v>
      </c>
      <c r="H8" s="65">
        <v>352</v>
      </c>
      <c r="I8" s="67">
        <v>1.3800000116141899</v>
      </c>
      <c r="J8" s="67">
        <v>13.1987248719742</v>
      </c>
      <c r="K8" s="65">
        <v>84</v>
      </c>
      <c r="L8" s="65">
        <v>40</v>
      </c>
      <c r="M8" s="66">
        <v>8.4795321637426896E-2</v>
      </c>
      <c r="N8" s="67">
        <v>4286.4551819517701</v>
      </c>
      <c r="O8" s="67">
        <v>147.80879937764701</v>
      </c>
      <c r="P8" s="67">
        <v>471.96000397205398</v>
      </c>
      <c r="Q8" s="68">
        <v>0.110104966443894</v>
      </c>
    </row>
    <row r="9" spans="1:17" x14ac:dyDescent="0.35">
      <c r="A9" s="62" t="s">
        <v>136</v>
      </c>
      <c r="B9" s="63">
        <v>28644</v>
      </c>
      <c r="C9" s="63" t="s">
        <v>137</v>
      </c>
      <c r="D9" s="64">
        <v>42559</v>
      </c>
      <c r="E9" s="63" t="s">
        <v>138</v>
      </c>
      <c r="F9" s="65">
        <v>55098</v>
      </c>
      <c r="G9" s="66">
        <v>1.00145248834187E-2</v>
      </c>
      <c r="H9" s="65">
        <v>402</v>
      </c>
      <c r="I9" s="67">
        <v>1.38000002829476</v>
      </c>
      <c r="J9" s="67">
        <v>13.8200446224764</v>
      </c>
      <c r="K9" s="65">
        <v>57</v>
      </c>
      <c r="L9" s="65">
        <v>59</v>
      </c>
      <c r="M9" s="66">
        <v>0.101781170483461</v>
      </c>
      <c r="N9" s="67">
        <v>3998.79003830279</v>
      </c>
      <c r="O9" s="67">
        <v>99.969750957569801</v>
      </c>
      <c r="P9" s="67">
        <v>542.34001111984298</v>
      </c>
      <c r="Q9" s="68">
        <v>0.13562602835482401</v>
      </c>
    </row>
    <row r="10" spans="1:17" x14ac:dyDescent="0.35">
      <c r="A10" s="62" t="s">
        <v>136</v>
      </c>
      <c r="B10" s="63">
        <v>28644</v>
      </c>
      <c r="C10" s="63" t="s">
        <v>137</v>
      </c>
      <c r="D10" s="64">
        <v>42560</v>
      </c>
      <c r="E10" s="63" t="s">
        <v>138</v>
      </c>
      <c r="F10" s="65">
        <v>1899</v>
      </c>
      <c r="G10" s="66">
        <v>9.2178642208600291E-3</v>
      </c>
      <c r="H10" s="65">
        <v>158</v>
      </c>
      <c r="I10" s="67">
        <v>1.37999999135733</v>
      </c>
      <c r="J10" s="67">
        <v>12.720652545119799</v>
      </c>
      <c r="K10" s="65">
        <v>83</v>
      </c>
      <c r="L10" s="65">
        <v>51</v>
      </c>
      <c r="M10" s="66">
        <v>8.2500000000000004E-2</v>
      </c>
      <c r="N10" s="67">
        <v>2566.2113433371001</v>
      </c>
      <c r="O10" s="67">
        <v>77.763980101124204</v>
      </c>
      <c r="P10" s="67">
        <v>551.99999654293094</v>
      </c>
      <c r="Q10" s="68">
        <v>0.21510309272700401</v>
      </c>
    </row>
    <row r="11" spans="1:17" x14ac:dyDescent="0.35">
      <c r="A11" s="62" t="s">
        <v>136</v>
      </c>
      <c r="B11" s="63">
        <v>28644</v>
      </c>
      <c r="C11" s="63" t="s">
        <v>137</v>
      </c>
      <c r="D11" s="64">
        <v>42561</v>
      </c>
      <c r="E11" s="63" t="s">
        <v>138</v>
      </c>
      <c r="F11" s="65">
        <v>15449</v>
      </c>
      <c r="G11" s="66">
        <v>9.4737098463262004E-3</v>
      </c>
      <c r="H11" s="65">
        <v>316</v>
      </c>
      <c r="I11" s="67">
        <v>1.34956302127985</v>
      </c>
      <c r="J11" s="67">
        <v>12.7853684829367</v>
      </c>
      <c r="K11" s="65">
        <v>29</v>
      </c>
      <c r="L11" s="65">
        <v>27</v>
      </c>
      <c r="M11" s="66">
        <v>4.3701799485861198E-2</v>
      </c>
      <c r="N11" s="67">
        <v>1910.8393528414299</v>
      </c>
      <c r="O11" s="67">
        <v>112.40231487302501</v>
      </c>
      <c r="P11" s="67">
        <v>524.980015277863</v>
      </c>
      <c r="Q11" s="68">
        <v>0.27473791268596998</v>
      </c>
    </row>
    <row r="12" spans="1:17" x14ac:dyDescent="0.35">
      <c r="A12" s="62" t="s">
        <v>136</v>
      </c>
      <c r="B12" s="63">
        <v>28644</v>
      </c>
      <c r="C12" s="63" t="s">
        <v>137</v>
      </c>
      <c r="D12" s="64">
        <v>42562</v>
      </c>
      <c r="E12" s="63" t="s">
        <v>138</v>
      </c>
      <c r="F12" s="65">
        <v>2118</v>
      </c>
      <c r="G12" s="66">
        <v>9.4535183033782107E-3</v>
      </c>
      <c r="H12" s="65">
        <v>415</v>
      </c>
      <c r="I12" s="67">
        <v>1.34019279939583</v>
      </c>
      <c r="J12" s="67">
        <v>12.669537159144101</v>
      </c>
      <c r="K12" s="65">
        <v>92</v>
      </c>
      <c r="L12" s="65">
        <v>54</v>
      </c>
      <c r="M12" s="66">
        <v>7.4698795180722893E-2</v>
      </c>
      <c r="N12" s="67">
        <v>2882.1852370196302</v>
      </c>
      <c r="O12" s="67">
        <v>92.973717323213805</v>
      </c>
      <c r="P12" s="67">
        <v>556.18001174926803</v>
      </c>
      <c r="Q12" s="68">
        <v>0.192971639922906</v>
      </c>
    </row>
    <row r="13" spans="1:17" x14ac:dyDescent="0.35">
      <c r="A13" s="62" t="s">
        <v>136</v>
      </c>
      <c r="B13" s="63">
        <v>28644</v>
      </c>
      <c r="C13" s="63" t="s">
        <v>137</v>
      </c>
      <c r="D13" s="64">
        <v>42563</v>
      </c>
      <c r="E13" s="63" t="s">
        <v>138</v>
      </c>
      <c r="F13" s="65">
        <v>12114</v>
      </c>
      <c r="G13" s="66">
        <v>8.4337051418395901E-3</v>
      </c>
      <c r="H13" s="65">
        <v>552</v>
      </c>
      <c r="I13" s="67">
        <v>1.3469794747416901</v>
      </c>
      <c r="J13" s="67">
        <v>11.3600277220814</v>
      </c>
      <c r="K13" s="65">
        <v>15</v>
      </c>
      <c r="L13" s="65">
        <v>43</v>
      </c>
      <c r="M13" s="66">
        <v>6.7448680351906196E-2</v>
      </c>
      <c r="N13" s="67">
        <v>2284.0780976505098</v>
      </c>
      <c r="O13" s="67">
        <v>99.307743376109102</v>
      </c>
      <c r="P13" s="67">
        <v>459.320000886917</v>
      </c>
      <c r="Q13" s="68">
        <v>0.20109645171913801</v>
      </c>
    </row>
    <row r="14" spans="1:17" x14ac:dyDescent="0.35">
      <c r="A14" s="62" t="s">
        <v>136</v>
      </c>
      <c r="B14" s="63">
        <v>28644</v>
      </c>
      <c r="C14" s="63" t="s">
        <v>137</v>
      </c>
      <c r="D14" s="64">
        <v>42564</v>
      </c>
      <c r="E14" s="63" t="s">
        <v>138</v>
      </c>
      <c r="F14" s="65">
        <v>68729</v>
      </c>
      <c r="G14" s="66">
        <v>8.5739330521010203E-3</v>
      </c>
      <c r="H14" s="65">
        <v>247</v>
      </c>
      <c r="I14" s="67">
        <v>1.3109264891749399</v>
      </c>
      <c r="J14" s="67">
        <v>11.2397959544118</v>
      </c>
      <c r="K14" s="65">
        <v>49</v>
      </c>
      <c r="L14" s="65">
        <v>28</v>
      </c>
      <c r="M14" s="66">
        <v>4.7923322683706103E-2</v>
      </c>
      <c r="N14" s="67">
        <v>1883.3952818099001</v>
      </c>
      <c r="O14" s="67">
        <v>125.55968545399401</v>
      </c>
      <c r="P14" s="67">
        <v>410.31999111175497</v>
      </c>
      <c r="Q14" s="68">
        <v>0.21786185570001301</v>
      </c>
    </row>
    <row r="15" spans="1:17" x14ac:dyDescent="0.35">
      <c r="A15" s="62" t="s">
        <v>136</v>
      </c>
      <c r="B15" s="63">
        <v>28644</v>
      </c>
      <c r="C15" s="63" t="s">
        <v>137</v>
      </c>
      <c r="D15" s="64">
        <v>42565</v>
      </c>
      <c r="E15" s="63" t="s">
        <v>138</v>
      </c>
      <c r="F15" s="65">
        <v>16966</v>
      </c>
      <c r="G15" s="66">
        <v>1.01824479679895E-2</v>
      </c>
      <c r="H15" s="65">
        <v>525</v>
      </c>
      <c r="I15" s="67">
        <v>1.2808210730902301</v>
      </c>
      <c r="J15" s="67">
        <v>13.041893933045699</v>
      </c>
      <c r="K15" s="65">
        <v>72</v>
      </c>
      <c r="L15" s="65">
        <v>40</v>
      </c>
      <c r="M15" s="66">
        <v>9.0909090909090898E-2</v>
      </c>
      <c r="N15" s="67">
        <v>2243.74507165777</v>
      </c>
      <c r="O15" s="67">
        <v>72.378873279282999</v>
      </c>
      <c r="P15" s="67">
        <v>436.75998592376698</v>
      </c>
      <c r="Q15" s="68">
        <v>0.194656688694616</v>
      </c>
    </row>
    <row r="16" spans="1:17" x14ac:dyDescent="0.35">
      <c r="A16" s="62" t="s">
        <v>136</v>
      </c>
      <c r="B16" s="63">
        <v>28644</v>
      </c>
      <c r="C16" s="63" t="s">
        <v>137</v>
      </c>
      <c r="D16" s="64">
        <v>42566</v>
      </c>
      <c r="E16" s="63" t="s">
        <v>138</v>
      </c>
      <c r="F16" s="65">
        <v>61119</v>
      </c>
      <c r="G16" s="66">
        <v>1.1443551029667501E-2</v>
      </c>
      <c r="H16" s="65">
        <v>288</v>
      </c>
      <c r="I16" s="67">
        <v>1.28030828232282</v>
      </c>
      <c r="J16" s="67">
        <v>14.6512731624672</v>
      </c>
      <c r="K16" s="65">
        <v>41</v>
      </c>
      <c r="L16" s="65">
        <v>61</v>
      </c>
      <c r="M16" s="66">
        <v>6.8281938325991207E-2</v>
      </c>
      <c r="N16" s="67">
        <v>2420.4770514459901</v>
      </c>
      <c r="O16" s="67">
        <v>78.079904885354694</v>
      </c>
      <c r="P16" s="67">
        <v>581.259960174561</v>
      </c>
      <c r="Q16" s="68">
        <v>0.24014272716500901</v>
      </c>
    </row>
    <row r="17" spans="1:17" x14ac:dyDescent="0.35">
      <c r="A17" s="62" t="s">
        <v>136</v>
      </c>
      <c r="B17" s="63">
        <v>28644</v>
      </c>
      <c r="C17" s="63" t="s">
        <v>137</v>
      </c>
      <c r="D17" s="64">
        <v>42567</v>
      </c>
      <c r="E17" s="63" t="s">
        <v>138</v>
      </c>
      <c r="F17" s="65">
        <v>68619</v>
      </c>
      <c r="G17" s="66">
        <v>9.3939624749282795E-3</v>
      </c>
      <c r="H17" s="65">
        <v>286</v>
      </c>
      <c r="I17" s="67">
        <v>1.18659461060086</v>
      </c>
      <c r="J17" s="67">
        <v>11.146825244936601</v>
      </c>
      <c r="K17" s="65">
        <v>25</v>
      </c>
      <c r="L17" s="65">
        <v>45</v>
      </c>
      <c r="M17" s="66">
        <v>8.1081081081081099E-2</v>
      </c>
      <c r="N17" s="67">
        <v>2306.7853493846701</v>
      </c>
      <c r="O17" s="67">
        <v>76.892844979488999</v>
      </c>
      <c r="P17" s="67">
        <v>439.04000592231802</v>
      </c>
      <c r="Q17" s="68">
        <v>0.190325470048364</v>
      </c>
    </row>
    <row r="18" spans="1:17" x14ac:dyDescent="0.35">
      <c r="A18" s="62" t="s">
        <v>136</v>
      </c>
      <c r="B18" s="63">
        <v>28644</v>
      </c>
      <c r="C18" s="63" t="s">
        <v>137</v>
      </c>
      <c r="D18" s="64">
        <v>42568</v>
      </c>
      <c r="E18" s="63" t="s">
        <v>138</v>
      </c>
      <c r="F18" s="65">
        <v>50579</v>
      </c>
      <c r="G18" s="66">
        <v>9.8777789484775103E-3</v>
      </c>
      <c r="H18" s="65">
        <v>208</v>
      </c>
      <c r="I18" s="67">
        <v>1.1014399938583399</v>
      </c>
      <c r="J18" s="67">
        <v>10.879780784345099</v>
      </c>
      <c r="K18" s="65">
        <v>40</v>
      </c>
      <c r="L18" s="65">
        <v>39</v>
      </c>
      <c r="M18" s="66">
        <v>6.4000000000000001E-2</v>
      </c>
      <c r="N18" s="67">
        <v>1923.3727222264199</v>
      </c>
      <c r="O18" s="67">
        <v>80.140530092767705</v>
      </c>
      <c r="P18" s="67">
        <v>413.03999769687698</v>
      </c>
      <c r="Q18" s="68">
        <v>0.21474776725478201</v>
      </c>
    </row>
    <row r="19" spans="1:17" x14ac:dyDescent="0.35">
      <c r="A19" s="62" t="s">
        <v>136</v>
      </c>
      <c r="B19" s="63">
        <v>28644</v>
      </c>
      <c r="C19" s="63" t="s">
        <v>137</v>
      </c>
      <c r="D19" s="64">
        <v>42569</v>
      </c>
      <c r="E19" s="63" t="s">
        <v>138</v>
      </c>
      <c r="F19" s="65">
        <v>55356</v>
      </c>
      <c r="G19" s="66">
        <v>1.17876067913918E-2</v>
      </c>
      <c r="H19" s="65">
        <v>207</v>
      </c>
      <c r="I19" s="67">
        <v>1.10000004434804</v>
      </c>
      <c r="J19" s="67">
        <v>12.9663679932883</v>
      </c>
      <c r="K19" s="65">
        <v>41</v>
      </c>
      <c r="L19" s="65">
        <v>42</v>
      </c>
      <c r="M19" s="66">
        <v>6.4220183486238494E-2</v>
      </c>
      <c r="N19" s="67">
        <v>2405.4369422371201</v>
      </c>
      <c r="O19" s="67">
        <v>85.908462222754196</v>
      </c>
      <c r="P19" s="67">
        <v>479.60001933574699</v>
      </c>
      <c r="Q19" s="68">
        <v>0.199381663644737</v>
      </c>
    </row>
    <row r="20" spans="1:17" x14ac:dyDescent="0.35">
      <c r="A20" s="62" t="s">
        <v>136</v>
      </c>
      <c r="B20" s="63">
        <v>28644</v>
      </c>
      <c r="C20" s="63" t="s">
        <v>137</v>
      </c>
      <c r="D20" s="64">
        <v>42570</v>
      </c>
      <c r="E20" s="63" t="s">
        <v>138</v>
      </c>
      <c r="F20" s="65">
        <v>56100</v>
      </c>
      <c r="G20" s="66">
        <v>9.0994665829934093E-3</v>
      </c>
      <c r="H20" s="65">
        <v>150</v>
      </c>
      <c r="I20" s="67">
        <v>1.1000000200737501</v>
      </c>
      <c r="J20" s="67">
        <v>10.0094134239532</v>
      </c>
      <c r="K20" s="65">
        <v>66</v>
      </c>
      <c r="L20" s="65">
        <v>33</v>
      </c>
      <c r="M20" s="66">
        <v>6.0344827586206899E-2</v>
      </c>
      <c r="N20" s="67">
        <v>1557.2650839190401</v>
      </c>
      <c r="O20" s="67">
        <v>74.155480186621006</v>
      </c>
      <c r="P20" s="67">
        <v>382.80000698566403</v>
      </c>
      <c r="Q20" s="68">
        <v>0.24581557176014199</v>
      </c>
    </row>
    <row r="21" spans="1:17" x14ac:dyDescent="0.35">
      <c r="A21" s="62" t="s">
        <v>136</v>
      </c>
      <c r="B21" s="63">
        <v>28644</v>
      </c>
      <c r="C21" s="63" t="s">
        <v>137</v>
      </c>
      <c r="D21" s="64">
        <v>42571</v>
      </c>
      <c r="E21" s="63" t="s">
        <v>138</v>
      </c>
      <c r="F21" s="65">
        <v>1536</v>
      </c>
      <c r="G21" s="66">
        <v>1.02377960817162E-2</v>
      </c>
      <c r="H21" s="65">
        <v>478</v>
      </c>
      <c r="I21" s="67">
        <v>1.10000004443255</v>
      </c>
      <c r="J21" s="67">
        <v>11.261576144779299</v>
      </c>
      <c r="K21" s="65">
        <v>98</v>
      </c>
      <c r="L21" s="65">
        <v>45</v>
      </c>
      <c r="M21" s="66">
        <v>6.8181818181818205E-2</v>
      </c>
      <c r="N21" s="67">
        <v>2242.4151572023802</v>
      </c>
      <c r="O21" s="67">
        <v>74.747171906745905</v>
      </c>
      <c r="P21" s="67">
        <v>484.00001955032297</v>
      </c>
      <c r="Q21" s="68">
        <v>0.21583872103065799</v>
      </c>
    </row>
    <row r="22" spans="1:17" x14ac:dyDescent="0.35">
      <c r="A22" s="62" t="s">
        <v>136</v>
      </c>
      <c r="B22" s="63">
        <v>28644</v>
      </c>
      <c r="C22" s="63" t="s">
        <v>137</v>
      </c>
      <c r="D22" s="64">
        <v>42572</v>
      </c>
      <c r="E22" s="63" t="s">
        <v>138</v>
      </c>
      <c r="F22" s="65">
        <v>37408</v>
      </c>
      <c r="G22" s="66">
        <v>1.0842012799598399E-2</v>
      </c>
      <c r="H22" s="65">
        <v>325</v>
      </c>
      <c r="I22" s="67">
        <v>1.10000001639128</v>
      </c>
      <c r="J22" s="67">
        <v>11.926214257272701</v>
      </c>
      <c r="K22" s="65">
        <v>42</v>
      </c>
      <c r="L22" s="65">
        <v>43</v>
      </c>
      <c r="M22" s="66">
        <v>5.0925925925925902E-2</v>
      </c>
      <c r="N22" s="67">
        <v>1445.4576672179701</v>
      </c>
      <c r="O22" s="67">
        <v>65.702621237180395</v>
      </c>
      <c r="P22" s="67">
        <v>475.20000708103203</v>
      </c>
      <c r="Q22" s="68">
        <v>0.32875401186645298</v>
      </c>
    </row>
    <row r="23" spans="1:17" x14ac:dyDescent="0.35">
      <c r="A23" s="62" t="s">
        <v>136</v>
      </c>
      <c r="B23" s="63">
        <v>28644</v>
      </c>
      <c r="C23" s="63" t="s">
        <v>137</v>
      </c>
      <c r="D23" s="64">
        <v>42573</v>
      </c>
      <c r="E23" s="63" t="s">
        <v>138</v>
      </c>
      <c r="F23" s="65">
        <v>24357</v>
      </c>
      <c r="G23" s="66">
        <v>1.17374159127813E-2</v>
      </c>
      <c r="H23" s="65">
        <v>327</v>
      </c>
      <c r="I23" s="67">
        <v>1.1000000290248699</v>
      </c>
      <c r="J23" s="67">
        <v>12.911157844736399</v>
      </c>
      <c r="K23" s="65">
        <v>50</v>
      </c>
      <c r="L23" s="65">
        <v>54</v>
      </c>
      <c r="M23" s="66">
        <v>5.1383399209486202E-2</v>
      </c>
      <c r="N23" s="67">
        <v>2648.8460910403701</v>
      </c>
      <c r="O23" s="67">
        <v>101.878695809245</v>
      </c>
      <c r="P23" s="67">
        <v>556.60001468658402</v>
      </c>
      <c r="Q23" s="68">
        <v>0.21012923950895601</v>
      </c>
    </row>
    <row r="24" spans="1:17" x14ac:dyDescent="0.35">
      <c r="A24" s="62" t="s">
        <v>136</v>
      </c>
      <c r="B24" s="63">
        <v>28644</v>
      </c>
      <c r="C24" s="63" t="s">
        <v>137</v>
      </c>
      <c r="D24" s="64">
        <v>42574</v>
      </c>
      <c r="E24" s="63" t="s">
        <v>138</v>
      </c>
      <c r="F24" s="65">
        <v>36907</v>
      </c>
      <c r="G24" s="66">
        <v>9.7134317862166003E-3</v>
      </c>
      <c r="H24" s="65">
        <v>224</v>
      </c>
      <c r="I24" s="67">
        <v>1.1000000562063701</v>
      </c>
      <c r="J24" s="67">
        <v>10.684775510794999</v>
      </c>
      <c r="K24" s="65">
        <v>38</v>
      </c>
      <c r="L24" s="65">
        <v>46</v>
      </c>
      <c r="M24" s="66">
        <v>5.2036199095022599E-2</v>
      </c>
      <c r="N24" s="67">
        <v>1657.8355957843701</v>
      </c>
      <c r="O24" s="67">
        <v>72.079808512363996</v>
      </c>
      <c r="P24" s="67">
        <v>486.200024843216</v>
      </c>
      <c r="Q24" s="68">
        <v>0.29327396882993101</v>
      </c>
    </row>
    <row r="25" spans="1:17" x14ac:dyDescent="0.35">
      <c r="A25" s="62" t="s">
        <v>136</v>
      </c>
      <c r="B25" s="63">
        <v>28644</v>
      </c>
      <c r="C25" s="63" t="s">
        <v>137</v>
      </c>
      <c r="D25" s="64">
        <v>42575</v>
      </c>
      <c r="E25" s="63" t="s">
        <v>138</v>
      </c>
      <c r="F25" s="65">
        <v>65643</v>
      </c>
      <c r="G25" s="66">
        <v>8.5546547386077705E-3</v>
      </c>
      <c r="H25" s="65">
        <v>407</v>
      </c>
      <c r="I25" s="67">
        <v>0.96013071646098203</v>
      </c>
      <c r="J25" s="67">
        <v>8.2135867832558205</v>
      </c>
      <c r="K25" s="65">
        <v>32</v>
      </c>
      <c r="L25" s="65">
        <v>31</v>
      </c>
      <c r="M25" s="66">
        <v>4.2483660130718998E-2</v>
      </c>
      <c r="N25" s="67">
        <v>1422.6812982076999</v>
      </c>
      <c r="O25" s="67">
        <v>109.437022939054</v>
      </c>
      <c r="P25" s="67">
        <v>293.799999237061</v>
      </c>
      <c r="Q25" s="68">
        <v>0.20651146508159701</v>
      </c>
    </row>
    <row r="26" spans="1:17" x14ac:dyDescent="0.35">
      <c r="A26" s="62" t="s">
        <v>136</v>
      </c>
      <c r="B26" s="63">
        <v>28644</v>
      </c>
      <c r="C26" s="63" t="s">
        <v>137</v>
      </c>
      <c r="D26" s="64">
        <v>42576</v>
      </c>
      <c r="E26" s="63" t="s">
        <v>138</v>
      </c>
      <c r="F26" s="65">
        <v>53114</v>
      </c>
      <c r="G26" s="66">
        <v>1.19472357696966E-2</v>
      </c>
      <c r="H26" s="65">
        <v>224</v>
      </c>
      <c r="I26" s="67">
        <v>0.90164381510590896</v>
      </c>
      <c r="J26" s="67">
        <v>10.772151239358999</v>
      </c>
      <c r="K26" s="65">
        <v>62</v>
      </c>
      <c r="L26" s="65">
        <v>38</v>
      </c>
      <c r="M26" s="66">
        <v>4.65753424657534E-2</v>
      </c>
      <c r="N26" s="67">
        <v>1765.5371910699901</v>
      </c>
      <c r="O26" s="67">
        <v>103.85512888647</v>
      </c>
      <c r="P26" s="67">
        <v>329.09999251365701</v>
      </c>
      <c r="Q26" s="68">
        <v>0.18640218635904601</v>
      </c>
    </row>
    <row r="27" spans="1:17" x14ac:dyDescent="0.35">
      <c r="A27" s="62" t="s">
        <v>136</v>
      </c>
      <c r="B27" s="63">
        <v>28644</v>
      </c>
      <c r="C27" s="63" t="s">
        <v>137</v>
      </c>
      <c r="D27" s="64">
        <v>42577</v>
      </c>
      <c r="E27" s="63" t="s">
        <v>138</v>
      </c>
      <c r="F27" s="65">
        <v>1988</v>
      </c>
      <c r="G27" s="66">
        <v>1.00692766231674E-2</v>
      </c>
      <c r="H27" s="65">
        <v>312</v>
      </c>
      <c r="I27" s="67">
        <v>0.89999998092651401</v>
      </c>
      <c r="J27" s="67">
        <v>9.0623487687944397</v>
      </c>
      <c r="K27" s="65">
        <v>93</v>
      </c>
      <c r="L27" s="65">
        <v>38</v>
      </c>
      <c r="M27" s="66">
        <v>6.9333333333333302E-2</v>
      </c>
      <c r="N27" s="67">
        <v>2427.8676193518199</v>
      </c>
      <c r="O27" s="67">
        <v>93.379523821223998</v>
      </c>
      <c r="P27" s="67">
        <v>337.49999284744302</v>
      </c>
      <c r="Q27" s="68">
        <v>0.13901087116831601</v>
      </c>
    </row>
    <row r="28" spans="1:17" x14ac:dyDescent="0.35">
      <c r="A28" s="62" t="s">
        <v>136</v>
      </c>
      <c r="B28" s="63">
        <v>28644</v>
      </c>
      <c r="C28" s="63" t="s">
        <v>137</v>
      </c>
      <c r="D28" s="64">
        <v>42578</v>
      </c>
      <c r="E28" s="63" t="s">
        <v>138</v>
      </c>
      <c r="F28" s="65">
        <v>54873</v>
      </c>
      <c r="G28" s="66">
        <v>7.19332048811818E-3</v>
      </c>
      <c r="H28" s="65">
        <v>580</v>
      </c>
      <c r="I28" s="67">
        <v>0.89999996594020304</v>
      </c>
      <c r="J28" s="67">
        <v>6.4739881943033204</v>
      </c>
      <c r="K28" s="65">
        <v>71</v>
      </c>
      <c r="L28" s="65">
        <v>21</v>
      </c>
      <c r="M28" s="66">
        <v>0.05</v>
      </c>
      <c r="N28" s="67">
        <v>919.958519043264</v>
      </c>
      <c r="O28" s="67">
        <v>65.711322788804594</v>
      </c>
      <c r="P28" s="67">
        <v>251.99999046325701</v>
      </c>
      <c r="Q28" s="68">
        <v>0.27392538385897103</v>
      </c>
    </row>
    <row r="29" spans="1:17" x14ac:dyDescent="0.35">
      <c r="A29" s="62" t="s">
        <v>136</v>
      </c>
      <c r="B29" s="63">
        <v>28644</v>
      </c>
      <c r="C29" s="63" t="s">
        <v>137</v>
      </c>
      <c r="D29" s="64">
        <v>42579</v>
      </c>
      <c r="E29" s="63" t="s">
        <v>138</v>
      </c>
      <c r="F29" s="65">
        <v>60310</v>
      </c>
      <c r="G29" s="66">
        <v>9.0135800626772108E-3</v>
      </c>
      <c r="H29" s="65">
        <v>307</v>
      </c>
      <c r="I29" s="67">
        <v>0.89999995444784098</v>
      </c>
      <c r="J29" s="67">
        <v>8.1122216458214602</v>
      </c>
      <c r="K29" s="65">
        <v>74</v>
      </c>
      <c r="L29" s="65">
        <v>22</v>
      </c>
      <c r="M29" s="66">
        <v>3.3112582781456998E-2</v>
      </c>
      <c r="N29" s="67">
        <v>773.35985150577505</v>
      </c>
      <c r="O29" s="67">
        <v>77.3359851505775</v>
      </c>
      <c r="P29" s="67">
        <v>271.79998624324799</v>
      </c>
      <c r="Q29" s="68">
        <v>0.351453447853594</v>
      </c>
    </row>
    <row r="30" spans="1:17" x14ac:dyDescent="0.35">
      <c r="A30" s="62" t="s">
        <v>136</v>
      </c>
      <c r="B30" s="63">
        <v>28644</v>
      </c>
      <c r="C30" s="63" t="s">
        <v>137</v>
      </c>
      <c r="D30" s="64">
        <v>42580</v>
      </c>
      <c r="E30" s="63" t="s">
        <v>138</v>
      </c>
      <c r="F30" s="65">
        <v>15076</v>
      </c>
      <c r="G30" s="66">
        <v>9.3105336822247899E-3</v>
      </c>
      <c r="H30" s="65">
        <v>596</v>
      </c>
      <c r="I30" s="67">
        <v>0.89999996914583102</v>
      </c>
      <c r="J30" s="67">
        <v>8.3794800267335301</v>
      </c>
      <c r="K30" s="65">
        <v>59</v>
      </c>
      <c r="L30" s="65">
        <v>45</v>
      </c>
      <c r="M30" s="66">
        <v>7.1895424836601302E-2</v>
      </c>
      <c r="N30" s="67">
        <v>1541.14439551549</v>
      </c>
      <c r="O30" s="67">
        <v>70.052017977977002</v>
      </c>
      <c r="P30" s="67">
        <v>275.39999055862398</v>
      </c>
      <c r="Q30" s="68">
        <v>0.178698369445458</v>
      </c>
    </row>
    <row r="31" spans="1:17" x14ac:dyDescent="0.35">
      <c r="A31" s="62" t="s">
        <v>136</v>
      </c>
      <c r="B31" s="63">
        <v>28644</v>
      </c>
      <c r="C31" s="63" t="s">
        <v>137</v>
      </c>
      <c r="D31" s="64">
        <v>42581</v>
      </c>
      <c r="E31" s="63" t="s">
        <v>138</v>
      </c>
      <c r="F31" s="65">
        <v>23191</v>
      </c>
      <c r="G31" s="66">
        <v>8.9690551050802605E-3</v>
      </c>
      <c r="H31" s="65">
        <v>168</v>
      </c>
      <c r="I31" s="67">
        <v>0.87896676169110399</v>
      </c>
      <c r="J31" s="67">
        <v>7.88350132114146</v>
      </c>
      <c r="K31" s="65">
        <v>32</v>
      </c>
      <c r="L31" s="65">
        <v>28</v>
      </c>
      <c r="M31" s="66">
        <v>6.2730627306273101E-2</v>
      </c>
      <c r="N31" s="67">
        <v>1938.93154321354</v>
      </c>
      <c r="O31" s="67">
        <v>114.05479665962</v>
      </c>
      <c r="P31" s="67">
        <v>238.19999241828901</v>
      </c>
      <c r="Q31" s="68">
        <v>0.12285116163694</v>
      </c>
    </row>
    <row r="32" spans="1:17" x14ac:dyDescent="0.35">
      <c r="A32" s="62" t="s">
        <v>136</v>
      </c>
      <c r="B32" s="63">
        <v>28644</v>
      </c>
      <c r="C32" s="63" t="s">
        <v>137</v>
      </c>
      <c r="D32" s="64">
        <v>42582</v>
      </c>
      <c r="E32" s="63" t="s">
        <v>138</v>
      </c>
      <c r="F32" s="65">
        <v>41163</v>
      </c>
      <c r="G32" s="66">
        <v>7.7831870755682301E-3</v>
      </c>
      <c r="H32" s="65">
        <v>387</v>
      </c>
      <c r="I32" s="67">
        <v>0.870717130809191</v>
      </c>
      <c r="J32" s="67">
        <v>6.7769543189899499</v>
      </c>
      <c r="K32" s="65">
        <v>74</v>
      </c>
      <c r="L32" s="65">
        <v>22</v>
      </c>
      <c r="M32" s="66">
        <v>4.7808764940239001E-2</v>
      </c>
      <c r="N32" s="67">
        <v>862.34767431416901</v>
      </c>
      <c r="O32" s="67">
        <v>71.862306192847399</v>
      </c>
      <c r="P32" s="67">
        <v>218.54999983310699</v>
      </c>
      <c r="Q32" s="68">
        <v>0.253436063368433</v>
      </c>
    </row>
    <row r="33" spans="1:17" x14ac:dyDescent="0.35">
      <c r="A33" s="62" t="s">
        <v>136</v>
      </c>
      <c r="B33" s="63">
        <v>28644</v>
      </c>
      <c r="C33" s="63" t="s">
        <v>137</v>
      </c>
      <c r="D33" s="64">
        <v>42583</v>
      </c>
      <c r="E33" s="63" t="s">
        <v>138</v>
      </c>
      <c r="F33" s="65">
        <v>63298</v>
      </c>
      <c r="G33" s="66">
        <v>8.9197574390071904E-3</v>
      </c>
      <c r="H33" s="65">
        <v>525</v>
      </c>
      <c r="I33" s="67">
        <v>0.86999997508384497</v>
      </c>
      <c r="J33" s="67">
        <v>7.7601887496902</v>
      </c>
      <c r="K33" s="65">
        <v>55</v>
      </c>
      <c r="L33" s="65">
        <v>28</v>
      </c>
      <c r="M33" s="66">
        <v>6.3241106719367599E-2</v>
      </c>
      <c r="N33" s="67">
        <v>1438.35139780296</v>
      </c>
      <c r="O33" s="67">
        <v>89.896962362685102</v>
      </c>
      <c r="P33" s="67">
        <v>220.109993696213</v>
      </c>
      <c r="Q33" s="68">
        <v>0.153029359885508</v>
      </c>
    </row>
    <row r="34" spans="1:17" x14ac:dyDescent="0.35">
      <c r="A34" s="62" t="s">
        <v>136</v>
      </c>
      <c r="B34" s="63">
        <v>28644</v>
      </c>
      <c r="C34" s="63" t="s">
        <v>137</v>
      </c>
      <c r="D34" s="64">
        <v>42584</v>
      </c>
      <c r="E34" s="63" t="s">
        <v>138</v>
      </c>
      <c r="F34" s="65">
        <v>50291</v>
      </c>
      <c r="G34" s="66">
        <v>8.2205029013539595E-3</v>
      </c>
      <c r="H34" s="65">
        <v>204</v>
      </c>
      <c r="I34" s="67">
        <v>0.86999998466641304</v>
      </c>
      <c r="J34" s="67">
        <v>7.1518373981281496</v>
      </c>
      <c r="K34" s="65">
        <v>37</v>
      </c>
      <c r="L34" s="65">
        <v>21</v>
      </c>
      <c r="M34" s="66">
        <v>5.4901960784313697E-2</v>
      </c>
      <c r="N34" s="67">
        <v>1561.9503783653399</v>
      </c>
      <c r="O34" s="67">
        <v>111.567884168953</v>
      </c>
      <c r="P34" s="67">
        <v>221.84999608993499</v>
      </c>
      <c r="Q34" s="68">
        <v>0.14203395905708099</v>
      </c>
    </row>
    <row r="35" spans="1:17" x14ac:dyDescent="0.35">
      <c r="A35" s="62" t="s">
        <v>136</v>
      </c>
      <c r="B35" s="63">
        <v>28644</v>
      </c>
      <c r="C35" s="63" t="s">
        <v>137</v>
      </c>
      <c r="D35" s="64">
        <v>42585</v>
      </c>
      <c r="E35" s="63" t="s">
        <v>138</v>
      </c>
      <c r="F35" s="65">
        <v>41581</v>
      </c>
      <c r="G35" s="66">
        <v>8.1650482174658104E-3</v>
      </c>
      <c r="H35" s="65">
        <v>384</v>
      </c>
      <c r="I35" s="67">
        <v>0.86999997827741804</v>
      </c>
      <c r="J35" s="67">
        <v>7.10359177182933</v>
      </c>
      <c r="K35" s="65">
        <v>84</v>
      </c>
      <c r="L35" s="65">
        <v>21</v>
      </c>
      <c r="M35" s="66">
        <v>3.7037037037037E-2</v>
      </c>
      <c r="N35" s="67">
        <v>1263.93936033556</v>
      </c>
      <c r="O35" s="67">
        <v>140.43770670395199</v>
      </c>
      <c r="P35" s="67">
        <v>211.409994721413</v>
      </c>
      <c r="Q35" s="68">
        <v>0.16726276699325601</v>
      </c>
    </row>
    <row r="36" spans="1:17" x14ac:dyDescent="0.35">
      <c r="A36" s="62" t="s">
        <v>136</v>
      </c>
      <c r="B36" s="63">
        <v>28644</v>
      </c>
      <c r="C36" s="63" t="s">
        <v>137</v>
      </c>
      <c r="D36" s="64">
        <v>42586</v>
      </c>
      <c r="E36" s="63" t="s">
        <v>138</v>
      </c>
      <c r="F36" s="65">
        <v>6914</v>
      </c>
      <c r="G36" s="66">
        <v>8.8798311376373801E-3</v>
      </c>
      <c r="H36" s="65">
        <v>241</v>
      </c>
      <c r="I36" s="67">
        <v>0.86999997545461205</v>
      </c>
      <c r="J36" s="67">
        <v>7.7254528717856203</v>
      </c>
      <c r="K36" s="65">
        <v>23</v>
      </c>
      <c r="L36" s="65">
        <v>35</v>
      </c>
      <c r="M36" s="66">
        <v>8.1967213114754106E-2</v>
      </c>
      <c r="N36" s="67">
        <v>2010.1310886541601</v>
      </c>
      <c r="O36" s="67">
        <v>100.506554432708</v>
      </c>
      <c r="P36" s="67">
        <v>212.27999401092501</v>
      </c>
      <c r="Q36" s="68">
        <v>0.105605049943809</v>
      </c>
    </row>
    <row r="37" spans="1:17" x14ac:dyDescent="0.35">
      <c r="A37" s="62" t="s">
        <v>136</v>
      </c>
      <c r="B37" s="63">
        <v>28644</v>
      </c>
      <c r="C37" s="63" t="s">
        <v>137</v>
      </c>
      <c r="D37" s="64">
        <v>42587</v>
      </c>
      <c r="E37" s="63" t="s">
        <v>138</v>
      </c>
      <c r="F37" s="65">
        <v>36116</v>
      </c>
      <c r="G37" s="66">
        <v>7.8543594739405708E-3</v>
      </c>
      <c r="H37" s="65">
        <v>186</v>
      </c>
      <c r="I37" s="67">
        <v>0.86999999968580499</v>
      </c>
      <c r="J37" s="67">
        <v>6.8332927398605001</v>
      </c>
      <c r="K37" s="65">
        <v>63</v>
      </c>
      <c r="L37" s="65">
        <v>26</v>
      </c>
      <c r="M37" s="66">
        <v>6.2015503875968998E-2</v>
      </c>
      <c r="N37" s="67">
        <v>1935.4630108639401</v>
      </c>
      <c r="O37" s="67">
        <v>120.966438178996</v>
      </c>
      <c r="P37" s="67">
        <v>224.459999918938</v>
      </c>
      <c r="Q37" s="68">
        <v>0.115972249874589</v>
      </c>
    </row>
    <row r="38" spans="1:17" x14ac:dyDescent="0.35">
      <c r="A38" s="62" t="s">
        <v>136</v>
      </c>
      <c r="B38" s="63">
        <v>28644</v>
      </c>
      <c r="C38" s="63" t="s">
        <v>137</v>
      </c>
      <c r="D38" s="64">
        <v>42588</v>
      </c>
      <c r="E38" s="63" t="s">
        <v>138</v>
      </c>
      <c r="F38" s="65">
        <v>3663</v>
      </c>
      <c r="G38" s="66">
        <v>8.4971302145124602E-3</v>
      </c>
      <c r="H38" s="65">
        <v>434</v>
      </c>
      <c r="I38" s="67">
        <v>0.86999997642805005</v>
      </c>
      <c r="J38" s="67">
        <v>7.3925030863319101</v>
      </c>
      <c r="K38" s="65">
        <v>69</v>
      </c>
      <c r="L38" s="65">
        <v>28</v>
      </c>
      <c r="M38" s="66">
        <v>5.6603773584905703E-2</v>
      </c>
      <c r="N38" s="67">
        <v>1533.7557989187301</v>
      </c>
      <c r="O38" s="67">
        <v>102.250386594582</v>
      </c>
      <c r="P38" s="67">
        <v>230.549993753433</v>
      </c>
      <c r="Q38" s="68">
        <v>0.15031727600702</v>
      </c>
    </row>
    <row r="39" spans="1:17" x14ac:dyDescent="0.35">
      <c r="A39" s="62" t="s">
        <v>136</v>
      </c>
      <c r="B39" s="63">
        <v>28644</v>
      </c>
      <c r="C39" s="63" t="s">
        <v>137</v>
      </c>
      <c r="D39" s="64">
        <v>42589</v>
      </c>
      <c r="E39" s="63" t="s">
        <v>138</v>
      </c>
      <c r="F39" s="65">
        <v>38710</v>
      </c>
      <c r="G39" s="66">
        <v>1.0469174098487801E-2</v>
      </c>
      <c r="H39" s="65">
        <v>318</v>
      </c>
      <c r="I39" s="67">
        <v>0.86999998975683102</v>
      </c>
      <c r="J39" s="67">
        <v>9.1081813584468598</v>
      </c>
      <c r="K39" s="65">
        <v>88</v>
      </c>
      <c r="L39" s="65">
        <v>32</v>
      </c>
      <c r="M39" s="66">
        <v>7.7777777777777807E-2</v>
      </c>
      <c r="N39" s="67">
        <v>2144.2059817694899</v>
      </c>
      <c r="O39" s="67">
        <v>102.105046750928</v>
      </c>
      <c r="P39" s="67">
        <v>234.899997234344</v>
      </c>
      <c r="Q39" s="68">
        <v>0.109551040912821</v>
      </c>
    </row>
    <row r="40" spans="1:17" x14ac:dyDescent="0.35">
      <c r="A40" s="62" t="s">
        <v>136</v>
      </c>
      <c r="B40" s="63">
        <v>28644</v>
      </c>
      <c r="C40" s="63" t="s">
        <v>137</v>
      </c>
      <c r="D40" s="64">
        <v>42590</v>
      </c>
      <c r="E40" s="63" t="s">
        <v>138</v>
      </c>
      <c r="F40" s="65">
        <v>5369</v>
      </c>
      <c r="G40" s="66">
        <v>9.6186527088573202E-3</v>
      </c>
      <c r="H40" s="65">
        <v>286</v>
      </c>
      <c r="I40" s="67">
        <v>0.87000000561084001</v>
      </c>
      <c r="J40" s="67">
        <v>8.3682279106745892</v>
      </c>
      <c r="K40" s="65">
        <v>55</v>
      </c>
      <c r="L40" s="65">
        <v>17</v>
      </c>
      <c r="M40" s="66">
        <v>3.5335689045936397E-2</v>
      </c>
      <c r="N40" s="67">
        <v>1048.7153378411101</v>
      </c>
      <c r="O40" s="67">
        <v>104.87153378411099</v>
      </c>
      <c r="P40" s="67">
        <v>246.21000158786799</v>
      </c>
      <c r="Q40" s="68">
        <v>0.234772957640455</v>
      </c>
    </row>
    <row r="41" spans="1:17" x14ac:dyDescent="0.35">
      <c r="A41" s="62" t="s">
        <v>136</v>
      </c>
      <c r="B41" s="63">
        <v>28644</v>
      </c>
      <c r="C41" s="63" t="s">
        <v>137</v>
      </c>
      <c r="D41" s="64">
        <v>42591</v>
      </c>
      <c r="E41" s="63" t="s">
        <v>138</v>
      </c>
      <c r="F41" s="65">
        <v>9553</v>
      </c>
      <c r="G41" s="66">
        <v>7.7966864082764801E-3</v>
      </c>
      <c r="H41" s="65">
        <v>405</v>
      </c>
      <c r="I41" s="67">
        <v>0.86999997668541396</v>
      </c>
      <c r="J41" s="67">
        <v>6.7831169934240201</v>
      </c>
      <c r="K41" s="65">
        <v>24</v>
      </c>
      <c r="L41" s="65">
        <v>30</v>
      </c>
      <c r="M41" s="66">
        <v>7.69230769230769E-2</v>
      </c>
      <c r="N41" s="67">
        <v>1312.29520029067</v>
      </c>
      <c r="O41" s="67">
        <v>82.018450018166902</v>
      </c>
      <c r="P41" s="67">
        <v>180.95999515056599</v>
      </c>
      <c r="Q41" s="68">
        <v>0.137895798986755</v>
      </c>
    </row>
    <row r="42" spans="1:17" x14ac:dyDescent="0.35">
      <c r="A42" s="62" t="s">
        <v>136</v>
      </c>
      <c r="B42" s="63">
        <v>28644</v>
      </c>
      <c r="C42" s="63" t="s">
        <v>137</v>
      </c>
      <c r="D42" s="64">
        <v>42592</v>
      </c>
      <c r="E42" s="63" t="s">
        <v>138</v>
      </c>
      <c r="F42" s="65">
        <v>6097</v>
      </c>
      <c r="G42" s="66">
        <v>9.0954446022182105E-3</v>
      </c>
      <c r="H42" s="65">
        <v>356</v>
      </c>
      <c r="I42" s="67">
        <v>0.86999999571450104</v>
      </c>
      <c r="J42" s="67">
        <v>7.9130367649513298</v>
      </c>
      <c r="K42" s="65">
        <v>74</v>
      </c>
      <c r="L42" s="65">
        <v>18</v>
      </c>
      <c r="M42" s="66">
        <v>3.7974683544303799E-2</v>
      </c>
      <c r="N42" s="67">
        <v>836.86840454038395</v>
      </c>
      <c r="O42" s="67">
        <v>92.985378282264904</v>
      </c>
      <c r="P42" s="67">
        <v>206.189998984337</v>
      </c>
      <c r="Q42" s="68">
        <v>0.246382821798104</v>
      </c>
    </row>
    <row r="43" spans="1:17" x14ac:dyDescent="0.35">
      <c r="A43" s="62" t="s">
        <v>136</v>
      </c>
      <c r="B43" s="63">
        <v>28644</v>
      </c>
      <c r="C43" s="63" t="s">
        <v>137</v>
      </c>
      <c r="D43" s="64">
        <v>42593</v>
      </c>
      <c r="E43" s="63" t="s">
        <v>138</v>
      </c>
      <c r="F43" s="65">
        <v>31017</v>
      </c>
      <c r="G43" s="66">
        <v>9.9958350687213704E-3</v>
      </c>
      <c r="H43" s="65">
        <v>575</v>
      </c>
      <c r="I43" s="67">
        <v>0.86999997558693098</v>
      </c>
      <c r="J43" s="67">
        <v>8.6963762657585804</v>
      </c>
      <c r="K43" s="65">
        <v>50</v>
      </c>
      <c r="L43" s="65">
        <v>33</v>
      </c>
      <c r="M43" s="66">
        <v>0.109375</v>
      </c>
      <c r="N43" s="67">
        <v>2305.1819700190799</v>
      </c>
      <c r="O43" s="67">
        <v>109.77057000090799</v>
      </c>
      <c r="P43" s="67">
        <v>167.03999531269099</v>
      </c>
      <c r="Q43" s="68">
        <v>7.2462823970165097E-2</v>
      </c>
    </row>
    <row r="44" spans="1:17" x14ac:dyDescent="0.35">
      <c r="A44" s="62" t="s">
        <v>136</v>
      </c>
      <c r="B44" s="63">
        <v>28644</v>
      </c>
      <c r="C44" s="63" t="s">
        <v>137</v>
      </c>
      <c r="D44" s="64">
        <v>42594</v>
      </c>
      <c r="E44" s="63" t="s">
        <v>138</v>
      </c>
      <c r="F44" s="65">
        <v>52738</v>
      </c>
      <c r="G44" s="66">
        <v>1.17619047619048E-2</v>
      </c>
      <c r="H44" s="65">
        <v>559</v>
      </c>
      <c r="I44" s="67">
        <v>0.87000003324346498</v>
      </c>
      <c r="J44" s="67">
        <v>10.2328575338636</v>
      </c>
      <c r="K44" s="65">
        <v>71</v>
      </c>
      <c r="L44" s="65">
        <v>39</v>
      </c>
      <c r="M44" s="66">
        <v>8.9068825910931196E-2</v>
      </c>
      <c r="N44" s="67">
        <v>2681.9711110574999</v>
      </c>
      <c r="O44" s="67">
        <v>121.907777775341</v>
      </c>
      <c r="P44" s="67">
        <v>214.89000821113601</v>
      </c>
      <c r="Q44" s="68">
        <v>8.0123908615258893E-2</v>
      </c>
    </row>
    <row r="45" spans="1:17" x14ac:dyDescent="0.35">
      <c r="A45" s="62" t="s">
        <v>136</v>
      </c>
      <c r="B45" s="63">
        <v>28644</v>
      </c>
      <c r="C45" s="63" t="s">
        <v>137</v>
      </c>
      <c r="D45" s="64">
        <v>42595</v>
      </c>
      <c r="E45" s="63" t="s">
        <v>138</v>
      </c>
      <c r="F45" s="65">
        <v>61705</v>
      </c>
      <c r="G45" s="66">
        <v>8.4012761432116292E-3</v>
      </c>
      <c r="H45" s="65">
        <v>160</v>
      </c>
      <c r="I45" s="67">
        <v>0.869999985151653</v>
      </c>
      <c r="J45" s="67">
        <v>7.3091101198490502</v>
      </c>
      <c r="K45" s="65">
        <v>68</v>
      </c>
      <c r="L45" s="65">
        <v>29</v>
      </c>
      <c r="M45" s="66">
        <v>6.3291139240506306E-2</v>
      </c>
      <c r="N45" s="67">
        <v>1506.98398511807</v>
      </c>
      <c r="O45" s="67">
        <v>100.465599007872</v>
      </c>
      <c r="P45" s="67">
        <v>206.189996480942</v>
      </c>
      <c r="Q45" s="68">
        <v>0.136822951349935</v>
      </c>
    </row>
    <row r="46" spans="1:17" x14ac:dyDescent="0.35">
      <c r="A46" s="62" t="s">
        <v>136</v>
      </c>
      <c r="B46" s="63">
        <v>28644</v>
      </c>
      <c r="C46" s="63" t="s">
        <v>137</v>
      </c>
      <c r="D46" s="64">
        <v>42596</v>
      </c>
      <c r="E46" s="63" t="s">
        <v>138</v>
      </c>
      <c r="F46" s="65">
        <v>34132</v>
      </c>
      <c r="G46" s="66">
        <v>1.0183222289521499E-2</v>
      </c>
      <c r="H46" s="65">
        <v>444</v>
      </c>
      <c r="I46" s="67">
        <v>0.86999999856417098</v>
      </c>
      <c r="J46" s="67">
        <v>8.8594033772623408</v>
      </c>
      <c r="K46" s="65">
        <v>10</v>
      </c>
      <c r="L46" s="65">
        <v>24</v>
      </c>
      <c r="M46" s="66">
        <v>5.2044609665427503E-2</v>
      </c>
      <c r="N46" s="67">
        <v>2711.5881206619702</v>
      </c>
      <c r="O46" s="67">
        <v>193.684865761569</v>
      </c>
      <c r="P46" s="67">
        <v>234.02999961376199</v>
      </c>
      <c r="Q46" s="68">
        <v>8.6307355394605101E-2</v>
      </c>
    </row>
    <row r="47" spans="1:17" x14ac:dyDescent="0.35">
      <c r="A47" s="62" t="s">
        <v>136</v>
      </c>
      <c r="B47" s="63">
        <v>28644</v>
      </c>
      <c r="C47" s="63" t="s">
        <v>137</v>
      </c>
      <c r="D47" s="64">
        <v>42597</v>
      </c>
      <c r="E47" s="63" t="s">
        <v>138</v>
      </c>
      <c r="F47" s="65">
        <v>24058</v>
      </c>
      <c r="G47" s="66">
        <v>1.29198966408269E-2</v>
      </c>
      <c r="H47" s="65">
        <v>539</v>
      </c>
      <c r="I47" s="67">
        <v>0.86999999152289498</v>
      </c>
      <c r="J47" s="67">
        <v>11.240309967996099</v>
      </c>
      <c r="K47" s="65">
        <v>19</v>
      </c>
      <c r="L47" s="65">
        <v>36</v>
      </c>
      <c r="M47" s="66">
        <v>5.5555555555555601E-2</v>
      </c>
      <c r="N47" s="67">
        <v>2030.9536126918399</v>
      </c>
      <c r="O47" s="67">
        <v>135.39690751278999</v>
      </c>
      <c r="P47" s="67">
        <v>234.89999771118201</v>
      </c>
      <c r="Q47" s="68">
        <v>0.115659952173818</v>
      </c>
    </row>
    <row r="48" spans="1:17" x14ac:dyDescent="0.35">
      <c r="A48" s="62" t="s">
        <v>136</v>
      </c>
      <c r="B48" s="63">
        <v>28644</v>
      </c>
      <c r="C48" s="63" t="s">
        <v>137</v>
      </c>
      <c r="D48" s="64">
        <v>42598</v>
      </c>
      <c r="E48" s="63" t="s">
        <v>138</v>
      </c>
      <c r="F48" s="65">
        <v>14474</v>
      </c>
      <c r="G48" s="66">
        <v>9.8053836402952795E-3</v>
      </c>
      <c r="H48" s="65">
        <v>420</v>
      </c>
      <c r="I48" s="67">
        <v>0.87000001474025102</v>
      </c>
      <c r="J48" s="67">
        <v>8.5306839115907103</v>
      </c>
      <c r="K48" s="65">
        <v>95</v>
      </c>
      <c r="L48" s="65">
        <v>21</v>
      </c>
      <c r="M48" s="66">
        <v>4.1825095057034203E-2</v>
      </c>
      <c r="N48" s="67">
        <v>900.71565181063204</v>
      </c>
      <c r="O48" s="67">
        <v>81.883241073693796</v>
      </c>
      <c r="P48" s="67">
        <v>228.81000387668601</v>
      </c>
      <c r="Q48" s="68">
        <v>0.25403133987594101</v>
      </c>
    </row>
    <row r="49" spans="1:17" x14ac:dyDescent="0.35">
      <c r="A49" s="62" t="s">
        <v>136</v>
      </c>
      <c r="B49" s="63">
        <v>28644</v>
      </c>
      <c r="C49" s="63" t="s">
        <v>137</v>
      </c>
      <c r="D49" s="64">
        <v>42599</v>
      </c>
      <c r="E49" s="63" t="s">
        <v>138</v>
      </c>
      <c r="F49" s="65">
        <v>15521</v>
      </c>
      <c r="G49" s="66">
        <v>9.0669163970713406E-3</v>
      </c>
      <c r="H49" s="65">
        <v>526</v>
      </c>
      <c r="I49" s="67">
        <v>0.909812211990356</v>
      </c>
      <c r="J49" s="67">
        <v>8.2491912631511095</v>
      </c>
      <c r="K49" s="65">
        <v>85</v>
      </c>
      <c r="L49" s="65">
        <v>24</v>
      </c>
      <c r="M49" s="66">
        <v>5.63380281690141E-2</v>
      </c>
      <c r="N49" s="67">
        <v>1031.51986138084</v>
      </c>
      <c r="O49" s="67">
        <v>85.959988448402896</v>
      </c>
      <c r="P49" s="67">
        <v>193.79000115394601</v>
      </c>
      <c r="Q49" s="68">
        <v>0.18786841476278601</v>
      </c>
    </row>
    <row r="50" spans="1:17" x14ac:dyDescent="0.35">
      <c r="A50" s="62" t="s">
        <v>136</v>
      </c>
      <c r="B50" s="63">
        <v>28644</v>
      </c>
      <c r="C50" s="63" t="s">
        <v>137</v>
      </c>
      <c r="D50" s="64">
        <v>42600</v>
      </c>
      <c r="E50" s="63" t="s">
        <v>138</v>
      </c>
      <c r="F50" s="65">
        <v>40494</v>
      </c>
      <c r="G50" s="66">
        <v>1.0738319095117599E-2</v>
      </c>
      <c r="H50" s="65">
        <v>307</v>
      </c>
      <c r="I50" s="67">
        <v>0.94395556131998704</v>
      </c>
      <c r="J50" s="67">
        <v>10.136496029064901</v>
      </c>
      <c r="K50" s="65">
        <v>23</v>
      </c>
      <c r="L50" s="65">
        <v>26</v>
      </c>
      <c r="M50" s="66">
        <v>6.6666666666666693E-2</v>
      </c>
      <c r="N50" s="67">
        <v>1355.3199301014299</v>
      </c>
      <c r="O50" s="67">
        <v>90.354662006762098</v>
      </c>
      <c r="P50" s="67">
        <v>212.39000129699701</v>
      </c>
      <c r="Q50" s="68">
        <v>0.156708387872007</v>
      </c>
    </row>
    <row r="51" spans="1:17" x14ac:dyDescent="0.35">
      <c r="A51" s="62" t="s">
        <v>136</v>
      </c>
      <c r="B51" s="63">
        <v>28644</v>
      </c>
      <c r="C51" s="63" t="s">
        <v>137</v>
      </c>
      <c r="D51" s="64">
        <v>42601</v>
      </c>
      <c r="E51" s="63" t="s">
        <v>138</v>
      </c>
      <c r="F51" s="65">
        <v>53733</v>
      </c>
      <c r="G51" s="66">
        <v>1.06923392052438E-2</v>
      </c>
      <c r="H51" s="65">
        <v>537</v>
      </c>
      <c r="I51" s="67">
        <v>0.94938695225222403</v>
      </c>
      <c r="J51" s="67">
        <v>10.151167330513299</v>
      </c>
      <c r="K51" s="65">
        <v>49</v>
      </c>
      <c r="L51" s="65">
        <v>25</v>
      </c>
      <c r="M51" s="66">
        <v>6.1302681992337203E-2</v>
      </c>
      <c r="N51" s="67">
        <v>1895.3268238955</v>
      </c>
      <c r="O51" s="67">
        <v>118.457926493469</v>
      </c>
      <c r="P51" s="67">
        <v>247.78999453783001</v>
      </c>
      <c r="Q51" s="68">
        <v>0.130737343773008</v>
      </c>
    </row>
    <row r="52" spans="1:17" x14ac:dyDescent="0.35">
      <c r="A52" s="62" t="s">
        <v>136</v>
      </c>
      <c r="B52" s="63">
        <v>28644</v>
      </c>
      <c r="C52" s="63" t="s">
        <v>137</v>
      </c>
      <c r="D52" s="64">
        <v>42602</v>
      </c>
      <c r="E52" s="63" t="s">
        <v>138</v>
      </c>
      <c r="F52" s="65">
        <v>60755</v>
      </c>
      <c r="G52" s="66">
        <v>9.5761431922619603E-3</v>
      </c>
      <c r="H52" s="65">
        <v>325</v>
      </c>
      <c r="I52" s="67">
        <v>0.99241604100937797</v>
      </c>
      <c r="J52" s="67">
        <v>9.5035181150035193</v>
      </c>
      <c r="K52" s="65">
        <v>19</v>
      </c>
      <c r="L52" s="65">
        <v>35</v>
      </c>
      <c r="M52" s="66">
        <v>6.7114093959731502E-2</v>
      </c>
      <c r="N52" s="67">
        <v>1786.1701135163401</v>
      </c>
      <c r="O52" s="67">
        <v>89.308505675817003</v>
      </c>
      <c r="P52" s="67">
        <v>295.73998022079502</v>
      </c>
      <c r="Q52" s="68">
        <v>0.16557212439222099</v>
      </c>
    </row>
    <row r="53" spans="1:17" x14ac:dyDescent="0.35">
      <c r="A53" s="62" t="s">
        <v>136</v>
      </c>
      <c r="B53" s="63">
        <v>28644</v>
      </c>
      <c r="C53" s="63" t="s">
        <v>137</v>
      </c>
      <c r="D53" s="64">
        <v>42603</v>
      </c>
      <c r="E53" s="63" t="s">
        <v>138</v>
      </c>
      <c r="F53" s="65">
        <v>32297</v>
      </c>
      <c r="G53" s="66">
        <v>9.4915493454712195E-3</v>
      </c>
      <c r="H53" s="65">
        <v>270</v>
      </c>
      <c r="I53" s="67">
        <v>1.0264311891506199</v>
      </c>
      <c r="J53" s="67">
        <v>9.74242228155377</v>
      </c>
      <c r="K53" s="65">
        <v>55</v>
      </c>
      <c r="L53" s="65">
        <v>17</v>
      </c>
      <c r="M53" s="66">
        <v>4.08921933085502E-2</v>
      </c>
      <c r="N53" s="67">
        <v>1713.70068014151</v>
      </c>
      <c r="O53" s="67">
        <v>155.79097092195599</v>
      </c>
      <c r="P53" s="67">
        <v>276.10998988151601</v>
      </c>
      <c r="Q53" s="68">
        <v>0.16111914588183199</v>
      </c>
    </row>
    <row r="54" spans="1:17" x14ac:dyDescent="0.35">
      <c r="A54" s="62" t="s">
        <v>136</v>
      </c>
      <c r="B54" s="63">
        <v>28644</v>
      </c>
      <c r="C54" s="63" t="s">
        <v>137</v>
      </c>
      <c r="D54" s="64">
        <v>42604</v>
      </c>
      <c r="E54" s="63" t="s">
        <v>138</v>
      </c>
      <c r="F54" s="65">
        <v>6992</v>
      </c>
      <c r="G54" s="66">
        <v>8.18636180846786E-3</v>
      </c>
      <c r="H54" s="65">
        <v>311</v>
      </c>
      <c r="I54" s="67">
        <v>1.0503508618003401</v>
      </c>
      <c r="J54" s="67">
        <v>8.5985521805336393</v>
      </c>
      <c r="K54" s="65">
        <v>24</v>
      </c>
      <c r="L54" s="65">
        <v>26</v>
      </c>
      <c r="M54" s="66">
        <v>6.3157894736842093E-2</v>
      </c>
      <c r="N54" s="67">
        <v>1884.07479904709</v>
      </c>
      <c r="O54" s="67">
        <v>104.670822169283</v>
      </c>
      <c r="P54" s="67">
        <v>299.34999561309797</v>
      </c>
      <c r="Q54" s="68">
        <v>0.15888434777881499</v>
      </c>
    </row>
    <row r="55" spans="1:17" x14ac:dyDescent="0.35">
      <c r="A55" s="62" t="s">
        <v>136</v>
      </c>
      <c r="B55" s="63">
        <v>28644</v>
      </c>
      <c r="C55" s="63" t="s">
        <v>137</v>
      </c>
      <c r="D55" s="64">
        <v>42605</v>
      </c>
      <c r="E55" s="63" t="s">
        <v>138</v>
      </c>
      <c r="F55" s="65">
        <v>17961</v>
      </c>
      <c r="G55" s="66">
        <v>8.6051007046205608E-3</v>
      </c>
      <c r="H55" s="65">
        <v>457</v>
      </c>
      <c r="I55" s="67">
        <v>1.0591303680254101</v>
      </c>
      <c r="J55" s="67">
        <v>9.1139234761804602</v>
      </c>
      <c r="K55" s="65">
        <v>11</v>
      </c>
      <c r="L55" s="65">
        <v>26</v>
      </c>
      <c r="M55" s="66">
        <v>5.4347826086956499E-2</v>
      </c>
      <c r="N55" s="67">
        <v>1293.5420327565701</v>
      </c>
      <c r="O55" s="67">
        <v>86.236135517104401</v>
      </c>
      <c r="P55" s="67">
        <v>292.31998157501198</v>
      </c>
      <c r="Q55" s="68">
        <v>0.22598413825956001</v>
      </c>
    </row>
    <row r="56" spans="1:17" x14ac:dyDescent="0.35">
      <c r="A56" s="62" t="s">
        <v>136</v>
      </c>
      <c r="B56" s="63">
        <v>28644</v>
      </c>
      <c r="C56" s="63" t="s">
        <v>137</v>
      </c>
      <c r="D56" s="64">
        <v>42606</v>
      </c>
      <c r="E56" s="63" t="s">
        <v>138</v>
      </c>
      <c r="F56" s="65">
        <v>50107</v>
      </c>
      <c r="G56" s="66">
        <v>8.7303265565054494E-3</v>
      </c>
      <c r="H56" s="65">
        <v>212</v>
      </c>
      <c r="I56" s="67">
        <v>1.0599999081304701</v>
      </c>
      <c r="J56" s="67">
        <v>9.2541453478448208</v>
      </c>
      <c r="K56" s="65">
        <v>14</v>
      </c>
      <c r="L56" s="65">
        <v>45</v>
      </c>
      <c r="M56" s="66">
        <v>8.6505190311418706E-2</v>
      </c>
      <c r="N56" s="67">
        <v>2233.74724120883</v>
      </c>
      <c r="O56" s="67">
        <v>89.349889648353297</v>
      </c>
      <c r="P56" s="67">
        <v>306.33997344970697</v>
      </c>
      <c r="Q56" s="68">
        <v>0.13714173555461301</v>
      </c>
    </row>
    <row r="57" spans="1:17" x14ac:dyDescent="0.35">
      <c r="A57" s="62" t="s">
        <v>136</v>
      </c>
      <c r="B57" s="63">
        <v>28644</v>
      </c>
      <c r="C57" s="63" t="s">
        <v>137</v>
      </c>
      <c r="D57" s="64">
        <v>42607</v>
      </c>
      <c r="E57" s="63" t="s">
        <v>138</v>
      </c>
      <c r="F57" s="65">
        <v>22613</v>
      </c>
      <c r="G57" s="66">
        <v>9.5965678157458999E-3</v>
      </c>
      <c r="H57" s="65">
        <v>247</v>
      </c>
      <c r="I57" s="67">
        <v>1.05999992221009</v>
      </c>
      <c r="J57" s="67">
        <v>10.172361138174599</v>
      </c>
      <c r="K57" s="65">
        <v>15</v>
      </c>
      <c r="L57" s="65">
        <v>18</v>
      </c>
      <c r="M57" s="66">
        <v>4.7058823529411799E-2</v>
      </c>
      <c r="N57" s="67">
        <v>1501.4226643417101</v>
      </c>
      <c r="O57" s="67">
        <v>125.118555361809</v>
      </c>
      <c r="P57" s="67">
        <v>270.29998016357399</v>
      </c>
      <c r="Q57" s="68">
        <v>0.18002923932288301</v>
      </c>
    </row>
    <row r="58" spans="1:17" x14ac:dyDescent="0.35">
      <c r="A58" s="62" t="s">
        <v>136</v>
      </c>
      <c r="B58" s="63">
        <v>28644</v>
      </c>
      <c r="C58" s="63" t="s">
        <v>137</v>
      </c>
      <c r="D58" s="64">
        <v>42608</v>
      </c>
      <c r="E58" s="63" t="s">
        <v>138</v>
      </c>
      <c r="F58" s="65">
        <v>31875</v>
      </c>
      <c r="G58" s="66">
        <v>1.1104401502952201E-2</v>
      </c>
      <c r="H58" s="65">
        <v>267</v>
      </c>
      <c r="I58" s="67">
        <v>1.0599999859974101</v>
      </c>
      <c r="J58" s="67">
        <v>11.770665437639</v>
      </c>
      <c r="K58" s="65">
        <v>15</v>
      </c>
      <c r="L58" s="65">
        <v>36</v>
      </c>
      <c r="M58" s="66">
        <v>6.9486404833836904E-2</v>
      </c>
      <c r="N58" s="67">
        <v>2330.5742369374002</v>
      </c>
      <c r="O58" s="67">
        <v>101.329314649452</v>
      </c>
      <c r="P58" s="67">
        <v>350.85999536514299</v>
      </c>
      <c r="Q58" s="68">
        <v>0.15054658624657499</v>
      </c>
    </row>
    <row r="59" spans="1:17" x14ac:dyDescent="0.35">
      <c r="A59" s="62" t="s">
        <v>136</v>
      </c>
      <c r="B59" s="63">
        <v>28644</v>
      </c>
      <c r="C59" s="63" t="s">
        <v>137</v>
      </c>
      <c r="D59" s="64">
        <v>42609</v>
      </c>
      <c r="E59" s="63" t="s">
        <v>138</v>
      </c>
      <c r="F59" s="65">
        <v>65351</v>
      </c>
      <c r="G59" s="66">
        <v>1.0978356061553901E-2</v>
      </c>
      <c r="H59" s="65">
        <v>436</v>
      </c>
      <c r="I59" s="67">
        <v>1.08492873944448</v>
      </c>
      <c r="J59" s="67">
        <v>11.9107340030343</v>
      </c>
      <c r="K59" s="65">
        <v>26</v>
      </c>
      <c r="L59" s="65">
        <v>34</v>
      </c>
      <c r="M59" s="66">
        <v>4.2735042735042701E-2</v>
      </c>
      <c r="N59" s="67">
        <v>1128.55669012726</v>
      </c>
      <c r="O59" s="67">
        <v>75.237112675150598</v>
      </c>
      <c r="P59" s="67">
        <v>380.80998754501297</v>
      </c>
      <c r="Q59" s="68">
        <v>0.33743097788208798</v>
      </c>
    </row>
    <row r="60" spans="1:17" x14ac:dyDescent="0.35">
      <c r="A60" s="62" t="s">
        <v>136</v>
      </c>
      <c r="B60" s="63">
        <v>28644</v>
      </c>
      <c r="C60" s="63" t="s">
        <v>137</v>
      </c>
      <c r="D60" s="64">
        <v>42610</v>
      </c>
      <c r="E60" s="63" t="s">
        <v>138</v>
      </c>
      <c r="F60" s="65">
        <v>63253</v>
      </c>
      <c r="G60" s="66">
        <v>1.0083719772182601E-2</v>
      </c>
      <c r="H60" s="65">
        <v>575</v>
      </c>
      <c r="I60" s="67">
        <v>1.1277468763751699</v>
      </c>
      <c r="J60" s="67">
        <v>11.3718834753215</v>
      </c>
      <c r="K60" s="65">
        <v>25</v>
      </c>
      <c r="L60" s="65">
        <v>25</v>
      </c>
      <c r="M60" s="66">
        <v>3.3950617283950602E-2</v>
      </c>
      <c r="N60" s="67">
        <v>1444.4732271323701</v>
      </c>
      <c r="O60" s="67">
        <v>131.31574792112499</v>
      </c>
      <c r="P60" s="67">
        <v>365.38998794555698</v>
      </c>
      <c r="Q60" s="68">
        <v>0.25295725880011199</v>
      </c>
    </row>
    <row r="61" spans="1:17" x14ac:dyDescent="0.35">
      <c r="A61" s="62" t="s">
        <v>136</v>
      </c>
      <c r="B61" s="63">
        <v>28644</v>
      </c>
      <c r="C61" s="63" t="s">
        <v>137</v>
      </c>
      <c r="D61" s="64">
        <v>42611</v>
      </c>
      <c r="E61" s="63" t="s">
        <v>138</v>
      </c>
      <c r="F61" s="65">
        <v>2644</v>
      </c>
      <c r="G61" s="66">
        <v>1.0645976181883799E-2</v>
      </c>
      <c r="H61" s="65">
        <v>325</v>
      </c>
      <c r="I61" s="67">
        <v>1.13966098343585</v>
      </c>
      <c r="J61" s="67">
        <v>12.132803685080299</v>
      </c>
      <c r="K61" s="65">
        <v>44</v>
      </c>
      <c r="L61" s="65">
        <v>28</v>
      </c>
      <c r="M61" s="66">
        <v>4.5197740112994399E-2</v>
      </c>
      <c r="N61" s="67">
        <v>1292.11930986889</v>
      </c>
      <c r="O61" s="67">
        <v>80.757456866805597</v>
      </c>
      <c r="P61" s="67">
        <v>403.43998813629202</v>
      </c>
      <c r="Q61" s="68">
        <v>0.31223121971393503</v>
      </c>
    </row>
    <row r="62" spans="1:17" x14ac:dyDescent="0.35">
      <c r="A62" s="62" t="s">
        <v>136</v>
      </c>
      <c r="B62" s="63">
        <v>28644</v>
      </c>
      <c r="C62" s="63" t="s">
        <v>137</v>
      </c>
      <c r="D62" s="64">
        <v>42612</v>
      </c>
      <c r="E62" s="63" t="s">
        <v>138</v>
      </c>
      <c r="F62" s="65">
        <v>35697</v>
      </c>
      <c r="G62" s="66">
        <v>1.0052061163681601E-2</v>
      </c>
      <c r="H62" s="65">
        <v>518</v>
      </c>
      <c r="I62" s="67">
        <v>1.13999994764111</v>
      </c>
      <c r="J62" s="67">
        <v>11.459349200282199</v>
      </c>
      <c r="K62" s="65">
        <v>20</v>
      </c>
      <c r="L62" s="65">
        <v>29</v>
      </c>
      <c r="M62" s="66">
        <v>5.2117263843648197E-2</v>
      </c>
      <c r="N62" s="67">
        <v>1499.2670742350001</v>
      </c>
      <c r="O62" s="67">
        <v>93.704192139687507</v>
      </c>
      <c r="P62" s="67">
        <v>349.979983925819</v>
      </c>
      <c r="Q62" s="68">
        <v>0.233434049169923</v>
      </c>
    </row>
    <row r="63" spans="1:17" x14ac:dyDescent="0.35">
      <c r="A63" s="62" t="s">
        <v>136</v>
      </c>
      <c r="B63" s="63">
        <v>28644</v>
      </c>
      <c r="C63" s="63" t="s">
        <v>137</v>
      </c>
      <c r="D63" s="64">
        <v>42613</v>
      </c>
      <c r="E63" s="63" t="s">
        <v>138</v>
      </c>
      <c r="F63" s="65">
        <v>42298</v>
      </c>
      <c r="G63" s="66">
        <v>1.15343099460293E-2</v>
      </c>
      <c r="H63" s="65">
        <v>400</v>
      </c>
      <c r="I63" s="67">
        <v>1.1399999640204701</v>
      </c>
      <c r="J63" s="67">
        <v>13.1491129234743</v>
      </c>
      <c r="K63" s="65">
        <v>22</v>
      </c>
      <c r="L63" s="65">
        <v>40</v>
      </c>
      <c r="M63" s="66">
        <v>6.4171122994652399E-2</v>
      </c>
      <c r="N63" s="67">
        <v>2492.7143031799701</v>
      </c>
      <c r="O63" s="67">
        <v>103.863095965832</v>
      </c>
      <c r="P63" s="67">
        <v>426.359986543655</v>
      </c>
      <c r="Q63" s="68">
        <v>0.171042460020286</v>
      </c>
    </row>
    <row r="64" spans="1:17" x14ac:dyDescent="0.35">
      <c r="A64" s="62" t="s">
        <v>136</v>
      </c>
      <c r="B64" s="63">
        <v>28644</v>
      </c>
      <c r="C64" s="63" t="s">
        <v>137</v>
      </c>
      <c r="D64" s="64">
        <v>42614</v>
      </c>
      <c r="E64" s="63" t="s">
        <v>138</v>
      </c>
      <c r="F64" s="65">
        <v>35633</v>
      </c>
      <c r="G64" s="66">
        <v>1.02766798418972E-2</v>
      </c>
      <c r="H64" s="65">
        <v>282</v>
      </c>
      <c r="I64" s="67">
        <v>1.1400000076230199</v>
      </c>
      <c r="J64" s="67">
        <v>11.715415098102101</v>
      </c>
      <c r="K64" s="65">
        <v>65</v>
      </c>
      <c r="L64" s="65">
        <v>30</v>
      </c>
      <c r="M64" s="66">
        <v>4.6822742474916398E-2</v>
      </c>
      <c r="N64" s="67">
        <v>1331.68709762766</v>
      </c>
      <c r="O64" s="67">
        <v>95.120506973404105</v>
      </c>
      <c r="P64" s="67">
        <v>340.86000227928201</v>
      </c>
      <c r="Q64" s="68">
        <v>0.25596103085064698</v>
      </c>
    </row>
    <row r="65" spans="1:17" x14ac:dyDescent="0.35">
      <c r="A65" s="62" t="s">
        <v>136</v>
      </c>
      <c r="B65" s="63">
        <v>28644</v>
      </c>
      <c r="C65" s="63" t="s">
        <v>137</v>
      </c>
      <c r="D65" s="64">
        <v>42615</v>
      </c>
      <c r="E65" s="63" t="s">
        <v>138</v>
      </c>
      <c r="F65" s="65">
        <v>20131</v>
      </c>
      <c r="G65" s="66">
        <v>1.1281631109570501E-2</v>
      </c>
      <c r="H65" s="65">
        <v>286</v>
      </c>
      <c r="I65" s="67">
        <v>1.1399999883587799</v>
      </c>
      <c r="J65" s="67">
        <v>12.8610593335784</v>
      </c>
      <c r="K65" s="65">
        <v>81</v>
      </c>
      <c r="L65" s="65">
        <v>46</v>
      </c>
      <c r="M65" s="66">
        <v>6.7039106145251395E-2</v>
      </c>
      <c r="N65" s="67">
        <v>2000.3527217319599</v>
      </c>
      <c r="O65" s="67">
        <v>83.348030072165201</v>
      </c>
      <c r="P65" s="67">
        <v>408.11999583244301</v>
      </c>
      <c r="Q65" s="68">
        <v>0.204024016064067</v>
      </c>
    </row>
    <row r="66" spans="1:17" x14ac:dyDescent="0.35">
      <c r="A66" s="62" t="s">
        <v>136</v>
      </c>
      <c r="B66" s="63">
        <v>28644</v>
      </c>
      <c r="C66" s="63" t="s">
        <v>137</v>
      </c>
      <c r="D66" s="64">
        <v>42616</v>
      </c>
      <c r="E66" s="63" t="s">
        <v>138</v>
      </c>
      <c r="F66" s="65">
        <v>64307</v>
      </c>
      <c r="G66" s="66">
        <v>1.03021978021978E-2</v>
      </c>
      <c r="H66" s="65">
        <v>316</v>
      </c>
      <c r="I66" s="67">
        <v>1.05466667309142</v>
      </c>
      <c r="J66" s="67">
        <v>10.865384681573699</v>
      </c>
      <c r="K66" s="65">
        <v>82</v>
      </c>
      <c r="L66" s="65">
        <v>51</v>
      </c>
      <c r="M66" s="66">
        <v>0.119298245614035</v>
      </c>
      <c r="N66" s="67">
        <v>3057.5889401024201</v>
      </c>
      <c r="O66" s="67">
        <v>89.929086473600506</v>
      </c>
      <c r="P66" s="67">
        <v>300.58000183105497</v>
      </c>
      <c r="Q66" s="68">
        <v>9.8306216996254095E-2</v>
      </c>
    </row>
    <row r="67" spans="1:17" x14ac:dyDescent="0.35">
      <c r="A67" s="62" t="s">
        <v>136</v>
      </c>
      <c r="B67" s="63">
        <v>28644</v>
      </c>
      <c r="C67" s="63" t="s">
        <v>137</v>
      </c>
      <c r="D67" s="64">
        <v>42617</v>
      </c>
      <c r="E67" s="63" t="s">
        <v>138</v>
      </c>
      <c r="F67" s="65">
        <v>15585</v>
      </c>
      <c r="G67" s="66">
        <v>1.16061691852313E-2</v>
      </c>
      <c r="H67" s="65">
        <v>200</v>
      </c>
      <c r="I67" s="67">
        <v>0.98483218442673603</v>
      </c>
      <c r="J67" s="67">
        <v>11.4301289515177</v>
      </c>
      <c r="K67" s="65">
        <v>83</v>
      </c>
      <c r="L67" s="65">
        <v>35</v>
      </c>
      <c r="M67" s="66">
        <v>7.0469798657718102E-2</v>
      </c>
      <c r="N67" s="67">
        <v>1700.94360276204</v>
      </c>
      <c r="O67" s="67">
        <v>80.997314417239906</v>
      </c>
      <c r="P67" s="67">
        <v>293.47999095916703</v>
      </c>
      <c r="Q67" s="68">
        <v>0.17253951893678701</v>
      </c>
    </row>
    <row r="68" spans="1:17" x14ac:dyDescent="0.35">
      <c r="A68" s="62" t="s">
        <v>136</v>
      </c>
      <c r="B68" s="63">
        <v>28644</v>
      </c>
      <c r="C68" s="63" t="s">
        <v>137</v>
      </c>
      <c r="D68" s="64">
        <v>42618</v>
      </c>
      <c r="E68" s="63" t="s">
        <v>138</v>
      </c>
      <c r="F68" s="65">
        <v>1489</v>
      </c>
      <c r="G68" s="66">
        <v>1.11676386648468E-2</v>
      </c>
      <c r="H68" s="65">
        <v>171</v>
      </c>
      <c r="I68" s="67">
        <v>0.98118519606413701</v>
      </c>
      <c r="J68" s="67">
        <v>10.9575217329411</v>
      </c>
      <c r="K68" s="65">
        <v>62</v>
      </c>
      <c r="L68" s="65">
        <v>38</v>
      </c>
      <c r="M68" s="66">
        <v>8.5185185185185197E-2</v>
      </c>
      <c r="N68" s="67">
        <v>2672.2373999408801</v>
      </c>
      <c r="O68" s="67">
        <v>116.184234780038</v>
      </c>
      <c r="P68" s="67">
        <v>264.92000293731701</v>
      </c>
      <c r="Q68" s="68">
        <v>9.9137899553077696E-2</v>
      </c>
    </row>
    <row r="69" spans="1:17" x14ac:dyDescent="0.35">
      <c r="A69" s="62" t="s">
        <v>136</v>
      </c>
      <c r="B69" s="63">
        <v>28644</v>
      </c>
      <c r="C69" s="63" t="s">
        <v>137</v>
      </c>
      <c r="D69" s="64">
        <v>42619</v>
      </c>
      <c r="E69" s="63" t="s">
        <v>138</v>
      </c>
      <c r="F69" s="65">
        <v>16284</v>
      </c>
      <c r="G69" s="66">
        <v>1.0311095443729599E-2</v>
      </c>
      <c r="H69" s="65">
        <v>312</v>
      </c>
      <c r="I69" s="67">
        <v>1.00991449702499</v>
      </c>
      <c r="J69" s="67">
        <v>10.413324768830901</v>
      </c>
      <c r="K69" s="65">
        <v>47</v>
      </c>
      <c r="L69" s="65">
        <v>33</v>
      </c>
      <c r="M69" s="66">
        <v>7.2649572649572697E-2</v>
      </c>
      <c r="N69" s="67">
        <v>1397.5911788476201</v>
      </c>
      <c r="O69" s="67">
        <v>82.2112458145657</v>
      </c>
      <c r="P69" s="67">
        <v>236.31999230384801</v>
      </c>
      <c r="Q69" s="68">
        <v>0.16909093008064499</v>
      </c>
    </row>
    <row r="70" spans="1:17" x14ac:dyDescent="0.35">
      <c r="A70" s="62" t="s">
        <v>136</v>
      </c>
      <c r="B70" s="63">
        <v>28644</v>
      </c>
      <c r="C70" s="63" t="s">
        <v>137</v>
      </c>
      <c r="D70" s="64">
        <v>42620</v>
      </c>
      <c r="E70" s="63" t="s">
        <v>138</v>
      </c>
      <c r="F70" s="65">
        <v>62244</v>
      </c>
      <c r="G70" s="66">
        <v>9.5242435289828696E-3</v>
      </c>
      <c r="H70" s="65">
        <v>554</v>
      </c>
      <c r="I70" s="67">
        <v>1.0276076257514</v>
      </c>
      <c r="J70" s="67">
        <v>9.78718527989626</v>
      </c>
      <c r="K70" s="65">
        <v>47</v>
      </c>
      <c r="L70" s="65">
        <v>30</v>
      </c>
      <c r="M70" s="66">
        <v>9.0909090909090898E-2</v>
      </c>
      <c r="N70" s="67">
        <v>1185.02509142947</v>
      </c>
      <c r="O70" s="67">
        <v>62.369741654182597</v>
      </c>
      <c r="P70" s="67">
        <v>214.769993782043</v>
      </c>
      <c r="Q70" s="68">
        <v>0.181236663540154</v>
      </c>
    </row>
    <row r="71" spans="1:17" x14ac:dyDescent="0.35">
      <c r="A71" s="62" t="s">
        <v>136</v>
      </c>
      <c r="B71" s="63">
        <v>28644</v>
      </c>
      <c r="C71" s="63" t="s">
        <v>137</v>
      </c>
      <c r="D71" s="64">
        <v>42621</v>
      </c>
      <c r="E71" s="63" t="s">
        <v>138</v>
      </c>
      <c r="F71" s="65">
        <v>34081</v>
      </c>
      <c r="G71" s="66">
        <v>9.6914204173850996E-3</v>
      </c>
      <c r="H71" s="65">
        <v>154</v>
      </c>
      <c r="I71" s="67">
        <v>1.0296931793353301</v>
      </c>
      <c r="J71" s="67">
        <v>9.9791895018526002</v>
      </c>
      <c r="K71" s="65">
        <v>29</v>
      </c>
      <c r="L71" s="65">
        <v>21</v>
      </c>
      <c r="M71" s="66">
        <v>7.3619631901840496E-2</v>
      </c>
      <c r="N71" s="67">
        <v>1710.8651529660799</v>
      </c>
      <c r="O71" s="67">
        <v>142.57209608050701</v>
      </c>
      <c r="P71" s="67">
        <v>167.83998823165899</v>
      </c>
      <c r="Q71" s="68">
        <v>9.8102406224522695E-2</v>
      </c>
    </row>
    <row r="72" spans="1:17" x14ac:dyDescent="0.35">
      <c r="A72" s="62" t="s">
        <v>136</v>
      </c>
      <c r="B72" s="63">
        <v>28644</v>
      </c>
      <c r="C72" s="63" t="s">
        <v>137</v>
      </c>
      <c r="D72" s="64">
        <v>42622</v>
      </c>
      <c r="E72" s="63" t="s">
        <v>138</v>
      </c>
      <c r="F72" s="65">
        <v>237</v>
      </c>
      <c r="G72" s="66">
        <v>1.22374731271705E-2</v>
      </c>
      <c r="H72" s="65">
        <v>429</v>
      </c>
      <c r="I72" s="67">
        <v>1.0299999660199799</v>
      </c>
      <c r="J72" s="67">
        <v>12.6045969051561</v>
      </c>
      <c r="K72" s="65">
        <v>29</v>
      </c>
      <c r="L72" s="65">
        <v>27</v>
      </c>
      <c r="M72" s="66">
        <v>5.4054054054054099E-2</v>
      </c>
      <c r="N72" s="67">
        <v>1111.73822699174</v>
      </c>
      <c r="O72" s="67">
        <v>92.644852249311896</v>
      </c>
      <c r="P72" s="67">
        <v>228.65999245643599</v>
      </c>
      <c r="Q72" s="68">
        <v>0.20567790771679101</v>
      </c>
    </row>
    <row r="73" spans="1:17" x14ac:dyDescent="0.35">
      <c r="A73" s="62" t="s">
        <v>136</v>
      </c>
      <c r="B73" s="63">
        <v>28644</v>
      </c>
      <c r="C73" s="63" t="s">
        <v>137</v>
      </c>
      <c r="D73" s="64">
        <v>42623</v>
      </c>
      <c r="E73" s="63" t="s">
        <v>138</v>
      </c>
      <c r="F73" s="65">
        <v>14217</v>
      </c>
      <c r="G73" s="66">
        <v>1.02270293424716E-2</v>
      </c>
      <c r="H73" s="65">
        <v>405</v>
      </c>
      <c r="I73" s="67">
        <v>1.02999997263804</v>
      </c>
      <c r="J73" s="67">
        <v>10.5338399429142</v>
      </c>
      <c r="K73" s="65">
        <v>28</v>
      </c>
      <c r="L73" s="65">
        <v>38</v>
      </c>
      <c r="M73" s="66">
        <v>8.9005235602094196E-2</v>
      </c>
      <c r="N73" s="67">
        <v>2030.7786852208101</v>
      </c>
      <c r="O73" s="67">
        <v>119.457569718871</v>
      </c>
      <c r="P73" s="67">
        <v>196.729994773865</v>
      </c>
      <c r="Q73" s="68">
        <v>9.6874167631158706E-2</v>
      </c>
    </row>
    <row r="74" spans="1:17" x14ac:dyDescent="0.35">
      <c r="A74" s="62" t="s">
        <v>136</v>
      </c>
      <c r="B74" s="63">
        <v>28644</v>
      </c>
      <c r="C74" s="63" t="s">
        <v>137</v>
      </c>
      <c r="D74" s="64">
        <v>42624</v>
      </c>
      <c r="E74" s="63" t="s">
        <v>138</v>
      </c>
      <c r="F74" s="65">
        <v>64237</v>
      </c>
      <c r="G74" s="66">
        <v>1.33388912046686E-2</v>
      </c>
      <c r="H74" s="65">
        <v>298</v>
      </c>
      <c r="I74" s="67">
        <v>1.12496087700129</v>
      </c>
      <c r="J74" s="67">
        <v>15.0057307478287</v>
      </c>
      <c r="K74" s="65">
        <v>13</v>
      </c>
      <c r="L74" s="65">
        <v>21</v>
      </c>
      <c r="M74" s="66">
        <v>3.90625E-2</v>
      </c>
      <c r="N74" s="67">
        <v>466.13456900341203</v>
      </c>
      <c r="O74" s="67">
        <v>46.613456900341198</v>
      </c>
      <c r="P74" s="67">
        <v>287.98998451232899</v>
      </c>
      <c r="Q74" s="68">
        <v>0.61782584614577496</v>
      </c>
    </row>
    <row r="75" spans="1:17" x14ac:dyDescent="0.35">
      <c r="A75" s="62" t="s">
        <v>136</v>
      </c>
      <c r="B75" s="63">
        <v>28644</v>
      </c>
      <c r="C75" s="63" t="s">
        <v>137</v>
      </c>
      <c r="D75" s="64">
        <v>42625</v>
      </c>
      <c r="E75" s="63" t="s">
        <v>138</v>
      </c>
      <c r="F75" s="65">
        <v>60954</v>
      </c>
      <c r="G75" s="66">
        <v>1.4295853188685001E-2</v>
      </c>
      <c r="H75" s="65">
        <v>479</v>
      </c>
      <c r="I75" s="67">
        <v>1.15999992899861</v>
      </c>
      <c r="J75" s="67">
        <v>16.583188683849102</v>
      </c>
      <c r="K75" s="65">
        <v>16</v>
      </c>
      <c r="L75" s="65">
        <v>37</v>
      </c>
      <c r="M75" s="66">
        <v>8.1560283687943297E-2</v>
      </c>
      <c r="N75" s="67">
        <v>1783.00555604551</v>
      </c>
      <c r="O75" s="67">
        <v>77.521980697630696</v>
      </c>
      <c r="P75" s="67">
        <v>327.11997997760801</v>
      </c>
      <c r="Q75" s="68">
        <v>0.18346548549356201</v>
      </c>
    </row>
    <row r="76" spans="1:17" x14ac:dyDescent="0.35">
      <c r="A76" s="62" t="s">
        <v>136</v>
      </c>
      <c r="B76" s="63">
        <v>28644</v>
      </c>
      <c r="C76" s="63" t="s">
        <v>137</v>
      </c>
      <c r="D76" s="64">
        <v>42626</v>
      </c>
      <c r="E76" s="63" t="s">
        <v>138</v>
      </c>
      <c r="F76" s="65">
        <v>11776</v>
      </c>
      <c r="G76" s="66">
        <v>1.17875590481656E-2</v>
      </c>
      <c r="H76" s="65">
        <v>531</v>
      </c>
      <c r="I76" s="67">
        <v>1.15999997063969</v>
      </c>
      <c r="J76" s="67">
        <v>13.673568149785799</v>
      </c>
      <c r="K76" s="65">
        <v>65</v>
      </c>
      <c r="L76" s="65">
        <v>33</v>
      </c>
      <c r="M76" s="66">
        <v>6.7415730337078705E-2</v>
      </c>
      <c r="N76" s="67">
        <v>1902.76924669559</v>
      </c>
      <c r="O76" s="67">
        <v>105.70940259419901</v>
      </c>
      <c r="P76" s="67">
        <v>309.71999216079701</v>
      </c>
      <c r="Q76" s="68">
        <v>0.162773280416775</v>
      </c>
    </row>
    <row r="77" spans="1:17" x14ac:dyDescent="0.35">
      <c r="A77" s="62" t="s">
        <v>136</v>
      </c>
      <c r="B77" s="63">
        <v>28644</v>
      </c>
      <c r="C77" s="63" t="s">
        <v>137</v>
      </c>
      <c r="D77" s="64">
        <v>42627</v>
      </c>
      <c r="E77" s="63" t="s">
        <v>138</v>
      </c>
      <c r="F77" s="65">
        <v>47103</v>
      </c>
      <c r="G77" s="66">
        <v>1.48267898383372E-2</v>
      </c>
      <c r="H77" s="65">
        <v>576</v>
      </c>
      <c r="I77" s="67">
        <v>1.17838007081706</v>
      </c>
      <c r="J77" s="67">
        <v>17.4715936596895</v>
      </c>
      <c r="K77" s="65">
        <v>51</v>
      </c>
      <c r="L77" s="65">
        <v>48</v>
      </c>
      <c r="M77" s="66">
        <v>9.0342679127725894E-2</v>
      </c>
      <c r="N77" s="67">
        <v>2371.0907787145002</v>
      </c>
      <c r="O77" s="67">
        <v>81.761750990155306</v>
      </c>
      <c r="P77" s="67">
        <v>378.26000273227697</v>
      </c>
      <c r="Q77" s="68">
        <v>0.15952995394691399</v>
      </c>
    </row>
    <row r="78" spans="1:17" x14ac:dyDescent="0.35">
      <c r="A78" s="62" t="s">
        <v>136</v>
      </c>
      <c r="B78" s="63">
        <v>28644</v>
      </c>
      <c r="C78" s="63" t="s">
        <v>137</v>
      </c>
      <c r="D78" s="64">
        <v>42628</v>
      </c>
      <c r="E78" s="63" t="s">
        <v>138</v>
      </c>
      <c r="F78" s="65">
        <v>68185</v>
      </c>
      <c r="G78" s="66">
        <v>1.65273465488417E-2</v>
      </c>
      <c r="H78" s="65">
        <v>257</v>
      </c>
      <c r="I78" s="67">
        <v>1.2100000767349499</v>
      </c>
      <c r="J78" s="67">
        <v>19.9980905923235</v>
      </c>
      <c r="K78" s="65">
        <v>72</v>
      </c>
      <c r="L78" s="65">
        <v>24</v>
      </c>
      <c r="M78" s="66">
        <v>3.17919075144509E-2</v>
      </c>
      <c r="N78" s="67">
        <v>1287.9442846935899</v>
      </c>
      <c r="O78" s="67">
        <v>117.085844063054</v>
      </c>
      <c r="P78" s="67">
        <v>418.66002655029303</v>
      </c>
      <c r="Q78" s="68">
        <v>0.32506066568702102</v>
      </c>
    </row>
    <row r="79" spans="1:17" x14ac:dyDescent="0.35">
      <c r="A79" s="62" t="s">
        <v>136</v>
      </c>
      <c r="B79" s="63">
        <v>28644</v>
      </c>
      <c r="C79" s="63" t="s">
        <v>137</v>
      </c>
      <c r="D79" s="64">
        <v>42629</v>
      </c>
      <c r="E79" s="63" t="s">
        <v>138</v>
      </c>
      <c r="F79" s="65">
        <v>270</v>
      </c>
      <c r="G79" s="66">
        <v>1.21890831524016E-2</v>
      </c>
      <c r="H79" s="65">
        <v>413</v>
      </c>
      <c r="I79" s="67">
        <v>1.2100000649690601</v>
      </c>
      <c r="J79" s="67">
        <v>14.748791406319301</v>
      </c>
      <c r="K79" s="65">
        <v>48</v>
      </c>
      <c r="L79" s="65">
        <v>47</v>
      </c>
      <c r="M79" s="66">
        <v>6.25E-2</v>
      </c>
      <c r="N79" s="67">
        <v>1625.76064976007</v>
      </c>
      <c r="O79" s="67">
        <v>81.288032488003296</v>
      </c>
      <c r="P79" s="67">
        <v>387.20002079009998</v>
      </c>
      <c r="Q79" s="68">
        <v>0.23816545248972801</v>
      </c>
    </row>
    <row r="80" spans="1:17" x14ac:dyDescent="0.35">
      <c r="A80" s="62" t="s">
        <v>136</v>
      </c>
      <c r="B80" s="63">
        <v>28644</v>
      </c>
      <c r="C80" s="63" t="s">
        <v>137</v>
      </c>
      <c r="D80" s="64">
        <v>42630</v>
      </c>
      <c r="E80" s="63" t="s">
        <v>138</v>
      </c>
      <c r="F80" s="65">
        <v>56377</v>
      </c>
      <c r="G80" s="66">
        <v>1.04822416771587E-2</v>
      </c>
      <c r="H80" s="65">
        <v>506</v>
      </c>
      <c r="I80" s="67">
        <v>1.17329607595945</v>
      </c>
      <c r="J80" s="67">
        <v>12.298773027068799</v>
      </c>
      <c r="K80" s="65">
        <v>69</v>
      </c>
      <c r="L80" s="65">
        <v>27</v>
      </c>
      <c r="M80" s="66">
        <v>4.4692737430167599E-2</v>
      </c>
      <c r="N80" s="67">
        <v>1522.6210222346001</v>
      </c>
      <c r="O80" s="67">
        <v>95.163813889662705</v>
      </c>
      <c r="P80" s="67">
        <v>420.03999519348099</v>
      </c>
      <c r="Q80" s="68">
        <v>0.27586640999940298</v>
      </c>
    </row>
    <row r="81" spans="1:17" x14ac:dyDescent="0.35">
      <c r="A81" s="62" t="s">
        <v>136</v>
      </c>
      <c r="B81" s="63">
        <v>28644</v>
      </c>
      <c r="C81" s="63" t="s">
        <v>137</v>
      </c>
      <c r="D81" s="64">
        <v>42631</v>
      </c>
      <c r="E81" s="63" t="s">
        <v>138</v>
      </c>
      <c r="F81" s="65">
        <v>65575</v>
      </c>
      <c r="G81" s="66">
        <v>1.21352657004831E-2</v>
      </c>
      <c r="H81" s="65">
        <v>249</v>
      </c>
      <c r="I81" s="67">
        <v>1.1509554002694999</v>
      </c>
      <c r="J81" s="67">
        <v>13.9671495916763</v>
      </c>
      <c r="K81" s="65">
        <v>96</v>
      </c>
      <c r="L81" s="65">
        <v>22</v>
      </c>
      <c r="M81" s="66">
        <v>4.1401273885350302E-2</v>
      </c>
      <c r="N81" s="67">
        <v>2447.3057588852598</v>
      </c>
      <c r="O81" s="67">
        <v>188.25428914502001</v>
      </c>
      <c r="P81" s="67">
        <v>361.399995684624</v>
      </c>
      <c r="Q81" s="68">
        <v>0.14767259643488101</v>
      </c>
    </row>
    <row r="82" spans="1:17" x14ac:dyDescent="0.35">
      <c r="A82" s="62" t="s">
        <v>136</v>
      </c>
      <c r="B82" s="63">
        <v>28644</v>
      </c>
      <c r="C82" s="63" t="s">
        <v>137</v>
      </c>
      <c r="D82" s="64">
        <v>42632</v>
      </c>
      <c r="E82" s="63" t="s">
        <v>138</v>
      </c>
      <c r="F82" s="65">
        <v>35450</v>
      </c>
      <c r="G82" s="66">
        <v>1.1212805578667899E-2</v>
      </c>
      <c r="H82" s="65">
        <v>337</v>
      </c>
      <c r="I82" s="67">
        <v>1.1499999993260299</v>
      </c>
      <c r="J82" s="67">
        <v>12.894726407911</v>
      </c>
      <c r="K82" s="65">
        <v>49</v>
      </c>
      <c r="L82" s="65">
        <v>30</v>
      </c>
      <c r="M82" s="66">
        <v>4.9469964664311E-2</v>
      </c>
      <c r="N82" s="67">
        <v>1443.2049125619601</v>
      </c>
      <c r="O82" s="67">
        <v>103.086065182997</v>
      </c>
      <c r="P82" s="67">
        <v>325.44999980926502</v>
      </c>
      <c r="Q82" s="68">
        <v>0.22550505266194701</v>
      </c>
    </row>
    <row r="83" spans="1:17" x14ac:dyDescent="0.35">
      <c r="A83" s="62" t="s">
        <v>136</v>
      </c>
      <c r="B83" s="63">
        <v>28644</v>
      </c>
      <c r="C83" s="63" t="s">
        <v>137</v>
      </c>
      <c r="D83" s="64">
        <v>42633</v>
      </c>
      <c r="E83" s="63" t="s">
        <v>138</v>
      </c>
      <c r="F83" s="65">
        <v>14057</v>
      </c>
      <c r="G83" s="66">
        <v>1.07257278172447E-2</v>
      </c>
      <c r="H83" s="65">
        <v>488</v>
      </c>
      <c r="I83" s="67">
        <v>1.1499999869953501</v>
      </c>
      <c r="J83" s="67">
        <v>12.334586850347099</v>
      </c>
      <c r="K83" s="65">
        <v>29</v>
      </c>
      <c r="L83" s="65">
        <v>25</v>
      </c>
      <c r="M83" s="66">
        <v>5.62770562770563E-2</v>
      </c>
      <c r="N83" s="67">
        <v>951.40669267847704</v>
      </c>
      <c r="O83" s="67">
        <v>73.185130206036703</v>
      </c>
      <c r="P83" s="67">
        <v>265.64999699592602</v>
      </c>
      <c r="Q83" s="68">
        <v>0.27921812936594598</v>
      </c>
    </row>
    <row r="84" spans="1:17" x14ac:dyDescent="0.35">
      <c r="A84" s="62" t="s">
        <v>136</v>
      </c>
      <c r="B84" s="63">
        <v>28644</v>
      </c>
      <c r="C84" s="63" t="s">
        <v>137</v>
      </c>
      <c r="D84" s="64">
        <v>42634</v>
      </c>
      <c r="E84" s="63" t="s">
        <v>138</v>
      </c>
      <c r="F84" s="65">
        <v>32697</v>
      </c>
      <c r="G84" s="66">
        <v>1.4026026634259999E-2</v>
      </c>
      <c r="H84" s="65">
        <v>206</v>
      </c>
      <c r="I84" s="67">
        <v>1.14999997443671</v>
      </c>
      <c r="J84" s="67">
        <v>16.129930270847499</v>
      </c>
      <c r="K84" s="65">
        <v>10</v>
      </c>
      <c r="L84" s="65">
        <v>29</v>
      </c>
      <c r="M84" s="66">
        <v>5.0541516245487403E-2</v>
      </c>
      <c r="N84" s="67">
        <v>1195.34481811254</v>
      </c>
      <c r="O84" s="67">
        <v>85.381772722324499</v>
      </c>
      <c r="P84" s="67">
        <v>318.54999291896797</v>
      </c>
      <c r="Q84" s="68">
        <v>0.26649213523338</v>
      </c>
    </row>
    <row r="85" spans="1:17" x14ac:dyDescent="0.35">
      <c r="A85" s="62" t="s">
        <v>136</v>
      </c>
      <c r="B85" s="63">
        <v>28644</v>
      </c>
      <c r="C85" s="63" t="s">
        <v>137</v>
      </c>
      <c r="D85" s="64">
        <v>42635</v>
      </c>
      <c r="E85" s="63" t="s">
        <v>138</v>
      </c>
      <c r="F85" s="65">
        <v>47286</v>
      </c>
      <c r="G85" s="66">
        <v>1.18810786914235E-2</v>
      </c>
      <c r="H85" s="65">
        <v>256</v>
      </c>
      <c r="I85" s="67">
        <v>1.1499999384547399</v>
      </c>
      <c r="J85" s="67">
        <v>13.663239763912999</v>
      </c>
      <c r="K85" s="65">
        <v>36</v>
      </c>
      <c r="L85" s="65">
        <v>31</v>
      </c>
      <c r="M85" s="66">
        <v>6.0465116279069801E-2</v>
      </c>
      <c r="N85" s="67">
        <v>1494.4880554753599</v>
      </c>
      <c r="O85" s="67">
        <v>114.96061965195101</v>
      </c>
      <c r="P85" s="67">
        <v>247.249986767769</v>
      </c>
      <c r="Q85" s="68">
        <v>0.16544125987619501</v>
      </c>
    </row>
    <row r="86" spans="1:17" x14ac:dyDescent="0.35">
      <c r="A86" s="62" t="s">
        <v>136</v>
      </c>
      <c r="B86" s="63">
        <v>28644</v>
      </c>
      <c r="C86" s="63" t="s">
        <v>137</v>
      </c>
      <c r="D86" s="64">
        <v>42636</v>
      </c>
      <c r="E86" s="63" t="s">
        <v>138</v>
      </c>
      <c r="F86" s="65">
        <v>2961</v>
      </c>
      <c r="G86" s="66">
        <v>1.1856564488143401E-2</v>
      </c>
      <c r="H86" s="65">
        <v>488</v>
      </c>
      <c r="I86" s="67">
        <v>1.14999997421978</v>
      </c>
      <c r="J86" s="67">
        <v>13.6350488557001</v>
      </c>
      <c r="K86" s="65">
        <v>9</v>
      </c>
      <c r="L86" s="65">
        <v>56</v>
      </c>
      <c r="M86" s="66">
        <v>0.105691056910569</v>
      </c>
      <c r="N86" s="67">
        <v>2126.59842375673</v>
      </c>
      <c r="O86" s="67">
        <v>81.792247067566507</v>
      </c>
      <c r="P86" s="67">
        <v>282.89999365806602</v>
      </c>
      <c r="Q86" s="68">
        <v>0.13302934418540099</v>
      </c>
    </row>
    <row r="87" spans="1:17" x14ac:dyDescent="0.35">
      <c r="A87" s="62" t="s">
        <v>136</v>
      </c>
      <c r="B87" s="63">
        <v>28644</v>
      </c>
      <c r="C87" s="63" t="s">
        <v>137</v>
      </c>
      <c r="D87" s="64">
        <v>42637</v>
      </c>
      <c r="E87" s="63" t="s">
        <v>138</v>
      </c>
      <c r="F87" s="65">
        <v>20247</v>
      </c>
      <c r="G87" s="66">
        <v>1.1408199643493801E-2</v>
      </c>
      <c r="H87" s="65">
        <v>343</v>
      </c>
      <c r="I87" s="67">
        <v>1.1500000213272901</v>
      </c>
      <c r="J87" s="67">
        <v>13.1194298333238</v>
      </c>
      <c r="K87" s="65">
        <v>58</v>
      </c>
      <c r="L87" s="65">
        <v>26</v>
      </c>
      <c r="M87" s="66">
        <v>5.46875E-2</v>
      </c>
      <c r="N87" s="67">
        <v>1780.27167060785</v>
      </c>
      <c r="O87" s="67">
        <v>127.162262186275</v>
      </c>
      <c r="P87" s="67">
        <v>294.40000545978501</v>
      </c>
      <c r="Q87" s="68">
        <v>0.165368022375633</v>
      </c>
    </row>
    <row r="88" spans="1:17" x14ac:dyDescent="0.35">
      <c r="A88" s="62" t="s">
        <v>136</v>
      </c>
      <c r="B88" s="63">
        <v>28644</v>
      </c>
      <c r="C88" s="63" t="s">
        <v>137</v>
      </c>
      <c r="D88" s="64">
        <v>42638</v>
      </c>
      <c r="E88" s="63" t="s">
        <v>138</v>
      </c>
      <c r="F88" s="65">
        <v>61702</v>
      </c>
      <c r="G88" s="66">
        <v>1.13665066936095E-2</v>
      </c>
      <c r="H88" s="65">
        <v>592</v>
      </c>
      <c r="I88" s="67">
        <v>1.11488887310028</v>
      </c>
      <c r="J88" s="67">
        <v>12.672391838725099</v>
      </c>
      <c r="K88" s="65">
        <v>42</v>
      </c>
      <c r="L88" s="65">
        <v>29</v>
      </c>
      <c r="M88" s="66">
        <v>0.08</v>
      </c>
      <c r="N88" s="67">
        <v>2489.9903474130401</v>
      </c>
      <c r="O88" s="67">
        <v>138.33279707850201</v>
      </c>
      <c r="P88" s="67">
        <v>250.849996447563</v>
      </c>
      <c r="Q88" s="68">
        <v>0.100743360996633</v>
      </c>
    </row>
    <row r="89" spans="1:17" x14ac:dyDescent="0.35">
      <c r="A89" s="62" t="s">
        <v>136</v>
      </c>
      <c r="B89" s="63">
        <v>28644</v>
      </c>
      <c r="C89" s="63" t="s">
        <v>137</v>
      </c>
      <c r="D89" s="64">
        <v>42639</v>
      </c>
      <c r="E89" s="63" t="s">
        <v>138</v>
      </c>
      <c r="F89" s="65">
        <v>33091</v>
      </c>
      <c r="G89" s="66">
        <v>1.3146447559207301E-2</v>
      </c>
      <c r="H89" s="65">
        <v>272</v>
      </c>
      <c r="I89" s="67">
        <v>1.10147065713125</v>
      </c>
      <c r="J89" s="67">
        <v>14.4804262319816</v>
      </c>
      <c r="K89" s="65">
        <v>78</v>
      </c>
      <c r="L89" s="65">
        <v>30</v>
      </c>
      <c r="M89" s="66">
        <v>5.5147058823529403E-2</v>
      </c>
      <c r="N89" s="67">
        <v>2109.40126788628</v>
      </c>
      <c r="O89" s="67">
        <v>140.62675119241899</v>
      </c>
      <c r="P89" s="67">
        <v>299.60001873969998</v>
      </c>
      <c r="Q89" s="68">
        <v>0.14203083277745199</v>
      </c>
    </row>
    <row r="90" spans="1:17" x14ac:dyDescent="0.35">
      <c r="A90" s="62" t="s">
        <v>136</v>
      </c>
      <c r="B90" s="63">
        <v>28644</v>
      </c>
      <c r="C90" s="63" t="s">
        <v>137</v>
      </c>
      <c r="D90" s="64">
        <v>42640</v>
      </c>
      <c r="E90" s="63" t="s">
        <v>138</v>
      </c>
      <c r="F90" s="65">
        <v>48779</v>
      </c>
      <c r="G90" s="66">
        <v>1.21838371375694E-2</v>
      </c>
      <c r="H90" s="65">
        <v>160</v>
      </c>
      <c r="I90" s="67">
        <v>1.10000005452442</v>
      </c>
      <c r="J90" s="67">
        <v>13.402221515642999</v>
      </c>
      <c r="K90" s="65">
        <v>59</v>
      </c>
      <c r="L90" s="65">
        <v>21</v>
      </c>
      <c r="M90" s="66">
        <v>3.37552742616034E-2</v>
      </c>
      <c r="N90" s="67">
        <v>687.62678561339703</v>
      </c>
      <c r="O90" s="67">
        <v>85.9533482016747</v>
      </c>
      <c r="P90" s="67">
        <v>260.70001292228699</v>
      </c>
      <c r="Q90" s="68">
        <v>0.37913010894875898</v>
      </c>
    </row>
    <row r="91" spans="1:17" x14ac:dyDescent="0.35">
      <c r="A91" s="62" t="s">
        <v>136</v>
      </c>
      <c r="B91" s="63">
        <v>28644</v>
      </c>
      <c r="C91" s="63" t="s">
        <v>137</v>
      </c>
      <c r="D91" s="64">
        <v>42641</v>
      </c>
      <c r="E91" s="63" t="s">
        <v>138</v>
      </c>
      <c r="F91" s="65">
        <v>34191</v>
      </c>
      <c r="G91" s="66">
        <v>1.51987529228371E-2</v>
      </c>
      <c r="H91" s="65">
        <v>367</v>
      </c>
      <c r="I91" s="67">
        <v>1.1326007546086001</v>
      </c>
      <c r="J91" s="67">
        <v>17.214119029515</v>
      </c>
      <c r="K91" s="65">
        <v>19</v>
      </c>
      <c r="L91" s="65">
        <v>30</v>
      </c>
      <c r="M91" s="66">
        <v>6.5934065934065894E-2</v>
      </c>
      <c r="N91" s="67">
        <v>1911.36780108122</v>
      </c>
      <c r="O91" s="67">
        <v>106.187100060068</v>
      </c>
      <c r="P91" s="67">
        <v>309.20000600814802</v>
      </c>
      <c r="Q91" s="68">
        <v>0.161768972896394</v>
      </c>
    </row>
    <row r="92" spans="1:17" x14ac:dyDescent="0.35">
      <c r="A92" s="62" t="s">
        <v>136</v>
      </c>
      <c r="B92" s="63">
        <v>28644</v>
      </c>
      <c r="C92" s="63" t="s">
        <v>137</v>
      </c>
      <c r="D92" s="64">
        <v>42642</v>
      </c>
      <c r="E92" s="63" t="s">
        <v>138</v>
      </c>
      <c r="F92" s="65">
        <v>58529</v>
      </c>
      <c r="G92" s="66">
        <v>1.53605204505753E-2</v>
      </c>
      <c r="H92" s="65">
        <v>162</v>
      </c>
      <c r="I92" s="67">
        <v>1.1490195811963499</v>
      </c>
      <c r="J92" s="67">
        <v>17.649538775078</v>
      </c>
      <c r="K92" s="65">
        <v>13</v>
      </c>
      <c r="L92" s="65">
        <v>25</v>
      </c>
      <c r="M92" s="66">
        <v>5.0980392156862703E-2</v>
      </c>
      <c r="N92" s="67">
        <v>2297.42486006537</v>
      </c>
      <c r="O92" s="67">
        <v>176.72498923579801</v>
      </c>
      <c r="P92" s="67">
        <v>292.99999320507101</v>
      </c>
      <c r="Q92" s="68">
        <v>0.12753409188613599</v>
      </c>
    </row>
    <row r="93" spans="1:17" x14ac:dyDescent="0.35">
      <c r="A93" s="62" t="s">
        <v>136</v>
      </c>
      <c r="B93" s="63">
        <v>28644</v>
      </c>
      <c r="C93" s="63" t="s">
        <v>137</v>
      </c>
      <c r="D93" s="64">
        <v>42643</v>
      </c>
      <c r="E93" s="63" t="s">
        <v>138</v>
      </c>
      <c r="F93" s="65">
        <v>18254</v>
      </c>
      <c r="G93" s="66">
        <v>1.45964233929435E-2</v>
      </c>
      <c r="H93" s="65">
        <v>547</v>
      </c>
      <c r="I93" s="67">
        <v>1.1495032665745299</v>
      </c>
      <c r="J93" s="67">
        <v>16.778636370493398</v>
      </c>
      <c r="K93" s="65">
        <v>90</v>
      </c>
      <c r="L93" s="65">
        <v>32</v>
      </c>
      <c r="M93" s="66">
        <v>5.2980132450331098E-2</v>
      </c>
      <c r="N93" s="67">
        <v>1641.94377707745</v>
      </c>
      <c r="O93" s="67">
        <v>102.621486067341</v>
      </c>
      <c r="P93" s="67">
        <v>347.14998650550802</v>
      </c>
      <c r="Q93" s="68">
        <v>0.211426232342383</v>
      </c>
    </row>
    <row r="94" spans="1:17" x14ac:dyDescent="0.35">
      <c r="A94" s="62" t="s">
        <v>136</v>
      </c>
      <c r="B94" s="63">
        <v>28644</v>
      </c>
      <c r="C94" s="63" t="s">
        <v>137</v>
      </c>
      <c r="D94" s="64">
        <v>42644</v>
      </c>
      <c r="E94" s="63" t="s">
        <v>138</v>
      </c>
      <c r="F94" s="65">
        <v>67524</v>
      </c>
      <c r="G94" s="66">
        <v>1.20500247082526E-2</v>
      </c>
      <c r="H94" s="65">
        <v>190</v>
      </c>
      <c r="I94" s="67">
        <v>1.14968452280628</v>
      </c>
      <c r="J94" s="67">
        <v>13.8537269065112</v>
      </c>
      <c r="K94" s="65">
        <v>42</v>
      </c>
      <c r="L94" s="65">
        <v>37</v>
      </c>
      <c r="M94" s="66">
        <v>3.7854889589905398E-2</v>
      </c>
      <c r="N94" s="67">
        <v>1263.0346209895899</v>
      </c>
      <c r="O94" s="67">
        <v>105.25288508246599</v>
      </c>
      <c r="P94" s="67">
        <v>364.44999372959097</v>
      </c>
      <c r="Q94" s="68">
        <v>0.28855107189702001</v>
      </c>
    </row>
    <row r="95" spans="1:17" x14ac:dyDescent="0.35">
      <c r="A95" s="62" t="s">
        <v>136</v>
      </c>
      <c r="B95" s="63">
        <v>28644</v>
      </c>
      <c r="C95" s="63" t="s">
        <v>137</v>
      </c>
      <c r="D95" s="64">
        <v>42645</v>
      </c>
      <c r="E95" s="63" t="s">
        <v>138</v>
      </c>
      <c r="F95" s="65">
        <v>17620</v>
      </c>
      <c r="G95" s="66">
        <v>1.11304718893354E-2</v>
      </c>
      <c r="H95" s="65">
        <v>204</v>
      </c>
      <c r="I95" s="67">
        <v>1.14968047088708</v>
      </c>
      <c r="J95" s="67">
        <v>12.796486162926501</v>
      </c>
      <c r="K95" s="65">
        <v>21</v>
      </c>
      <c r="L95" s="65">
        <v>32</v>
      </c>
      <c r="M95" s="66">
        <v>7.0287539936102206E-2</v>
      </c>
      <c r="N95" s="67">
        <v>1733.0770131849699</v>
      </c>
      <c r="O95" s="67">
        <v>78.776227872044302</v>
      </c>
      <c r="P95" s="67">
        <v>359.84998738765699</v>
      </c>
      <c r="Q95" s="68">
        <v>0.20763646661399099</v>
      </c>
    </row>
    <row r="96" spans="1:17" x14ac:dyDescent="0.35">
      <c r="A96" s="62" t="s">
        <v>136</v>
      </c>
      <c r="B96" s="63">
        <v>28644</v>
      </c>
      <c r="C96" s="63" t="s">
        <v>137</v>
      </c>
      <c r="D96" s="64">
        <v>42646</v>
      </c>
      <c r="E96" s="63" t="s">
        <v>138</v>
      </c>
      <c r="F96" s="65">
        <v>58853</v>
      </c>
      <c r="G96" s="66">
        <v>1.0864841373315901E-2</v>
      </c>
      <c r="H96" s="65">
        <v>278</v>
      </c>
      <c r="I96" s="67">
        <v>1.1499999968210901</v>
      </c>
      <c r="J96" s="67">
        <v>12.494567544774901</v>
      </c>
      <c r="K96" s="65">
        <v>71</v>
      </c>
      <c r="L96" s="65">
        <v>19</v>
      </c>
      <c r="M96" s="66">
        <v>2.33333333333333E-2</v>
      </c>
      <c r="N96" s="67">
        <v>998.93957618775403</v>
      </c>
      <c r="O96" s="67">
        <v>142.70565374110799</v>
      </c>
      <c r="P96" s="67">
        <v>344.99999904632602</v>
      </c>
      <c r="Q96" s="68">
        <v>0.34536623362440699</v>
      </c>
    </row>
    <row r="97" spans="1:17" x14ac:dyDescent="0.35">
      <c r="A97" s="62" t="s">
        <v>136</v>
      </c>
      <c r="B97" s="63">
        <v>28644</v>
      </c>
      <c r="C97" s="63" t="s">
        <v>137</v>
      </c>
      <c r="D97" s="64">
        <v>42647</v>
      </c>
      <c r="E97" s="63" t="s">
        <v>138</v>
      </c>
      <c r="F97" s="65">
        <v>30486</v>
      </c>
      <c r="G97" s="66">
        <v>9.7101310628527702E-3</v>
      </c>
      <c r="H97" s="65">
        <v>364</v>
      </c>
      <c r="I97" s="67">
        <v>1.0545320387544299</v>
      </c>
      <c r="J97" s="67">
        <v>10.2396443062829</v>
      </c>
      <c r="K97" s="65">
        <v>34</v>
      </c>
      <c r="L97" s="65">
        <v>29</v>
      </c>
      <c r="M97" s="66">
        <v>6.4039408866995107E-2</v>
      </c>
      <c r="N97" s="67">
        <v>943.708045611579</v>
      </c>
      <c r="O97" s="67">
        <v>72.592926585506106</v>
      </c>
      <c r="P97" s="67">
        <v>214.07000386714901</v>
      </c>
      <c r="Q97" s="68">
        <v>0.22683922730405401</v>
      </c>
    </row>
    <row r="98" spans="1:17" x14ac:dyDescent="0.35">
      <c r="A98" s="62" t="s">
        <v>136</v>
      </c>
      <c r="B98" s="63">
        <v>28644</v>
      </c>
      <c r="C98" s="63" t="s">
        <v>137</v>
      </c>
      <c r="D98" s="64">
        <v>42648</v>
      </c>
      <c r="E98" s="63" t="s">
        <v>138</v>
      </c>
      <c r="F98" s="65">
        <v>49940</v>
      </c>
      <c r="G98" s="66">
        <v>1.12783983595057E-2</v>
      </c>
      <c r="H98" s="65">
        <v>494</v>
      </c>
      <c r="I98" s="67">
        <v>0.990574172809364</v>
      </c>
      <c r="J98" s="67">
        <v>11.1720901255818</v>
      </c>
      <c r="K98" s="65">
        <v>44</v>
      </c>
      <c r="L98" s="65">
        <v>28</v>
      </c>
      <c r="M98" s="66">
        <v>5.2631578947368397E-2</v>
      </c>
      <c r="N98" s="67">
        <v>667.99224497531202</v>
      </c>
      <c r="O98" s="67">
        <v>60.726567725028303</v>
      </c>
      <c r="P98" s="67">
        <v>207.03000211715701</v>
      </c>
      <c r="Q98" s="68">
        <v>0.30992875093154498</v>
      </c>
    </row>
    <row r="99" spans="1:17" x14ac:dyDescent="0.35">
      <c r="A99" s="62" t="s">
        <v>136</v>
      </c>
      <c r="B99" s="63">
        <v>28644</v>
      </c>
      <c r="C99" s="63" t="s">
        <v>137</v>
      </c>
      <c r="D99" s="64">
        <v>42649</v>
      </c>
      <c r="E99" s="63" t="s">
        <v>138</v>
      </c>
      <c r="F99" s="65">
        <v>12646</v>
      </c>
      <c r="G99" s="66">
        <v>1.1848341232227499E-2</v>
      </c>
      <c r="H99" s="65">
        <v>164</v>
      </c>
      <c r="I99" s="67">
        <v>0.98091894355980103</v>
      </c>
      <c r="J99" s="67">
        <v>11.622262364452601</v>
      </c>
      <c r="K99" s="65">
        <v>65</v>
      </c>
      <c r="L99" s="65">
        <v>30</v>
      </c>
      <c r="M99" s="66">
        <v>7.5675675675675694E-2</v>
      </c>
      <c r="N99" s="67">
        <v>1636.0734688093701</v>
      </c>
      <c r="O99" s="67">
        <v>116.86239062924101</v>
      </c>
      <c r="P99" s="67">
        <v>181.47000455856301</v>
      </c>
      <c r="Q99" s="68">
        <v>0.110918004611752</v>
      </c>
    </row>
    <row r="100" spans="1:17" x14ac:dyDescent="0.35">
      <c r="A100" s="62" t="s">
        <v>136</v>
      </c>
      <c r="B100" s="63">
        <v>28644</v>
      </c>
      <c r="C100" s="63" t="s">
        <v>137</v>
      </c>
      <c r="D100" s="64">
        <v>42650</v>
      </c>
      <c r="E100" s="63" t="s">
        <v>138</v>
      </c>
      <c r="F100" s="65">
        <v>58675</v>
      </c>
      <c r="G100" s="66">
        <v>1.25497706768812E-2</v>
      </c>
      <c r="H100" s="65">
        <v>566</v>
      </c>
      <c r="I100" s="67">
        <v>0.98068272923848698</v>
      </c>
      <c r="J100" s="67">
        <v>12.307343358721001</v>
      </c>
      <c r="K100" s="65">
        <v>69</v>
      </c>
      <c r="L100" s="65">
        <v>50</v>
      </c>
      <c r="M100" s="66">
        <v>8.4337349397590397E-2</v>
      </c>
      <c r="N100" s="67">
        <v>1693.3112415840999</v>
      </c>
      <c r="O100" s="67">
        <v>80.6338686468617</v>
      </c>
      <c r="P100" s="67">
        <v>244.18999958038299</v>
      </c>
      <c r="Q100" s="68">
        <v>0.14420857405514101</v>
      </c>
    </row>
    <row r="101" spans="1:17" x14ac:dyDescent="0.35">
      <c r="A101" s="62" t="s">
        <v>136</v>
      </c>
      <c r="B101" s="63">
        <v>28644</v>
      </c>
      <c r="C101" s="63" t="s">
        <v>137</v>
      </c>
      <c r="D101" s="64">
        <v>42651</v>
      </c>
      <c r="E101" s="63" t="s">
        <v>138</v>
      </c>
      <c r="F101" s="65">
        <v>14252</v>
      </c>
      <c r="G101" s="66">
        <v>1.04142451996839E-2</v>
      </c>
      <c r="H101" s="65">
        <v>231</v>
      </c>
      <c r="I101" s="67">
        <v>0.98075892456940195</v>
      </c>
      <c r="J101" s="67">
        <v>10.213863922244</v>
      </c>
      <c r="K101" s="65">
        <v>90</v>
      </c>
      <c r="L101" s="65">
        <v>34</v>
      </c>
      <c r="M101" s="66">
        <v>6.6964285714285698E-2</v>
      </c>
      <c r="N101" s="67">
        <v>1562.91978188141</v>
      </c>
      <c r="O101" s="67">
        <v>104.194652125427</v>
      </c>
      <c r="P101" s="67">
        <v>219.689999103546</v>
      </c>
      <c r="Q101" s="68">
        <v>0.140563835489425</v>
      </c>
    </row>
    <row r="102" spans="1:17" x14ac:dyDescent="0.35">
      <c r="A102" s="62" t="s">
        <v>136</v>
      </c>
      <c r="B102" s="63">
        <v>28644</v>
      </c>
      <c r="C102" s="63" t="s">
        <v>137</v>
      </c>
      <c r="D102" s="64">
        <v>42652</v>
      </c>
      <c r="E102" s="63" t="s">
        <v>138</v>
      </c>
      <c r="F102" s="65">
        <v>22743</v>
      </c>
      <c r="G102" s="66">
        <v>1.10709762161655E-2</v>
      </c>
      <c r="H102" s="65">
        <v>160</v>
      </c>
      <c r="I102" s="67">
        <v>0.98072033211336296</v>
      </c>
      <c r="J102" s="67">
        <v>10.857531471536999</v>
      </c>
      <c r="K102" s="65">
        <v>44</v>
      </c>
      <c r="L102" s="65">
        <v>41</v>
      </c>
      <c r="M102" s="66">
        <v>0.101694915254237</v>
      </c>
      <c r="N102" s="67">
        <v>1696.5359215518999</v>
      </c>
      <c r="O102" s="67">
        <v>70.688996731328999</v>
      </c>
      <c r="P102" s="67">
        <v>231.449998378754</v>
      </c>
      <c r="Q102" s="68">
        <v>0.13642505026774601</v>
      </c>
    </row>
    <row r="103" spans="1:17" x14ac:dyDescent="0.35">
      <c r="A103" s="62" t="s">
        <v>136</v>
      </c>
      <c r="B103" s="63">
        <v>28644</v>
      </c>
      <c r="C103" s="63" t="s">
        <v>137</v>
      </c>
      <c r="D103" s="64">
        <v>42653</v>
      </c>
      <c r="E103" s="63" t="s">
        <v>138</v>
      </c>
      <c r="F103" s="65">
        <v>60871</v>
      </c>
      <c r="G103" s="66">
        <v>1.32849039705443E-2</v>
      </c>
      <c r="H103" s="65">
        <v>376</v>
      </c>
      <c r="I103" s="67">
        <v>0.99737825465112995</v>
      </c>
      <c r="J103" s="67">
        <v>13.250074335349399</v>
      </c>
      <c r="K103" s="65">
        <v>94</v>
      </c>
      <c r="L103" s="65">
        <v>23</v>
      </c>
      <c r="M103" s="66">
        <v>5.6179775280898903E-2</v>
      </c>
      <c r="N103" s="67">
        <v>1380.3906405338701</v>
      </c>
      <c r="O103" s="67">
        <v>92.026042702257897</v>
      </c>
      <c r="P103" s="67">
        <v>266.29999399185198</v>
      </c>
      <c r="Q103" s="68">
        <v>0.192916400743532</v>
      </c>
    </row>
    <row r="104" spans="1:17" x14ac:dyDescent="0.35">
      <c r="A104" s="62" t="s">
        <v>136</v>
      </c>
      <c r="B104" s="63">
        <v>28644</v>
      </c>
      <c r="C104" s="63" t="s">
        <v>137</v>
      </c>
      <c r="D104" s="64">
        <v>42654</v>
      </c>
      <c r="E104" s="63" t="s">
        <v>138</v>
      </c>
      <c r="F104" s="65">
        <v>61029</v>
      </c>
      <c r="G104" s="66">
        <v>1.10196616369456E-2</v>
      </c>
      <c r="H104" s="65">
        <v>437</v>
      </c>
      <c r="I104" s="67">
        <v>1.0186721774057701</v>
      </c>
      <c r="J104" s="67">
        <v>11.2254227139822</v>
      </c>
      <c r="K104" s="65">
        <v>66</v>
      </c>
      <c r="L104" s="65">
        <v>25</v>
      </c>
      <c r="M104" s="66">
        <v>5.39419087136929E-2</v>
      </c>
      <c r="N104" s="67">
        <v>1341.33083738595</v>
      </c>
      <c r="O104" s="67">
        <v>103.17929518353399</v>
      </c>
      <c r="P104" s="67">
        <v>245.499994754791</v>
      </c>
      <c r="Q104" s="68">
        <v>0.183027175631952</v>
      </c>
    </row>
    <row r="105" spans="1:17" x14ac:dyDescent="0.35">
      <c r="A105" s="62" t="s">
        <v>136</v>
      </c>
      <c r="B105" s="63">
        <v>28644</v>
      </c>
      <c r="C105" s="63" t="s">
        <v>137</v>
      </c>
      <c r="D105" s="64">
        <v>42655</v>
      </c>
      <c r="E105" s="63" t="s">
        <v>138</v>
      </c>
      <c r="F105" s="65">
        <v>62103</v>
      </c>
      <c r="G105" s="66">
        <v>1.19065791482216E-2</v>
      </c>
      <c r="H105" s="65">
        <v>291</v>
      </c>
      <c r="I105" s="67">
        <v>0.99876069615029905</v>
      </c>
      <c r="J105" s="67">
        <v>11.8918232788465</v>
      </c>
      <c r="K105" s="65">
        <v>92</v>
      </c>
      <c r="L105" s="65">
        <v>15</v>
      </c>
      <c r="M105" s="66">
        <v>4.2735042735042701E-2</v>
      </c>
      <c r="N105" s="67">
        <v>835.71934624163202</v>
      </c>
      <c r="O105" s="67">
        <v>83.571934624163205</v>
      </c>
      <c r="P105" s="67">
        <v>233.71000289917001</v>
      </c>
      <c r="Q105" s="68">
        <v>0.27965130154064599</v>
      </c>
    </row>
    <row r="106" spans="1:17" x14ac:dyDescent="0.35">
      <c r="A106" s="62" t="s">
        <v>136</v>
      </c>
      <c r="B106" s="63">
        <v>28644</v>
      </c>
      <c r="C106" s="63" t="s">
        <v>137</v>
      </c>
      <c r="D106" s="64">
        <v>42656</v>
      </c>
      <c r="E106" s="63" t="s">
        <v>138</v>
      </c>
      <c r="F106" s="65">
        <v>52106</v>
      </c>
      <c r="G106" s="66">
        <v>1.18503888408838E-2</v>
      </c>
      <c r="H106" s="65">
        <v>273</v>
      </c>
      <c r="I106" s="67">
        <v>0.95911460369825396</v>
      </c>
      <c r="J106" s="67">
        <v>11.3658809967945</v>
      </c>
      <c r="K106" s="65">
        <v>69</v>
      </c>
      <c r="L106" s="65">
        <v>20</v>
      </c>
      <c r="M106" s="66">
        <v>6.7708333333333301E-2</v>
      </c>
      <c r="N106" s="67">
        <v>1506.2301375495999</v>
      </c>
      <c r="O106" s="67">
        <v>115.863856734584</v>
      </c>
      <c r="P106" s="67">
        <v>184.15000391006501</v>
      </c>
      <c r="Q106" s="68">
        <v>0.122258876196468</v>
      </c>
    </row>
    <row r="107" spans="1:17" x14ac:dyDescent="0.35">
      <c r="A107" s="62" t="s">
        <v>136</v>
      </c>
      <c r="B107" s="63">
        <v>28644</v>
      </c>
      <c r="C107" s="63" t="s">
        <v>137</v>
      </c>
      <c r="D107" s="64">
        <v>42657</v>
      </c>
      <c r="E107" s="63" t="s">
        <v>138</v>
      </c>
      <c r="F107" s="65">
        <v>3529</v>
      </c>
      <c r="G107" s="66">
        <v>1.1096534382857799E-2</v>
      </c>
      <c r="H107" s="65">
        <v>225</v>
      </c>
      <c r="I107" s="67">
        <v>0.95014777530003103</v>
      </c>
      <c r="J107" s="67">
        <v>10.543347457412599</v>
      </c>
      <c r="K107" s="65">
        <v>40</v>
      </c>
      <c r="L107" s="65">
        <v>30</v>
      </c>
      <c r="M107" s="66">
        <v>8.8669950738916301E-2</v>
      </c>
      <c r="N107" s="67">
        <v>1834.79144574054</v>
      </c>
      <c r="O107" s="67">
        <v>101.932858096697</v>
      </c>
      <c r="P107" s="67">
        <v>192.87999838590599</v>
      </c>
      <c r="Q107" s="68">
        <v>0.1051236634189</v>
      </c>
    </row>
    <row r="108" spans="1:17" x14ac:dyDescent="0.35">
      <c r="A108" s="62" t="s">
        <v>136</v>
      </c>
      <c r="B108" s="63">
        <v>28644</v>
      </c>
      <c r="C108" s="63" t="s">
        <v>137</v>
      </c>
      <c r="D108" s="64">
        <v>42658</v>
      </c>
      <c r="E108" s="63" t="s">
        <v>138</v>
      </c>
      <c r="F108" s="65">
        <v>49751</v>
      </c>
      <c r="G108" s="66">
        <v>9.0629952456418392E-3</v>
      </c>
      <c r="H108" s="65">
        <v>587</v>
      </c>
      <c r="I108" s="67">
        <v>0.95114756119055799</v>
      </c>
      <c r="J108" s="67">
        <v>8.6202458249738605</v>
      </c>
      <c r="K108" s="65">
        <v>33</v>
      </c>
      <c r="L108" s="65">
        <v>28</v>
      </c>
      <c r="M108" s="66">
        <v>4.91803278688525E-2</v>
      </c>
      <c r="N108" s="67">
        <v>695.60799930743804</v>
      </c>
      <c r="O108" s="67">
        <v>77.289777700826406</v>
      </c>
      <c r="P108" s="67">
        <v>174.06000369787199</v>
      </c>
      <c r="Q108" s="68">
        <v>0.25022714498851401</v>
      </c>
    </row>
    <row r="109" spans="1:17" x14ac:dyDescent="0.35">
      <c r="A109" s="62" t="s">
        <v>136</v>
      </c>
      <c r="B109" s="63">
        <v>28644</v>
      </c>
      <c r="C109" s="63" t="s">
        <v>137</v>
      </c>
      <c r="D109" s="64">
        <v>42659</v>
      </c>
      <c r="E109" s="63" t="s">
        <v>138</v>
      </c>
      <c r="F109" s="65">
        <v>65766</v>
      </c>
      <c r="G109" s="66">
        <v>1.2539636782934601E-2</v>
      </c>
      <c r="H109" s="65">
        <v>567</v>
      </c>
      <c r="I109" s="67">
        <v>0.95000001114446997</v>
      </c>
      <c r="J109" s="67">
        <v>11.9126550835354</v>
      </c>
      <c r="K109" s="65">
        <v>94</v>
      </c>
      <c r="L109" s="65">
        <v>38</v>
      </c>
      <c r="M109" s="66">
        <v>0.10727969348659</v>
      </c>
      <c r="N109" s="67">
        <v>2088.80772730536</v>
      </c>
      <c r="O109" s="67">
        <v>74.600275975191593</v>
      </c>
      <c r="P109" s="67">
        <v>247.95000290870701</v>
      </c>
      <c r="Q109" s="68">
        <v>0.11870408159997101</v>
      </c>
    </row>
    <row r="110" spans="1:17" x14ac:dyDescent="0.35">
      <c r="A110" s="62" t="s">
        <v>136</v>
      </c>
      <c r="B110" s="63">
        <v>28644</v>
      </c>
      <c r="C110" s="63" t="s">
        <v>137</v>
      </c>
      <c r="D110" s="64">
        <v>42660</v>
      </c>
      <c r="E110" s="63" t="s">
        <v>138</v>
      </c>
      <c r="F110" s="65">
        <v>33510</v>
      </c>
      <c r="G110" s="66">
        <v>1.23387285948862E-2</v>
      </c>
      <c r="H110" s="65">
        <v>547</v>
      </c>
      <c r="I110" s="67">
        <v>0.98102664584896004</v>
      </c>
      <c r="J110" s="67">
        <v>12.1046215274819</v>
      </c>
      <c r="K110" s="65">
        <v>22</v>
      </c>
      <c r="L110" s="65">
        <v>18</v>
      </c>
      <c r="M110" s="66">
        <v>4.1825095057034203E-2</v>
      </c>
      <c r="N110" s="67">
        <v>1249.6599168396499</v>
      </c>
      <c r="O110" s="67">
        <v>113.605446985423</v>
      </c>
      <c r="P110" s="67">
        <v>258.01000785827603</v>
      </c>
      <c r="Q110" s="68">
        <v>0.20646417827881899</v>
      </c>
    </row>
    <row r="111" spans="1:17" x14ac:dyDescent="0.35">
      <c r="A111" s="62" t="s">
        <v>136</v>
      </c>
      <c r="B111" s="63">
        <v>28644</v>
      </c>
      <c r="C111" s="63" t="s">
        <v>137</v>
      </c>
      <c r="D111" s="64">
        <v>42661</v>
      </c>
      <c r="E111" s="63" t="s">
        <v>138</v>
      </c>
      <c r="F111" s="65">
        <v>55648</v>
      </c>
      <c r="G111" s="66">
        <v>1.3471013733095699E-2</v>
      </c>
      <c r="H111" s="65">
        <v>506</v>
      </c>
      <c r="I111" s="67">
        <v>0.99000001417523698</v>
      </c>
      <c r="J111" s="67">
        <v>13.336303786719601</v>
      </c>
      <c r="K111" s="65">
        <v>94</v>
      </c>
      <c r="L111" s="65">
        <v>26</v>
      </c>
      <c r="M111" s="66">
        <v>5.83657587548638E-2</v>
      </c>
      <c r="N111" s="67">
        <v>923.56319771338894</v>
      </c>
      <c r="O111" s="67">
        <v>61.570879847559297</v>
      </c>
      <c r="P111" s="67">
        <v>254.430003643036</v>
      </c>
      <c r="Q111" s="68">
        <v>0.27548737787838301</v>
      </c>
    </row>
    <row r="112" spans="1:17" x14ac:dyDescent="0.35">
      <c r="A112" s="62" t="s">
        <v>136</v>
      </c>
      <c r="B112" s="63">
        <v>28644</v>
      </c>
      <c r="C112" s="63" t="s">
        <v>137</v>
      </c>
      <c r="D112" s="64">
        <v>42662</v>
      </c>
      <c r="E112" s="63" t="s">
        <v>138</v>
      </c>
      <c r="F112" s="65">
        <v>20610</v>
      </c>
      <c r="G112" s="66">
        <v>1.4831848232250601E-2</v>
      </c>
      <c r="H112" s="65">
        <v>556</v>
      </c>
      <c r="I112" s="67">
        <v>0.93368217141129295</v>
      </c>
      <c r="J112" s="67">
        <v>13.8482322635305</v>
      </c>
      <c r="K112" s="65">
        <v>45</v>
      </c>
      <c r="L112" s="65">
        <v>29</v>
      </c>
      <c r="M112" s="66">
        <v>6.2015503875968998E-2</v>
      </c>
      <c r="N112" s="67">
        <v>1912.3080628800601</v>
      </c>
      <c r="O112" s="67">
        <v>119.519253930004</v>
      </c>
      <c r="P112" s="67">
        <v>240.89000022411301</v>
      </c>
      <c r="Q112" s="68">
        <v>0.12596819775016599</v>
      </c>
    </row>
    <row r="113" spans="1:17" x14ac:dyDescent="0.35">
      <c r="A113" s="62" t="s">
        <v>136</v>
      </c>
      <c r="B113" s="63">
        <v>28644</v>
      </c>
      <c r="C113" s="63" t="s">
        <v>137</v>
      </c>
      <c r="D113" s="64">
        <v>42663</v>
      </c>
      <c r="E113" s="63" t="s">
        <v>138</v>
      </c>
      <c r="F113" s="65">
        <v>18492</v>
      </c>
      <c r="G113" s="66">
        <v>1.8660405338605999E-2</v>
      </c>
      <c r="H113" s="65">
        <v>329</v>
      </c>
      <c r="I113" s="67">
        <v>0.90298006313526102</v>
      </c>
      <c r="J113" s="67">
        <v>16.849973990784001</v>
      </c>
      <c r="K113" s="65">
        <v>63</v>
      </c>
      <c r="L113" s="65">
        <v>18</v>
      </c>
      <c r="M113" s="66">
        <v>2.6490066225165601E-2</v>
      </c>
      <c r="N113" s="67">
        <v>816.365333360259</v>
      </c>
      <c r="O113" s="67">
        <v>102.04566667003201</v>
      </c>
      <c r="P113" s="67">
        <v>272.69997906684898</v>
      </c>
      <c r="Q113" s="68">
        <v>0.33404159623533097</v>
      </c>
    </row>
    <row r="114" spans="1:17" x14ac:dyDescent="0.35">
      <c r="A114" s="62" t="s">
        <v>136</v>
      </c>
      <c r="B114" s="63">
        <v>28644</v>
      </c>
      <c r="C114" s="63" t="s">
        <v>137</v>
      </c>
      <c r="D114" s="64">
        <v>42664</v>
      </c>
      <c r="E114" s="63" t="s">
        <v>138</v>
      </c>
      <c r="F114" s="65">
        <v>5361</v>
      </c>
      <c r="G114" s="66">
        <v>1.44547254062514E-2</v>
      </c>
      <c r="H114" s="65">
        <v>452</v>
      </c>
      <c r="I114" s="67">
        <v>0.90028657237435605</v>
      </c>
      <c r="J114" s="67">
        <v>13.0133951906066</v>
      </c>
      <c r="K114" s="65">
        <v>55</v>
      </c>
      <c r="L114" s="65">
        <v>35</v>
      </c>
      <c r="M114" s="66">
        <v>6.6878980891719703E-2</v>
      </c>
      <c r="N114" s="67">
        <v>2219.08531580008</v>
      </c>
      <c r="O114" s="67">
        <v>105.670729323814</v>
      </c>
      <c r="P114" s="67">
        <v>282.68998372554802</v>
      </c>
      <c r="Q114" s="68">
        <v>0.12739031785428401</v>
      </c>
    </row>
    <row r="115" spans="1:17" x14ac:dyDescent="0.35">
      <c r="A115" s="62" t="s">
        <v>136</v>
      </c>
      <c r="B115" s="63">
        <v>28644</v>
      </c>
      <c r="C115" s="63" t="s">
        <v>137</v>
      </c>
      <c r="D115" s="64">
        <v>42665</v>
      </c>
      <c r="E115" s="63" t="s">
        <v>138</v>
      </c>
      <c r="F115" s="65">
        <v>41251</v>
      </c>
      <c r="G115" s="66">
        <v>1.30501742725136E-2</v>
      </c>
      <c r="H115" s="65">
        <v>511</v>
      </c>
      <c r="I115" s="67">
        <v>0.90027948936320201</v>
      </c>
      <c r="J115" s="67">
        <v>11.748804230159299</v>
      </c>
      <c r="K115" s="65">
        <v>78</v>
      </c>
      <c r="L115" s="65">
        <v>28</v>
      </c>
      <c r="M115" s="66">
        <v>5.9006211180124203E-2</v>
      </c>
      <c r="N115" s="67">
        <v>1836.9092027725501</v>
      </c>
      <c r="O115" s="67">
        <v>96.679431724871307</v>
      </c>
      <c r="P115" s="67">
        <v>289.889995574951</v>
      </c>
      <c r="Q115" s="68">
        <v>0.157814003619451</v>
      </c>
    </row>
    <row r="116" spans="1:17" x14ac:dyDescent="0.35">
      <c r="A116" s="62" t="s">
        <v>136</v>
      </c>
      <c r="B116" s="63">
        <v>28644</v>
      </c>
      <c r="C116" s="63" t="s">
        <v>137</v>
      </c>
      <c r="D116" s="64">
        <v>42666</v>
      </c>
      <c r="E116" s="63" t="s">
        <v>138</v>
      </c>
      <c r="F116" s="65">
        <v>66168</v>
      </c>
      <c r="G116" s="66">
        <v>1.54204904468181E-2</v>
      </c>
      <c r="H116" s="65">
        <v>244</v>
      </c>
      <c r="I116" s="67">
        <v>0.89999998284549199</v>
      </c>
      <c r="J116" s="67">
        <v>13.8784411376054</v>
      </c>
      <c r="K116" s="65">
        <v>79</v>
      </c>
      <c r="L116" s="65">
        <v>30</v>
      </c>
      <c r="M116" s="66">
        <v>3.1707317073170697E-2</v>
      </c>
      <c r="N116" s="67">
        <v>1059.8165890318501</v>
      </c>
      <c r="O116" s="67">
        <v>81.524353002449701</v>
      </c>
      <c r="P116" s="67">
        <v>368.99999296665197</v>
      </c>
      <c r="Q116" s="68">
        <v>0.348173445089907</v>
      </c>
    </row>
    <row r="117" spans="1:17" x14ac:dyDescent="0.35">
      <c r="A117" s="62" t="s">
        <v>136</v>
      </c>
      <c r="B117" s="63">
        <v>28644</v>
      </c>
      <c r="C117" s="63" t="s">
        <v>137</v>
      </c>
      <c r="D117" s="64">
        <v>42667</v>
      </c>
      <c r="E117" s="63" t="s">
        <v>138</v>
      </c>
      <c r="F117" s="65">
        <v>48897</v>
      </c>
      <c r="G117" s="66">
        <v>1.4504765851637E-2</v>
      </c>
      <c r="H117" s="65">
        <v>166</v>
      </c>
      <c r="I117" s="67">
        <v>0.89999999829701005</v>
      </c>
      <c r="J117" s="67">
        <v>13.0542892417718</v>
      </c>
      <c r="K117" s="65">
        <v>39</v>
      </c>
      <c r="L117" s="65">
        <v>33</v>
      </c>
      <c r="M117" s="66">
        <v>4.0476190476190499E-2</v>
      </c>
      <c r="N117" s="67">
        <v>2178.9065347875799</v>
      </c>
      <c r="O117" s="67">
        <v>128.17097263456401</v>
      </c>
      <c r="P117" s="67">
        <v>377.99999928474398</v>
      </c>
      <c r="Q117" s="68">
        <v>0.17348151159755701</v>
      </c>
    </row>
    <row r="118" spans="1:17" x14ac:dyDescent="0.35">
      <c r="A118" s="62" t="s">
        <v>136</v>
      </c>
      <c r="B118" s="63">
        <v>28644</v>
      </c>
      <c r="C118" s="63" t="s">
        <v>137</v>
      </c>
      <c r="D118" s="64">
        <v>42668</v>
      </c>
      <c r="E118" s="63" t="s">
        <v>138</v>
      </c>
      <c r="F118" s="65">
        <v>38631</v>
      </c>
      <c r="G118" s="66">
        <v>1.0916806406351599E-2</v>
      </c>
      <c r="H118" s="65">
        <v>375</v>
      </c>
      <c r="I118" s="67">
        <v>0.89329155261240001</v>
      </c>
      <c r="J118" s="67">
        <v>9.75189094429882</v>
      </c>
      <c r="K118" s="65">
        <v>51</v>
      </c>
      <c r="L118" s="65">
        <v>27</v>
      </c>
      <c r="M118" s="66">
        <v>2.5078369905956101E-2</v>
      </c>
      <c r="N118" s="67">
        <v>741.32245772716703</v>
      </c>
      <c r="O118" s="67">
        <v>92.665307215895893</v>
      </c>
      <c r="P118" s="67">
        <v>284.960005283356</v>
      </c>
      <c r="Q118" s="68">
        <v>0.38439413552507101</v>
      </c>
    </row>
    <row r="119" spans="1:17" x14ac:dyDescent="0.35">
      <c r="A119" s="62" t="s">
        <v>136</v>
      </c>
      <c r="B119" s="63">
        <v>28644</v>
      </c>
      <c r="C119" s="63" t="s">
        <v>137</v>
      </c>
      <c r="D119" s="64">
        <v>42669</v>
      </c>
      <c r="E119" s="63" t="s">
        <v>138</v>
      </c>
      <c r="F119" s="65">
        <v>64090</v>
      </c>
      <c r="G119" s="66">
        <v>1.03871199712357E-2</v>
      </c>
      <c r="H119" s="65">
        <v>154</v>
      </c>
      <c r="I119" s="67">
        <v>0.88092304651553799</v>
      </c>
      <c r="J119" s="67">
        <v>9.1502533695833108</v>
      </c>
      <c r="K119" s="65">
        <v>54</v>
      </c>
      <c r="L119" s="65">
        <v>34</v>
      </c>
      <c r="M119" s="66">
        <v>7.3076923076923095E-2</v>
      </c>
      <c r="N119" s="67">
        <v>2046.5907733657</v>
      </c>
      <c r="O119" s="67">
        <v>107.71530386135299</v>
      </c>
      <c r="P119" s="67">
        <v>229.03999209404</v>
      </c>
      <c r="Q119" s="68">
        <v>0.111912940815899</v>
      </c>
    </row>
    <row r="120" spans="1:17" x14ac:dyDescent="0.35">
      <c r="A120" s="62" t="s">
        <v>136</v>
      </c>
      <c r="B120" s="63">
        <v>28644</v>
      </c>
      <c r="C120" s="63" t="s">
        <v>137</v>
      </c>
      <c r="D120" s="64">
        <v>42670</v>
      </c>
      <c r="E120" s="63" t="s">
        <v>138</v>
      </c>
      <c r="F120" s="65">
        <v>67002</v>
      </c>
      <c r="G120" s="66">
        <v>1.28375977256574E-2</v>
      </c>
      <c r="H120" s="65">
        <v>227</v>
      </c>
      <c r="I120" s="67">
        <v>0.88006922076730199</v>
      </c>
      <c r="J120" s="67">
        <v>11.2979746269434</v>
      </c>
      <c r="K120" s="65">
        <v>51</v>
      </c>
      <c r="L120" s="65">
        <v>22</v>
      </c>
      <c r="M120" s="66">
        <v>4.4982698961937698E-2</v>
      </c>
      <c r="N120" s="67">
        <v>1129.63733423637</v>
      </c>
      <c r="O120" s="67">
        <v>86.895179556643797</v>
      </c>
      <c r="P120" s="67">
        <v>254.34000480175001</v>
      </c>
      <c r="Q120" s="68">
        <v>0.22515191123147801</v>
      </c>
    </row>
    <row r="121" spans="1:17" x14ac:dyDescent="0.35">
      <c r="A121" s="62" t="s">
        <v>136</v>
      </c>
      <c r="B121" s="63">
        <v>28644</v>
      </c>
      <c r="C121" s="63" t="s">
        <v>137</v>
      </c>
      <c r="D121" s="64">
        <v>42671</v>
      </c>
      <c r="E121" s="63" t="s">
        <v>138</v>
      </c>
      <c r="F121" s="65">
        <v>36347</v>
      </c>
      <c r="G121" s="66">
        <v>1.3848568065908199E-2</v>
      </c>
      <c r="H121" s="65">
        <v>262</v>
      </c>
      <c r="I121" s="67">
        <v>0.88005669360120298</v>
      </c>
      <c r="J121" s="67">
        <v>12.1875250231944</v>
      </c>
      <c r="K121" s="65">
        <v>17</v>
      </c>
      <c r="L121" s="65">
        <v>63</v>
      </c>
      <c r="M121" s="66">
        <v>9.3484419263456103E-2</v>
      </c>
      <c r="N121" s="67">
        <v>4240.4868839569999</v>
      </c>
      <c r="O121" s="67">
        <v>128.499602544152</v>
      </c>
      <c r="P121" s="67">
        <v>310.66001284122501</v>
      </c>
      <c r="Q121" s="68">
        <v>7.3260458372490705E-2</v>
      </c>
    </row>
    <row r="122" spans="1:17" x14ac:dyDescent="0.35">
      <c r="A122" s="62" t="s">
        <v>136</v>
      </c>
      <c r="B122" s="63">
        <v>28644</v>
      </c>
      <c r="C122" s="63" t="s">
        <v>137</v>
      </c>
      <c r="D122" s="64">
        <v>42672</v>
      </c>
      <c r="E122" s="63" t="s">
        <v>138</v>
      </c>
      <c r="F122" s="65">
        <v>9445</v>
      </c>
      <c r="G122" s="66">
        <v>1.5991145714067598E-2</v>
      </c>
      <c r="H122" s="65">
        <v>559</v>
      </c>
      <c r="I122" s="67">
        <v>0.87999996279759696</v>
      </c>
      <c r="J122" s="67">
        <v>14.0722076334705</v>
      </c>
      <c r="K122" s="65">
        <v>74</v>
      </c>
      <c r="L122" s="65">
        <v>56</v>
      </c>
      <c r="M122" s="66">
        <v>6.4439140811455894E-2</v>
      </c>
      <c r="N122" s="67">
        <v>2481.0806117996599</v>
      </c>
      <c r="O122" s="67">
        <v>91.891874511098706</v>
      </c>
      <c r="P122" s="67">
        <v>368.71998441219301</v>
      </c>
      <c r="Q122" s="68">
        <v>0.148612657992092</v>
      </c>
    </row>
    <row r="123" spans="1:17" x14ac:dyDescent="0.35">
      <c r="A123" s="62" t="s">
        <v>136</v>
      </c>
      <c r="B123" s="63">
        <v>28644</v>
      </c>
      <c r="C123" s="63" t="s">
        <v>137</v>
      </c>
      <c r="D123" s="64">
        <v>42673</v>
      </c>
      <c r="E123" s="63" t="s">
        <v>138</v>
      </c>
      <c r="F123" s="65">
        <v>59773</v>
      </c>
      <c r="G123" s="66">
        <v>1.69751870815282E-2</v>
      </c>
      <c r="H123" s="65">
        <v>515</v>
      </c>
      <c r="I123" s="67">
        <v>0.88018557947915599</v>
      </c>
      <c r="J123" s="67">
        <v>14.941314878121901</v>
      </c>
      <c r="K123" s="65">
        <v>38</v>
      </c>
      <c r="L123" s="65">
        <v>27</v>
      </c>
      <c r="M123" s="66">
        <v>4.1763341067285402E-2</v>
      </c>
      <c r="N123" s="67">
        <v>1610.80789212078</v>
      </c>
      <c r="O123" s="67">
        <v>89.489327340043403</v>
      </c>
      <c r="P123" s="67">
        <v>379.359984755516</v>
      </c>
      <c r="Q123" s="68">
        <v>0.23550914209642501</v>
      </c>
    </row>
    <row r="124" spans="1:17" x14ac:dyDescent="0.35">
      <c r="A124" s="62" t="s">
        <v>136</v>
      </c>
      <c r="B124" s="63">
        <v>28644</v>
      </c>
      <c r="C124" s="63" t="s">
        <v>137</v>
      </c>
      <c r="D124" s="64">
        <v>42674</v>
      </c>
      <c r="E124" s="63" t="s">
        <v>138</v>
      </c>
      <c r="F124" s="65">
        <v>65210</v>
      </c>
      <c r="G124" s="66">
        <v>1.49003418693156E-2</v>
      </c>
      <c r="H124" s="65">
        <v>426</v>
      </c>
      <c r="I124" s="67">
        <v>0.87999998955499603</v>
      </c>
      <c r="J124" s="67">
        <v>13.1123006893636</v>
      </c>
      <c r="K124" s="65">
        <v>38</v>
      </c>
      <c r="L124" s="65">
        <v>43</v>
      </c>
      <c r="M124" s="66">
        <v>5.1948051948052E-2</v>
      </c>
      <c r="N124" s="67">
        <v>2679.0448725118199</v>
      </c>
      <c r="O124" s="67">
        <v>111.62686968799299</v>
      </c>
      <c r="P124" s="67">
        <v>406.55999517440802</v>
      </c>
      <c r="Q124" s="68">
        <v>0.15175557503567499</v>
      </c>
    </row>
    <row r="125" spans="1:17" x14ac:dyDescent="0.35">
      <c r="A125" s="62" t="s">
        <v>136</v>
      </c>
      <c r="B125" s="63">
        <v>28644</v>
      </c>
      <c r="C125" s="63" t="s">
        <v>137</v>
      </c>
      <c r="D125" s="64">
        <v>42675</v>
      </c>
      <c r="E125" s="63" t="s">
        <v>138</v>
      </c>
      <c r="F125" s="65">
        <v>32720</v>
      </c>
      <c r="G125" s="66">
        <v>1.3364137195663799E-2</v>
      </c>
      <c r="H125" s="65">
        <v>479</v>
      </c>
      <c r="I125" s="67">
        <v>0.88000002027826096</v>
      </c>
      <c r="J125" s="67">
        <v>11.760441003185599</v>
      </c>
      <c r="K125" s="65">
        <v>69</v>
      </c>
      <c r="L125" s="65">
        <v>39</v>
      </c>
      <c r="M125" s="66">
        <v>7.1808510638297907E-2</v>
      </c>
      <c r="N125" s="67">
        <v>3065.8887577967098</v>
      </c>
      <c r="O125" s="67">
        <v>113.551435473952</v>
      </c>
      <c r="P125" s="67">
        <v>330.88000762462599</v>
      </c>
      <c r="Q125" s="68">
        <v>0.107923031056878</v>
      </c>
    </row>
    <row r="126" spans="1:17" x14ac:dyDescent="0.35">
      <c r="A126" s="62" t="s">
        <v>136</v>
      </c>
      <c r="B126" s="63">
        <v>28644</v>
      </c>
      <c r="C126" s="63" t="s">
        <v>137</v>
      </c>
      <c r="D126" s="64">
        <v>42676</v>
      </c>
      <c r="E126" s="63" t="s">
        <v>138</v>
      </c>
      <c r="F126" s="65">
        <v>7726</v>
      </c>
      <c r="G126" s="66">
        <v>1.1787453984308201E-2</v>
      </c>
      <c r="H126" s="65">
        <v>284</v>
      </c>
      <c r="I126" s="67">
        <v>0.87999998883870101</v>
      </c>
      <c r="J126" s="67">
        <v>10.3729593746279</v>
      </c>
      <c r="K126" s="65">
        <v>42</v>
      </c>
      <c r="L126" s="65">
        <v>38</v>
      </c>
      <c r="M126" s="66">
        <v>8.5173501577287106E-2</v>
      </c>
      <c r="N126" s="67">
        <v>2556.3717596351398</v>
      </c>
      <c r="O126" s="67">
        <v>94.680435542042204</v>
      </c>
      <c r="P126" s="67">
        <v>278.959996461868</v>
      </c>
      <c r="Q126" s="68">
        <v>0.10912340719242</v>
      </c>
    </row>
    <row r="127" spans="1:17" x14ac:dyDescent="0.35">
      <c r="A127" s="62" t="s">
        <v>136</v>
      </c>
      <c r="B127" s="63">
        <v>28644</v>
      </c>
      <c r="C127" s="63" t="s">
        <v>137</v>
      </c>
      <c r="D127" s="64">
        <v>42677</v>
      </c>
      <c r="E127" s="63" t="s">
        <v>138</v>
      </c>
      <c r="F127" s="65">
        <v>67273</v>
      </c>
      <c r="G127" s="66">
        <v>1.3314270395853801E-2</v>
      </c>
      <c r="H127" s="65">
        <v>229</v>
      </c>
      <c r="I127" s="67">
        <v>0.880000007499251</v>
      </c>
      <c r="J127" s="67">
        <v>11.716558048198401</v>
      </c>
      <c r="K127" s="65">
        <v>72</v>
      </c>
      <c r="L127" s="65">
        <v>25</v>
      </c>
      <c r="M127" s="66">
        <v>3.1319910514541402E-2</v>
      </c>
      <c r="N127" s="67">
        <v>1237.7640584957101</v>
      </c>
      <c r="O127" s="67">
        <v>88.411718463979597</v>
      </c>
      <c r="P127" s="67">
        <v>393.36000335216499</v>
      </c>
      <c r="Q127" s="68">
        <v>0.31779885726381901</v>
      </c>
    </row>
    <row r="128" spans="1:17" x14ac:dyDescent="0.35">
      <c r="A128" s="62" t="s">
        <v>136</v>
      </c>
      <c r="B128" s="63">
        <v>28644</v>
      </c>
      <c r="C128" s="63" t="s">
        <v>137</v>
      </c>
      <c r="D128" s="64">
        <v>42678</v>
      </c>
      <c r="E128" s="63" t="s">
        <v>138</v>
      </c>
      <c r="F128" s="65">
        <v>17366</v>
      </c>
      <c r="G128" s="66">
        <v>9.19603650826494E-3</v>
      </c>
      <c r="H128" s="65">
        <v>417</v>
      </c>
      <c r="I128" s="67">
        <v>0.88000001728534705</v>
      </c>
      <c r="J128" s="67">
        <v>8.0925122862298302</v>
      </c>
      <c r="K128" s="65">
        <v>76</v>
      </c>
      <c r="L128" s="65">
        <v>44</v>
      </c>
      <c r="M128" s="66">
        <v>3.2500000000000001E-2</v>
      </c>
      <c r="N128" s="67">
        <v>1025.02115626519</v>
      </c>
      <c r="O128" s="67">
        <v>78.847781251168399</v>
      </c>
      <c r="P128" s="67">
        <v>352.00000691413902</v>
      </c>
      <c r="Q128" s="68">
        <v>0.34340755287110503</v>
      </c>
    </row>
    <row r="129" spans="1:17" x14ac:dyDescent="0.35">
      <c r="A129" s="62" t="s">
        <v>136</v>
      </c>
      <c r="B129" s="63">
        <v>338793</v>
      </c>
      <c r="C129" s="63" t="s">
        <v>139</v>
      </c>
      <c r="D129" s="64">
        <v>42552</v>
      </c>
      <c r="E129" s="63" t="s">
        <v>138</v>
      </c>
      <c r="F129" s="65">
        <v>62348</v>
      </c>
      <c r="G129" s="66">
        <v>1.1061839091662201E-2</v>
      </c>
      <c r="H129" s="65">
        <v>432</v>
      </c>
      <c r="I129" s="67">
        <v>1.66929514476381</v>
      </c>
      <c r="J129" s="67">
        <v>18.465474287870201</v>
      </c>
      <c r="K129" s="65">
        <v>20</v>
      </c>
      <c r="L129" s="65">
        <v>88</v>
      </c>
      <c r="M129" s="66">
        <v>4.5521292217327501E-2</v>
      </c>
      <c r="N129" s="67">
        <v>3661.4228102771199</v>
      </c>
      <c r="O129" s="67">
        <v>118.11041323474601</v>
      </c>
      <c r="P129" s="67">
        <v>1136.7899935841599</v>
      </c>
      <c r="Q129" s="68">
        <v>0.31047766196062898</v>
      </c>
    </row>
    <row r="130" spans="1:17" x14ac:dyDescent="0.35">
      <c r="A130" s="62" t="s">
        <v>136</v>
      </c>
      <c r="B130" s="63">
        <v>338793</v>
      </c>
      <c r="C130" s="63" t="s">
        <v>139</v>
      </c>
      <c r="D130" s="64">
        <v>42553</v>
      </c>
      <c r="E130" s="63" t="s">
        <v>138</v>
      </c>
      <c r="F130" s="65">
        <v>33592</v>
      </c>
      <c r="G130" s="66">
        <v>7.9597425900192892E-3</v>
      </c>
      <c r="H130" s="65">
        <v>572</v>
      </c>
      <c r="I130" s="67">
        <v>1.49893219819513</v>
      </c>
      <c r="J130" s="67">
        <v>11.931114457525</v>
      </c>
      <c r="K130" s="65">
        <v>52</v>
      </c>
      <c r="L130" s="65">
        <v>99</v>
      </c>
      <c r="M130" s="66">
        <v>7.4576271186440696E-2</v>
      </c>
      <c r="N130" s="67">
        <v>5845.9244150311297</v>
      </c>
      <c r="O130" s="67">
        <v>132.86191852343501</v>
      </c>
      <c r="P130" s="67">
        <v>884.36999693512905</v>
      </c>
      <c r="Q130" s="68">
        <v>0.15127975220843201</v>
      </c>
    </row>
    <row r="131" spans="1:17" x14ac:dyDescent="0.35">
      <c r="A131" s="62" t="s">
        <v>136</v>
      </c>
      <c r="B131" s="63">
        <v>338793</v>
      </c>
      <c r="C131" s="63" t="s">
        <v>139</v>
      </c>
      <c r="D131" s="64">
        <v>42554</v>
      </c>
      <c r="E131" s="63" t="s">
        <v>138</v>
      </c>
      <c r="F131" s="65">
        <v>11442</v>
      </c>
      <c r="G131" s="66">
        <v>8.3425954443804694E-3</v>
      </c>
      <c r="H131" s="65">
        <v>324</v>
      </c>
      <c r="I131" s="67">
        <v>1.29972711516422</v>
      </c>
      <c r="J131" s="67">
        <v>10.8430975099068</v>
      </c>
      <c r="K131" s="65">
        <v>97</v>
      </c>
      <c r="L131" s="65">
        <v>61</v>
      </c>
      <c r="M131" s="66">
        <v>5.4574638844301797E-2</v>
      </c>
      <c r="N131" s="67">
        <v>3674.6477324421198</v>
      </c>
      <c r="O131" s="67">
        <v>108.077874483592</v>
      </c>
      <c r="P131" s="67">
        <v>809.72999274730705</v>
      </c>
      <c r="Q131" s="68">
        <v>0.22035581413654901</v>
      </c>
    </row>
    <row r="132" spans="1:17" x14ac:dyDescent="0.35">
      <c r="A132" s="62" t="s">
        <v>136</v>
      </c>
      <c r="B132" s="63">
        <v>338793</v>
      </c>
      <c r="C132" s="63" t="s">
        <v>139</v>
      </c>
      <c r="D132" s="64">
        <v>42555</v>
      </c>
      <c r="E132" s="63" t="s">
        <v>138</v>
      </c>
      <c r="F132" s="65">
        <v>54506</v>
      </c>
      <c r="G132" s="66">
        <v>8.1885334244630806E-3</v>
      </c>
      <c r="H132" s="65">
        <v>224</v>
      </c>
      <c r="I132" s="67">
        <v>1.3287158750033501</v>
      </c>
      <c r="J132" s="67">
        <v>10.880234354079599</v>
      </c>
      <c r="K132" s="65">
        <v>78</v>
      </c>
      <c r="L132" s="65">
        <v>70</v>
      </c>
      <c r="M132" s="66">
        <v>4.9759229534510403E-2</v>
      </c>
      <c r="N132" s="67">
        <v>4097.3291043454601</v>
      </c>
      <c r="O132" s="67">
        <v>132.171906591789</v>
      </c>
      <c r="P132" s="67">
        <v>827.78999012708698</v>
      </c>
      <c r="Q132" s="68">
        <v>0.20203160865188199</v>
      </c>
    </row>
    <row r="133" spans="1:17" x14ac:dyDescent="0.35">
      <c r="A133" s="62" t="s">
        <v>136</v>
      </c>
      <c r="B133" s="63">
        <v>338793</v>
      </c>
      <c r="C133" s="63" t="s">
        <v>139</v>
      </c>
      <c r="D133" s="64">
        <v>42556</v>
      </c>
      <c r="E133" s="63" t="s">
        <v>138</v>
      </c>
      <c r="F133" s="65">
        <v>51414</v>
      </c>
      <c r="G133" s="66">
        <v>8.4681780153855607E-3</v>
      </c>
      <c r="H133" s="65">
        <v>244</v>
      </c>
      <c r="I133" s="67">
        <v>1.29913252527455</v>
      </c>
      <c r="J133" s="67">
        <v>11.001285489602299</v>
      </c>
      <c r="K133" s="65">
        <v>32</v>
      </c>
      <c r="L133" s="65">
        <v>62</v>
      </c>
      <c r="M133" s="66">
        <v>8.91566265060241E-2</v>
      </c>
      <c r="N133" s="67">
        <v>4022.5170381809598</v>
      </c>
      <c r="O133" s="67">
        <v>108.716676707594</v>
      </c>
      <c r="P133" s="67">
        <v>539.13999798893894</v>
      </c>
      <c r="Q133" s="68">
        <v>0.13403050698642799</v>
      </c>
    </row>
    <row r="134" spans="1:17" x14ac:dyDescent="0.35">
      <c r="A134" s="62" t="s">
        <v>136</v>
      </c>
      <c r="B134" s="63">
        <v>338793</v>
      </c>
      <c r="C134" s="63" t="s">
        <v>139</v>
      </c>
      <c r="D134" s="64">
        <v>42557</v>
      </c>
      <c r="E134" s="63" t="s">
        <v>138</v>
      </c>
      <c r="F134" s="65">
        <v>20397</v>
      </c>
      <c r="G134" s="66">
        <v>9.2235655034613607E-3</v>
      </c>
      <c r="H134" s="65">
        <v>187</v>
      </c>
      <c r="I134" s="67">
        <v>1.3147702127760299</v>
      </c>
      <c r="J134" s="67">
        <v>12.126869179539501</v>
      </c>
      <c r="K134" s="65">
        <v>98</v>
      </c>
      <c r="L134" s="65">
        <v>41</v>
      </c>
      <c r="M134" s="66">
        <v>5.2516411378555797E-2</v>
      </c>
      <c r="N134" s="67">
        <v>3150.83411315079</v>
      </c>
      <c r="O134" s="67">
        <v>131.28475471461601</v>
      </c>
      <c r="P134" s="67">
        <v>600.84998723864601</v>
      </c>
      <c r="Q134" s="68">
        <v>0.19069553193259201</v>
      </c>
    </row>
    <row r="135" spans="1:17" x14ac:dyDescent="0.35">
      <c r="A135" s="62" t="s">
        <v>136</v>
      </c>
      <c r="B135" s="63">
        <v>338793</v>
      </c>
      <c r="C135" s="63" t="s">
        <v>139</v>
      </c>
      <c r="D135" s="64">
        <v>42558</v>
      </c>
      <c r="E135" s="63" t="s">
        <v>138</v>
      </c>
      <c r="F135" s="65">
        <v>56452</v>
      </c>
      <c r="G135" s="66">
        <v>1.08055292122884E-2</v>
      </c>
      <c r="H135" s="65">
        <v>295</v>
      </c>
      <c r="I135" s="67">
        <v>1.35127656938548</v>
      </c>
      <c r="J135" s="67">
        <v>14.6012584443757</v>
      </c>
      <c r="K135" s="65">
        <v>62</v>
      </c>
      <c r="L135" s="65">
        <v>54</v>
      </c>
      <c r="M135" s="66">
        <v>7.9787234042553196E-2</v>
      </c>
      <c r="N135" s="67">
        <v>4194.6149092885398</v>
      </c>
      <c r="O135" s="67">
        <v>139.820496976285</v>
      </c>
      <c r="P135" s="67">
        <v>508.07999008894001</v>
      </c>
      <c r="Q135" s="68">
        <v>0.121126730600192</v>
      </c>
    </row>
    <row r="136" spans="1:17" x14ac:dyDescent="0.35">
      <c r="A136" s="62" t="s">
        <v>136</v>
      </c>
      <c r="B136" s="63">
        <v>338793</v>
      </c>
      <c r="C136" s="63" t="s">
        <v>139</v>
      </c>
      <c r="D136" s="64">
        <v>42559</v>
      </c>
      <c r="E136" s="63" t="s">
        <v>138</v>
      </c>
      <c r="F136" s="65">
        <v>67591</v>
      </c>
      <c r="G136" s="66">
        <v>9.7159050317910094E-3</v>
      </c>
      <c r="H136" s="65">
        <v>184</v>
      </c>
      <c r="I136" s="67">
        <v>1.26419117155613</v>
      </c>
      <c r="J136" s="67">
        <v>12.2827613648679</v>
      </c>
      <c r="K136" s="65">
        <v>78</v>
      </c>
      <c r="L136" s="65">
        <v>68</v>
      </c>
      <c r="M136" s="66">
        <v>6.6176470588235295E-2</v>
      </c>
      <c r="N136" s="67">
        <v>2415.89592943464</v>
      </c>
      <c r="O136" s="67">
        <v>89.477627016097898</v>
      </c>
      <c r="P136" s="67">
        <v>515.78999799489998</v>
      </c>
      <c r="Q136" s="68">
        <v>0.21349843414637601</v>
      </c>
    </row>
    <row r="137" spans="1:17" x14ac:dyDescent="0.35">
      <c r="A137" s="62" t="s">
        <v>136</v>
      </c>
      <c r="B137" s="63">
        <v>338793</v>
      </c>
      <c r="C137" s="63" t="s">
        <v>139</v>
      </c>
      <c r="D137" s="64">
        <v>42560</v>
      </c>
      <c r="E137" s="63" t="s">
        <v>138</v>
      </c>
      <c r="F137" s="65">
        <v>54030</v>
      </c>
      <c r="G137" s="66">
        <v>8.7630413570517207E-3</v>
      </c>
      <c r="H137" s="65">
        <v>432</v>
      </c>
      <c r="I137" s="67">
        <v>1.29423981151948</v>
      </c>
      <c r="J137" s="67">
        <v>11.341476994288101</v>
      </c>
      <c r="K137" s="65">
        <v>73</v>
      </c>
      <c r="L137" s="65">
        <v>80</v>
      </c>
      <c r="M137" s="66">
        <v>8.56531049250535E-2</v>
      </c>
      <c r="N137" s="67">
        <v>5632.94146423445</v>
      </c>
      <c r="O137" s="67">
        <v>140.82353660586099</v>
      </c>
      <c r="P137" s="67">
        <v>604.409991979599</v>
      </c>
      <c r="Q137" s="68">
        <v>0.107299178558345</v>
      </c>
    </row>
    <row r="138" spans="1:17" x14ac:dyDescent="0.35">
      <c r="A138" s="62" t="s">
        <v>136</v>
      </c>
      <c r="B138" s="63">
        <v>338793</v>
      </c>
      <c r="C138" s="63" t="s">
        <v>139</v>
      </c>
      <c r="D138" s="64">
        <v>42561</v>
      </c>
      <c r="E138" s="63" t="s">
        <v>138</v>
      </c>
      <c r="F138" s="65">
        <v>16158</v>
      </c>
      <c r="G138" s="66">
        <v>8.8822675240915003E-3</v>
      </c>
      <c r="H138" s="65">
        <v>252</v>
      </c>
      <c r="I138" s="67">
        <v>1.49823776412668</v>
      </c>
      <c r="J138" s="67">
        <v>13.307748635669901</v>
      </c>
      <c r="K138" s="65">
        <v>50</v>
      </c>
      <c r="L138" s="65">
        <v>47</v>
      </c>
      <c r="M138" s="66">
        <v>5.9447983014862003E-2</v>
      </c>
      <c r="N138" s="67">
        <v>2626.9339830937802</v>
      </c>
      <c r="O138" s="67">
        <v>93.819070824777995</v>
      </c>
      <c r="P138" s="67">
        <v>705.669986903667</v>
      </c>
      <c r="Q138" s="68">
        <v>0.26862874797964598</v>
      </c>
    </row>
    <row r="139" spans="1:17" x14ac:dyDescent="0.35">
      <c r="A139" s="62" t="s">
        <v>136</v>
      </c>
      <c r="B139" s="63">
        <v>338793</v>
      </c>
      <c r="C139" s="63" t="s">
        <v>139</v>
      </c>
      <c r="D139" s="64">
        <v>42562</v>
      </c>
      <c r="E139" s="63" t="s">
        <v>138</v>
      </c>
      <c r="F139" s="65">
        <v>21742</v>
      </c>
      <c r="G139" s="66">
        <v>8.5605234460196297E-3</v>
      </c>
      <c r="H139" s="65">
        <v>432</v>
      </c>
      <c r="I139" s="67">
        <v>1.50250528509197</v>
      </c>
      <c r="J139" s="67">
        <v>12.862231720798199</v>
      </c>
      <c r="K139" s="65">
        <v>65</v>
      </c>
      <c r="L139" s="65">
        <v>52</v>
      </c>
      <c r="M139" s="66">
        <v>5.9447983014862003E-2</v>
      </c>
      <c r="N139" s="67">
        <v>2159.82366735495</v>
      </c>
      <c r="O139" s="67">
        <v>77.136559548391006</v>
      </c>
      <c r="P139" s="67">
        <v>707.67998927831695</v>
      </c>
      <c r="Q139" s="68">
        <v>0.32765637305242801</v>
      </c>
    </row>
    <row r="140" spans="1:17" x14ac:dyDescent="0.35">
      <c r="A140" s="62" t="s">
        <v>136</v>
      </c>
      <c r="B140" s="63">
        <v>338793</v>
      </c>
      <c r="C140" s="63" t="s">
        <v>139</v>
      </c>
      <c r="D140" s="64">
        <v>42563</v>
      </c>
      <c r="E140" s="63" t="s">
        <v>138</v>
      </c>
      <c r="F140" s="65">
        <v>39593</v>
      </c>
      <c r="G140" s="66">
        <v>8.0029471170335702E-3</v>
      </c>
      <c r="H140" s="65">
        <v>262</v>
      </c>
      <c r="I140" s="67">
        <v>1.5764127017959699</v>
      </c>
      <c r="J140" s="67">
        <v>12.6159474870932</v>
      </c>
      <c r="K140" s="65">
        <v>16</v>
      </c>
      <c r="L140" s="65">
        <v>58</v>
      </c>
      <c r="M140" s="66">
        <v>4.9206349206349198E-2</v>
      </c>
      <c r="N140" s="67">
        <v>4333.4773335113496</v>
      </c>
      <c r="O140" s="67">
        <v>139.789591403592</v>
      </c>
      <c r="P140" s="67">
        <v>993.14000213146198</v>
      </c>
      <c r="Q140" s="68">
        <v>0.229178538549488</v>
      </c>
    </row>
    <row r="141" spans="1:17" x14ac:dyDescent="0.35">
      <c r="A141" s="62" t="s">
        <v>136</v>
      </c>
      <c r="B141" s="63">
        <v>338793</v>
      </c>
      <c r="C141" s="63" t="s">
        <v>139</v>
      </c>
      <c r="D141" s="64">
        <v>42564</v>
      </c>
      <c r="E141" s="63" t="s">
        <v>138</v>
      </c>
      <c r="F141" s="65">
        <v>11000</v>
      </c>
      <c r="G141" s="66">
        <v>7.9277988041117093E-3</v>
      </c>
      <c r="H141" s="65">
        <v>417</v>
      </c>
      <c r="I141" s="67">
        <v>1.53271184251302</v>
      </c>
      <c r="J141" s="67">
        <v>12.151031112122499</v>
      </c>
      <c r="K141" s="65">
        <v>59</v>
      </c>
      <c r="L141" s="65">
        <v>43</v>
      </c>
      <c r="M141" s="66">
        <v>2.82485875706215E-2</v>
      </c>
      <c r="N141" s="67">
        <v>2570.9223032141899</v>
      </c>
      <c r="O141" s="67">
        <v>128.54611516071</v>
      </c>
      <c r="P141" s="67">
        <v>1085.1599844992199</v>
      </c>
      <c r="Q141" s="68">
        <v>0.42208976255040398</v>
      </c>
    </row>
    <row r="142" spans="1:17" x14ac:dyDescent="0.35">
      <c r="A142" s="62" t="s">
        <v>136</v>
      </c>
      <c r="B142" s="63">
        <v>338793</v>
      </c>
      <c r="C142" s="63" t="s">
        <v>139</v>
      </c>
      <c r="D142" s="64">
        <v>42565</v>
      </c>
      <c r="E142" s="63" t="s">
        <v>138</v>
      </c>
      <c r="F142" s="65">
        <v>5183</v>
      </c>
      <c r="G142" s="66">
        <v>1.05287185779097E-2</v>
      </c>
      <c r="H142" s="65">
        <v>528</v>
      </c>
      <c r="I142" s="67">
        <v>1.46562326475372</v>
      </c>
      <c r="J142" s="67">
        <v>15.4311348958291</v>
      </c>
      <c r="K142" s="65">
        <v>74</v>
      </c>
      <c r="L142" s="65">
        <v>56</v>
      </c>
      <c r="M142" s="66">
        <v>4.4715447154471497E-2</v>
      </c>
      <c r="N142" s="67">
        <v>5863.4281974539899</v>
      </c>
      <c r="O142" s="67">
        <v>177.679642347091</v>
      </c>
      <c r="P142" s="67">
        <v>1081.6299693882499</v>
      </c>
      <c r="Q142" s="68">
        <v>0.18447057471564299</v>
      </c>
    </row>
    <row r="143" spans="1:17" x14ac:dyDescent="0.35">
      <c r="A143" s="62" t="s">
        <v>136</v>
      </c>
      <c r="B143" s="63">
        <v>338793</v>
      </c>
      <c r="C143" s="63" t="s">
        <v>139</v>
      </c>
      <c r="D143" s="64">
        <v>42566</v>
      </c>
      <c r="E143" s="63" t="s">
        <v>138</v>
      </c>
      <c r="F143" s="65">
        <v>8385</v>
      </c>
      <c r="G143" s="66">
        <v>9.4512381223675907E-3</v>
      </c>
      <c r="H143" s="65">
        <v>542</v>
      </c>
      <c r="I143" s="67">
        <v>1.53876207610121</v>
      </c>
      <c r="J143" s="67">
        <v>14.5432067949013</v>
      </c>
      <c r="K143" s="65">
        <v>62</v>
      </c>
      <c r="L143" s="65">
        <v>83</v>
      </c>
      <c r="M143" s="66">
        <v>4.6286329386437002E-2</v>
      </c>
      <c r="N143" s="67">
        <v>5142.4064837368496</v>
      </c>
      <c r="O143" s="67">
        <v>119.59084845899601</v>
      </c>
      <c r="P143" s="67">
        <v>1429.50996869802</v>
      </c>
      <c r="Q143" s="68">
        <v>0.27798463097363701</v>
      </c>
    </row>
    <row r="144" spans="1:17" x14ac:dyDescent="0.35">
      <c r="A144" s="62" t="s">
        <v>136</v>
      </c>
      <c r="B144" s="63">
        <v>338793</v>
      </c>
      <c r="C144" s="63" t="s">
        <v>139</v>
      </c>
      <c r="D144" s="64">
        <v>42567</v>
      </c>
      <c r="E144" s="63" t="s">
        <v>138</v>
      </c>
      <c r="F144" s="65">
        <v>50785</v>
      </c>
      <c r="G144" s="66">
        <v>7.7870516580193999E-3</v>
      </c>
      <c r="H144" s="65">
        <v>367</v>
      </c>
      <c r="I144" s="67">
        <v>1.34062572495272</v>
      </c>
      <c r="J144" s="67">
        <v>10.4395217742765</v>
      </c>
      <c r="K144" s="65">
        <v>74</v>
      </c>
      <c r="L144" s="65">
        <v>85</v>
      </c>
      <c r="M144" s="66">
        <v>5.2143684820393998E-2</v>
      </c>
      <c r="N144" s="67">
        <v>4651.2231464898696</v>
      </c>
      <c r="O144" s="67">
        <v>103.360514366442</v>
      </c>
      <c r="P144" s="67">
        <v>1156.96000063419</v>
      </c>
      <c r="Q144" s="68">
        <v>0.24874317232173901</v>
      </c>
    </row>
    <row r="145" spans="1:17" x14ac:dyDescent="0.35">
      <c r="A145" s="62" t="s">
        <v>136</v>
      </c>
      <c r="B145" s="63">
        <v>338793</v>
      </c>
      <c r="C145" s="63" t="s">
        <v>139</v>
      </c>
      <c r="D145" s="64">
        <v>42568</v>
      </c>
      <c r="E145" s="63" t="s">
        <v>138</v>
      </c>
      <c r="F145" s="65">
        <v>21458</v>
      </c>
      <c r="G145" s="66">
        <v>7.4271134142964504E-3</v>
      </c>
      <c r="H145" s="65">
        <v>532</v>
      </c>
      <c r="I145" s="67">
        <v>1.17886821193479</v>
      </c>
      <c r="J145" s="67">
        <v>8.7555879105485701</v>
      </c>
      <c r="K145" s="65">
        <v>67</v>
      </c>
      <c r="L145" s="65">
        <v>61</v>
      </c>
      <c r="M145" s="66">
        <v>5.0599201065246298E-2</v>
      </c>
      <c r="N145" s="67">
        <v>4331.4893367904797</v>
      </c>
      <c r="O145" s="67">
        <v>113.986561494486</v>
      </c>
      <c r="P145" s="67">
        <v>885.33002716302894</v>
      </c>
      <c r="Q145" s="68">
        <v>0.20439390665083201</v>
      </c>
    </row>
    <row r="146" spans="1:17" x14ac:dyDescent="0.35">
      <c r="A146" s="62" t="s">
        <v>136</v>
      </c>
      <c r="B146" s="63">
        <v>338793</v>
      </c>
      <c r="C146" s="63" t="s">
        <v>139</v>
      </c>
      <c r="D146" s="64">
        <v>42569</v>
      </c>
      <c r="E146" s="63" t="s">
        <v>138</v>
      </c>
      <c r="F146" s="65">
        <v>60222</v>
      </c>
      <c r="G146" s="66">
        <v>8.5190333139039606E-3</v>
      </c>
      <c r="H146" s="65">
        <v>246</v>
      </c>
      <c r="I146" s="67">
        <v>1.1425395139346</v>
      </c>
      <c r="J146" s="67">
        <v>9.7333321816604901</v>
      </c>
      <c r="K146" s="65">
        <v>67</v>
      </c>
      <c r="L146" s="65">
        <v>76</v>
      </c>
      <c r="M146" s="66">
        <v>6.4473684210526294E-2</v>
      </c>
      <c r="N146" s="67">
        <v>5554.6719919317302</v>
      </c>
      <c r="O146" s="67">
        <v>113.36065289656599</v>
      </c>
      <c r="P146" s="67">
        <v>868.33003059029602</v>
      </c>
      <c r="Q146" s="68">
        <v>0.15632426754479201</v>
      </c>
    </row>
    <row r="147" spans="1:17" x14ac:dyDescent="0.35">
      <c r="A147" s="62" t="s">
        <v>136</v>
      </c>
      <c r="B147" s="63">
        <v>338793</v>
      </c>
      <c r="C147" s="63" t="s">
        <v>139</v>
      </c>
      <c r="D147" s="64">
        <v>42570</v>
      </c>
      <c r="E147" s="63" t="s">
        <v>138</v>
      </c>
      <c r="F147" s="65">
        <v>48828</v>
      </c>
      <c r="G147" s="66">
        <v>8.0223189479533205E-3</v>
      </c>
      <c r="H147" s="65">
        <v>504</v>
      </c>
      <c r="I147" s="67">
        <v>1.1324098486490899</v>
      </c>
      <c r="J147" s="67">
        <v>9.0845529856665692</v>
      </c>
      <c r="K147" s="65">
        <v>52</v>
      </c>
      <c r="L147" s="65">
        <v>68</v>
      </c>
      <c r="M147" s="66">
        <v>4.9062049062049098E-2</v>
      </c>
      <c r="N147" s="67">
        <v>4117.8580482041698</v>
      </c>
      <c r="O147" s="67">
        <v>121.113472006005</v>
      </c>
      <c r="P147" s="67">
        <v>784.76002511382103</v>
      </c>
      <c r="Q147" s="68">
        <v>0.19057481242124399</v>
      </c>
    </row>
    <row r="148" spans="1:17" x14ac:dyDescent="0.35">
      <c r="A148" s="62" t="s">
        <v>136</v>
      </c>
      <c r="B148" s="63">
        <v>338793</v>
      </c>
      <c r="C148" s="63" t="s">
        <v>139</v>
      </c>
      <c r="D148" s="64">
        <v>42571</v>
      </c>
      <c r="E148" s="63" t="s">
        <v>138</v>
      </c>
      <c r="F148" s="65">
        <v>35746</v>
      </c>
      <c r="G148" s="66">
        <v>8.0021700800217005E-3</v>
      </c>
      <c r="H148" s="65">
        <v>484</v>
      </c>
      <c r="I148" s="67">
        <v>0.98956857550493205</v>
      </c>
      <c r="J148" s="67">
        <v>7.9186960470352599</v>
      </c>
      <c r="K148" s="65">
        <v>13</v>
      </c>
      <c r="L148" s="65">
        <v>98</v>
      </c>
      <c r="M148" s="66">
        <v>8.0123266563944501E-2</v>
      </c>
      <c r="N148" s="67">
        <v>5844.4550484792398</v>
      </c>
      <c r="O148" s="67">
        <v>112.393366316908</v>
      </c>
      <c r="P148" s="67">
        <v>642.23000550270103</v>
      </c>
      <c r="Q148" s="68">
        <v>0.109887063922207</v>
      </c>
    </row>
    <row r="149" spans="1:17" x14ac:dyDescent="0.35">
      <c r="A149" s="62" t="s">
        <v>136</v>
      </c>
      <c r="B149" s="63">
        <v>338793</v>
      </c>
      <c r="C149" s="63" t="s">
        <v>139</v>
      </c>
      <c r="D149" s="64">
        <v>42572</v>
      </c>
      <c r="E149" s="63" t="s">
        <v>138</v>
      </c>
      <c r="F149" s="65">
        <v>53285</v>
      </c>
      <c r="G149" s="66">
        <v>8.6805555555555594E-3</v>
      </c>
      <c r="H149" s="65">
        <v>471</v>
      </c>
      <c r="I149" s="67">
        <v>0.96703278959774597</v>
      </c>
      <c r="J149" s="67">
        <v>8.3943818541471007</v>
      </c>
      <c r="K149" s="65">
        <v>56</v>
      </c>
      <c r="L149" s="65">
        <v>69</v>
      </c>
      <c r="M149" s="66">
        <v>5.5737704918032802E-2</v>
      </c>
      <c r="N149" s="67">
        <v>3970.56793422602</v>
      </c>
      <c r="O149" s="67">
        <v>116.781409830177</v>
      </c>
      <c r="P149" s="67">
        <v>589.89000165462505</v>
      </c>
      <c r="Q149" s="68">
        <v>0.14856564890120999</v>
      </c>
    </row>
    <row r="150" spans="1:17" x14ac:dyDescent="0.35">
      <c r="A150" s="62" t="s">
        <v>136</v>
      </c>
      <c r="B150" s="63">
        <v>338793</v>
      </c>
      <c r="C150" s="63" t="s">
        <v>139</v>
      </c>
      <c r="D150" s="64">
        <v>42573</v>
      </c>
      <c r="E150" s="63" t="s">
        <v>138</v>
      </c>
      <c r="F150" s="65">
        <v>45208</v>
      </c>
      <c r="G150" s="66">
        <v>8.5310470693094505E-3</v>
      </c>
      <c r="H150" s="65">
        <v>162</v>
      </c>
      <c r="I150" s="67">
        <v>1.0104477597310999</v>
      </c>
      <c r="J150" s="67">
        <v>8.6201773993442696</v>
      </c>
      <c r="K150" s="65">
        <v>65</v>
      </c>
      <c r="L150" s="65">
        <v>84</v>
      </c>
      <c r="M150" s="66">
        <v>7.9601990049751201E-2</v>
      </c>
      <c r="N150" s="67">
        <v>6592.83426393438</v>
      </c>
      <c r="O150" s="67">
        <v>137.350713831966</v>
      </c>
      <c r="P150" s="67">
        <v>609.29999911785103</v>
      </c>
      <c r="Q150" s="68">
        <v>9.2418522099210504E-2</v>
      </c>
    </row>
    <row r="151" spans="1:17" x14ac:dyDescent="0.35">
      <c r="A151" s="62" t="s">
        <v>136</v>
      </c>
      <c r="B151" s="63">
        <v>338793</v>
      </c>
      <c r="C151" s="63" t="s">
        <v>139</v>
      </c>
      <c r="D151" s="64">
        <v>42574</v>
      </c>
      <c r="E151" s="63" t="s">
        <v>138</v>
      </c>
      <c r="F151" s="65">
        <v>30455</v>
      </c>
      <c r="G151" s="66">
        <v>7.1869375160709698E-3</v>
      </c>
      <c r="H151" s="65">
        <v>213</v>
      </c>
      <c r="I151" s="67">
        <v>0.98404293911188401</v>
      </c>
      <c r="J151" s="67">
        <v>7.0722551165279404</v>
      </c>
      <c r="K151" s="65">
        <v>61</v>
      </c>
      <c r="L151" s="65">
        <v>72</v>
      </c>
      <c r="M151" s="66">
        <v>7.3345259391771001E-2</v>
      </c>
      <c r="N151" s="67">
        <v>5139.0363277936804</v>
      </c>
      <c r="O151" s="67">
        <v>125.342349458383</v>
      </c>
      <c r="P151" s="67">
        <v>550.08000296354305</v>
      </c>
      <c r="Q151" s="68">
        <v>0.107039524120217</v>
      </c>
    </row>
    <row r="152" spans="1:17" x14ac:dyDescent="0.35">
      <c r="A152" s="62" t="s">
        <v>136</v>
      </c>
      <c r="B152" s="63">
        <v>338793</v>
      </c>
      <c r="C152" s="63" t="s">
        <v>139</v>
      </c>
      <c r="D152" s="64">
        <v>42575</v>
      </c>
      <c r="E152" s="63" t="s">
        <v>138</v>
      </c>
      <c r="F152" s="65">
        <v>49118</v>
      </c>
      <c r="G152" s="66">
        <v>7.8810013159645708E-3</v>
      </c>
      <c r="H152" s="65">
        <v>217</v>
      </c>
      <c r="I152" s="67">
        <v>0.91868667631614498</v>
      </c>
      <c r="J152" s="67">
        <v>7.2401709050066598</v>
      </c>
      <c r="K152" s="65">
        <v>51</v>
      </c>
      <c r="L152" s="65">
        <v>78</v>
      </c>
      <c r="M152" s="66">
        <v>8.8180112570356503E-2</v>
      </c>
      <c r="N152" s="67">
        <v>5306.5952515682502</v>
      </c>
      <c r="O152" s="67">
        <v>112.906281948261</v>
      </c>
      <c r="P152" s="67">
        <v>489.659998476505</v>
      </c>
      <c r="Q152" s="68">
        <v>9.2273854564618799E-2</v>
      </c>
    </row>
    <row r="153" spans="1:17" x14ac:dyDescent="0.35">
      <c r="A153" s="62" t="s">
        <v>136</v>
      </c>
      <c r="B153" s="63">
        <v>338793</v>
      </c>
      <c r="C153" s="63" t="s">
        <v>139</v>
      </c>
      <c r="D153" s="64">
        <v>42576</v>
      </c>
      <c r="E153" s="63" t="s">
        <v>138</v>
      </c>
      <c r="F153" s="65">
        <v>39344</v>
      </c>
      <c r="G153" s="66">
        <v>7.5150534455664299E-3</v>
      </c>
      <c r="H153" s="65">
        <v>396</v>
      </c>
      <c r="I153" s="67">
        <v>0.89612836879726299</v>
      </c>
      <c r="J153" s="67">
        <v>6.7344525855996897</v>
      </c>
      <c r="K153" s="65">
        <v>68</v>
      </c>
      <c r="L153" s="65">
        <v>78</v>
      </c>
      <c r="M153" s="66">
        <v>7.2463768115942004E-2</v>
      </c>
      <c r="N153" s="67">
        <v>2641.8445998337002</v>
      </c>
      <c r="O153" s="67">
        <v>75.481274280962893</v>
      </c>
      <c r="P153" s="67">
        <v>432.83000212907803</v>
      </c>
      <c r="Q153" s="68">
        <v>0.16383628399502501</v>
      </c>
    </row>
    <row r="154" spans="1:17" x14ac:dyDescent="0.35">
      <c r="A154" s="62" t="s">
        <v>136</v>
      </c>
      <c r="B154" s="63">
        <v>338793</v>
      </c>
      <c r="C154" s="63" t="s">
        <v>139</v>
      </c>
      <c r="D154" s="64">
        <v>42577</v>
      </c>
      <c r="E154" s="63" t="s">
        <v>138</v>
      </c>
      <c r="F154" s="65">
        <v>52307</v>
      </c>
      <c r="G154" s="66">
        <v>7.7242040028142403E-3</v>
      </c>
      <c r="H154" s="65">
        <v>246</v>
      </c>
      <c r="I154" s="67">
        <v>1.0232945351117799</v>
      </c>
      <c r="J154" s="67">
        <v>7.9041357441683502</v>
      </c>
      <c r="K154" s="65">
        <v>93</v>
      </c>
      <c r="L154" s="65">
        <v>58</v>
      </c>
      <c r="M154" s="66">
        <v>5.6201550387596902E-2</v>
      </c>
      <c r="N154" s="67">
        <v>2556.4439938261899</v>
      </c>
      <c r="O154" s="67">
        <v>88.153241166420301</v>
      </c>
      <c r="P154" s="67">
        <v>528.01998011767898</v>
      </c>
      <c r="Q154" s="68">
        <v>0.20654470874106601</v>
      </c>
    </row>
    <row r="155" spans="1:17" x14ac:dyDescent="0.35">
      <c r="A155" s="62" t="s">
        <v>136</v>
      </c>
      <c r="B155" s="63">
        <v>338793</v>
      </c>
      <c r="C155" s="63" t="s">
        <v>139</v>
      </c>
      <c r="D155" s="64">
        <v>42578</v>
      </c>
      <c r="E155" s="63" t="s">
        <v>138</v>
      </c>
      <c r="F155" s="65">
        <v>17029</v>
      </c>
      <c r="G155" s="66">
        <v>8.3227599540813303E-3</v>
      </c>
      <c r="H155" s="65">
        <v>509</v>
      </c>
      <c r="I155" s="67">
        <v>1.05281302370739</v>
      </c>
      <c r="J155" s="67">
        <v>8.7623100728471801</v>
      </c>
      <c r="K155" s="65">
        <v>71</v>
      </c>
      <c r="L155" s="65">
        <v>54</v>
      </c>
      <c r="M155" s="66">
        <v>6.17059891107078E-2</v>
      </c>
      <c r="N155" s="67">
        <v>4192.4540196327298</v>
      </c>
      <c r="O155" s="67">
        <v>123.307471165669</v>
      </c>
      <c r="P155" s="67">
        <v>580.099976062775</v>
      </c>
      <c r="Q155" s="68">
        <v>0.13836764180268599</v>
      </c>
    </row>
    <row r="156" spans="1:17" x14ac:dyDescent="0.35">
      <c r="A156" s="62" t="s">
        <v>136</v>
      </c>
      <c r="B156" s="63">
        <v>338793</v>
      </c>
      <c r="C156" s="63" t="s">
        <v>139</v>
      </c>
      <c r="D156" s="64">
        <v>42579</v>
      </c>
      <c r="E156" s="63" t="s">
        <v>138</v>
      </c>
      <c r="F156" s="65">
        <v>26981</v>
      </c>
      <c r="G156" s="66">
        <v>8.1934585019571397E-3</v>
      </c>
      <c r="H156" s="65">
        <v>521</v>
      </c>
      <c r="I156" s="67">
        <v>1.0136639252606701</v>
      </c>
      <c r="J156" s="67">
        <v>8.3054133065542608</v>
      </c>
      <c r="K156" s="65">
        <v>28</v>
      </c>
      <c r="L156" s="65">
        <v>35</v>
      </c>
      <c r="M156" s="66">
        <v>3.8461538461538498E-2</v>
      </c>
      <c r="N156" s="67">
        <v>2095.8164171233202</v>
      </c>
      <c r="O156" s="67">
        <v>110.30612721701701</v>
      </c>
      <c r="P156" s="67">
        <v>500.74997907877002</v>
      </c>
      <c r="Q156" s="68">
        <v>0.23892835984465199</v>
      </c>
    </row>
    <row r="157" spans="1:17" x14ac:dyDescent="0.35">
      <c r="A157" s="62" t="s">
        <v>136</v>
      </c>
      <c r="B157" s="63">
        <v>338793</v>
      </c>
      <c r="C157" s="63" t="s">
        <v>139</v>
      </c>
      <c r="D157" s="64">
        <v>42580</v>
      </c>
      <c r="E157" s="63" t="s">
        <v>138</v>
      </c>
      <c r="F157" s="65">
        <v>12425</v>
      </c>
      <c r="G157" s="66">
        <v>8.4342489580256606E-3</v>
      </c>
      <c r="H157" s="65">
        <v>549</v>
      </c>
      <c r="I157" s="67">
        <v>1.0248637822989399</v>
      </c>
      <c r="J157" s="67">
        <v>8.6439562879730403</v>
      </c>
      <c r="K157" s="65">
        <v>29</v>
      </c>
      <c r="L157" s="65">
        <v>52</v>
      </c>
      <c r="M157" s="66">
        <v>4.0856031128404698E-2</v>
      </c>
      <c r="N157" s="67">
        <v>2929.5963136005398</v>
      </c>
      <c r="O157" s="67">
        <v>139.50458636193099</v>
      </c>
      <c r="P157" s="67">
        <v>526.77998410165299</v>
      </c>
      <c r="Q157" s="68">
        <v>0.179813164583836</v>
      </c>
    </row>
    <row r="158" spans="1:17" x14ac:dyDescent="0.35">
      <c r="A158" s="62" t="s">
        <v>136</v>
      </c>
      <c r="B158" s="63">
        <v>338793</v>
      </c>
      <c r="C158" s="63" t="s">
        <v>139</v>
      </c>
      <c r="D158" s="64">
        <v>42581</v>
      </c>
      <c r="E158" s="63" t="s">
        <v>138</v>
      </c>
      <c r="F158" s="65">
        <v>30009</v>
      </c>
      <c r="G158" s="66">
        <v>7.7873977112648202E-3</v>
      </c>
      <c r="H158" s="65">
        <v>598</v>
      </c>
      <c r="I158" s="67">
        <v>0.96087397913622696</v>
      </c>
      <c r="J158" s="67">
        <v>7.4827078259393698</v>
      </c>
      <c r="K158" s="65">
        <v>60</v>
      </c>
      <c r="L158" s="65">
        <v>66</v>
      </c>
      <c r="M158" s="66">
        <v>6.9105691056910598E-2</v>
      </c>
      <c r="N158" s="67">
        <v>3201.87571549727</v>
      </c>
      <c r="O158" s="67">
        <v>94.172815161684298</v>
      </c>
      <c r="P158" s="67">
        <v>472.74999773502401</v>
      </c>
      <c r="Q158" s="68">
        <v>0.14764782887945499</v>
      </c>
    </row>
    <row r="159" spans="1:17" x14ac:dyDescent="0.35">
      <c r="A159" s="62" t="s">
        <v>136</v>
      </c>
      <c r="B159" s="63">
        <v>338793</v>
      </c>
      <c r="C159" s="63" t="s">
        <v>139</v>
      </c>
      <c r="D159" s="64">
        <v>42582</v>
      </c>
      <c r="E159" s="63" t="s">
        <v>138</v>
      </c>
      <c r="F159" s="65">
        <v>40662</v>
      </c>
      <c r="G159" s="66">
        <v>7.7087572862415098E-3</v>
      </c>
      <c r="H159" s="65">
        <v>164</v>
      </c>
      <c r="I159" s="67">
        <v>0.95651007071970795</v>
      </c>
      <c r="J159" s="67">
        <v>7.3735039770239297</v>
      </c>
      <c r="K159" s="65">
        <v>10</v>
      </c>
      <c r="L159" s="65">
        <v>47</v>
      </c>
      <c r="M159" s="66">
        <v>4.6979865771812103E-2</v>
      </c>
      <c r="N159" s="67">
        <v>2009.09585546361</v>
      </c>
      <c r="O159" s="67">
        <v>95.671231212552897</v>
      </c>
      <c r="P159" s="67">
        <v>427.56000161170999</v>
      </c>
      <c r="Q159" s="68">
        <v>0.21281214654292699</v>
      </c>
    </row>
    <row r="160" spans="1:17" x14ac:dyDescent="0.35">
      <c r="A160" s="62" t="s">
        <v>136</v>
      </c>
      <c r="B160" s="63">
        <v>338793</v>
      </c>
      <c r="C160" s="63" t="s">
        <v>139</v>
      </c>
      <c r="D160" s="64">
        <v>42583</v>
      </c>
      <c r="E160" s="63" t="s">
        <v>138</v>
      </c>
      <c r="F160" s="65">
        <v>13270</v>
      </c>
      <c r="G160" s="66">
        <v>8.3262799440977902E-3</v>
      </c>
      <c r="H160" s="65">
        <v>546</v>
      </c>
      <c r="I160" s="67">
        <v>0.94664302774777698</v>
      </c>
      <c r="J160" s="67">
        <v>7.8820148561563199</v>
      </c>
      <c r="K160" s="65">
        <v>69</v>
      </c>
      <c r="L160" s="65">
        <v>34</v>
      </c>
      <c r="M160" s="66">
        <v>3.54609929078014E-2</v>
      </c>
      <c r="N160" s="67">
        <v>1753.6644031927899</v>
      </c>
      <c r="O160" s="67">
        <v>116.910960212853</v>
      </c>
      <c r="P160" s="67">
        <v>400.430000737309</v>
      </c>
      <c r="Q160" s="68">
        <v>0.22833901401446599</v>
      </c>
    </row>
    <row r="161" spans="1:17" x14ac:dyDescent="0.35">
      <c r="A161" s="62" t="s">
        <v>136</v>
      </c>
      <c r="B161" s="63">
        <v>338793</v>
      </c>
      <c r="C161" s="63" t="s">
        <v>139</v>
      </c>
      <c r="D161" s="64">
        <v>42584</v>
      </c>
      <c r="E161" s="63" t="s">
        <v>138</v>
      </c>
      <c r="F161" s="65">
        <v>66976</v>
      </c>
      <c r="G161" s="66">
        <v>6.89122068353015E-3</v>
      </c>
      <c r="H161" s="65">
        <v>308</v>
      </c>
      <c r="I161" s="67">
        <v>0.941575165153403</v>
      </c>
      <c r="J161" s="67">
        <v>6.4886022532034504</v>
      </c>
      <c r="K161" s="65">
        <v>95</v>
      </c>
      <c r="L161" s="65">
        <v>55</v>
      </c>
      <c r="M161" s="66">
        <v>6.4439140811455894E-2</v>
      </c>
      <c r="N161" s="67">
        <v>2675.5906615016302</v>
      </c>
      <c r="O161" s="67">
        <v>99.095950425986501</v>
      </c>
      <c r="P161" s="67">
        <v>394.51999419927603</v>
      </c>
      <c r="Q161" s="68">
        <v>0.14745155149325301</v>
      </c>
    </row>
    <row r="162" spans="1:17" x14ac:dyDescent="0.35">
      <c r="A162" s="62" t="s">
        <v>136</v>
      </c>
      <c r="B162" s="63">
        <v>338793</v>
      </c>
      <c r="C162" s="63" t="s">
        <v>139</v>
      </c>
      <c r="D162" s="64">
        <v>42585</v>
      </c>
      <c r="E162" s="63" t="s">
        <v>138</v>
      </c>
      <c r="F162" s="65">
        <v>68536</v>
      </c>
      <c r="G162" s="66">
        <v>8.5559413306880196E-3</v>
      </c>
      <c r="H162" s="65">
        <v>515</v>
      </c>
      <c r="I162" s="67">
        <v>0.93202897702685095</v>
      </c>
      <c r="J162" s="67">
        <v>7.9743852459428997</v>
      </c>
      <c r="K162" s="65">
        <v>92</v>
      </c>
      <c r="L162" s="65">
        <v>44</v>
      </c>
      <c r="M162" s="66">
        <v>4.1407867494824002E-2</v>
      </c>
      <c r="N162" s="67">
        <v>1693.30915719769</v>
      </c>
      <c r="O162" s="67">
        <v>84.665457859884597</v>
      </c>
      <c r="P162" s="67">
        <v>450.16999590396898</v>
      </c>
      <c r="Q162" s="68">
        <v>0.26585221841531198</v>
      </c>
    </row>
    <row r="163" spans="1:17" x14ac:dyDescent="0.35">
      <c r="A163" s="62" t="s">
        <v>136</v>
      </c>
      <c r="B163" s="63">
        <v>338793</v>
      </c>
      <c r="C163" s="63" t="s">
        <v>139</v>
      </c>
      <c r="D163" s="64">
        <v>42586</v>
      </c>
      <c r="E163" s="63" t="s">
        <v>138</v>
      </c>
      <c r="F163" s="65">
        <v>11103</v>
      </c>
      <c r="G163" s="66">
        <v>7.7079190668497997E-3</v>
      </c>
      <c r="H163" s="65">
        <v>456</v>
      </c>
      <c r="I163" s="67">
        <v>0.94531914231149405</v>
      </c>
      <c r="J163" s="67">
        <v>7.2864434412808698</v>
      </c>
      <c r="K163" s="65">
        <v>74</v>
      </c>
      <c r="L163" s="65">
        <v>40</v>
      </c>
      <c r="M163" s="66">
        <v>5.0531914893616997E-2</v>
      </c>
      <c r="N163" s="67">
        <v>2122.4780081880399</v>
      </c>
      <c r="O163" s="67">
        <v>111.709368852002</v>
      </c>
      <c r="P163" s="67">
        <v>355.43999750912201</v>
      </c>
      <c r="Q163" s="68">
        <v>0.16746463150049901</v>
      </c>
    </row>
    <row r="164" spans="1:17" x14ac:dyDescent="0.35">
      <c r="A164" s="62" t="s">
        <v>136</v>
      </c>
      <c r="B164" s="63">
        <v>338793</v>
      </c>
      <c r="C164" s="63" t="s">
        <v>139</v>
      </c>
      <c r="D164" s="64">
        <v>42587</v>
      </c>
      <c r="E164" s="63" t="s">
        <v>138</v>
      </c>
      <c r="F164" s="65">
        <v>39403</v>
      </c>
      <c r="G164" s="66">
        <v>1.03439262108369E-2</v>
      </c>
      <c r="H164" s="65">
        <v>251</v>
      </c>
      <c r="I164" s="67">
        <v>0.90911552205090096</v>
      </c>
      <c r="J164" s="67">
        <v>9.4038238772209404</v>
      </c>
      <c r="K164" s="65">
        <v>49</v>
      </c>
      <c r="L164" s="65">
        <v>68</v>
      </c>
      <c r="M164" s="66">
        <v>5.7761732851985603E-2</v>
      </c>
      <c r="N164" s="67">
        <v>3115.9251244813499</v>
      </c>
      <c r="O164" s="67">
        <v>97.372660140042299</v>
      </c>
      <c r="P164" s="67">
        <v>503.64999921619898</v>
      </c>
      <c r="Q164" s="68">
        <v>0.161637388286097</v>
      </c>
    </row>
    <row r="165" spans="1:17" x14ac:dyDescent="0.35">
      <c r="A165" s="62" t="s">
        <v>136</v>
      </c>
      <c r="B165" s="63">
        <v>338793</v>
      </c>
      <c r="C165" s="63" t="s">
        <v>139</v>
      </c>
      <c r="D165" s="64">
        <v>42588</v>
      </c>
      <c r="E165" s="63" t="s">
        <v>138</v>
      </c>
      <c r="F165" s="65">
        <v>7067</v>
      </c>
      <c r="G165" s="66">
        <v>7.5349998513806696E-3</v>
      </c>
      <c r="H165" s="65">
        <v>153</v>
      </c>
      <c r="I165" s="67">
        <v>0.95067060904860301</v>
      </c>
      <c r="J165" s="67">
        <v>7.1633028978931996</v>
      </c>
      <c r="K165" s="65">
        <v>67</v>
      </c>
      <c r="L165" s="65">
        <v>66</v>
      </c>
      <c r="M165" s="66">
        <v>5.52268244575937E-2</v>
      </c>
      <c r="N165" s="67">
        <v>3194.4731527987301</v>
      </c>
      <c r="O165" s="67">
        <v>114.08832688566901</v>
      </c>
      <c r="P165" s="67">
        <v>481.98999878764198</v>
      </c>
      <c r="Q165" s="68">
        <v>0.150882469732251</v>
      </c>
    </row>
    <row r="166" spans="1:17" x14ac:dyDescent="0.35">
      <c r="A166" s="62" t="s">
        <v>136</v>
      </c>
      <c r="B166" s="63">
        <v>338793</v>
      </c>
      <c r="C166" s="63" t="s">
        <v>139</v>
      </c>
      <c r="D166" s="64">
        <v>42589</v>
      </c>
      <c r="E166" s="63" t="s">
        <v>138</v>
      </c>
      <c r="F166" s="65">
        <v>35886</v>
      </c>
      <c r="G166" s="66">
        <v>7.4382210125877599E-3</v>
      </c>
      <c r="H166" s="65">
        <v>410</v>
      </c>
      <c r="I166" s="67">
        <v>0.92274427627699296</v>
      </c>
      <c r="J166" s="67">
        <v>6.8635758650486096</v>
      </c>
      <c r="K166" s="65">
        <v>84</v>
      </c>
      <c r="L166" s="65">
        <v>52</v>
      </c>
      <c r="M166" s="66">
        <v>6.2370062370062401E-2</v>
      </c>
      <c r="N166" s="67">
        <v>2932.2296990507898</v>
      </c>
      <c r="O166" s="67">
        <v>97.740989968359699</v>
      </c>
      <c r="P166" s="67">
        <v>443.83999688923399</v>
      </c>
      <c r="Q166" s="68">
        <v>0.151366039649933</v>
      </c>
    </row>
    <row r="167" spans="1:17" x14ac:dyDescent="0.35">
      <c r="A167" s="62" t="s">
        <v>136</v>
      </c>
      <c r="B167" s="63">
        <v>338793</v>
      </c>
      <c r="C167" s="63" t="s">
        <v>139</v>
      </c>
      <c r="D167" s="64">
        <v>42590</v>
      </c>
      <c r="E167" s="63" t="s">
        <v>138</v>
      </c>
      <c r="F167" s="65">
        <v>29993</v>
      </c>
      <c r="G167" s="66">
        <v>7.5952821321366801E-3</v>
      </c>
      <c r="H167" s="65">
        <v>173</v>
      </c>
      <c r="I167" s="67">
        <v>0.92099800818932498</v>
      </c>
      <c r="J167" s="67">
        <v>6.9952397153338604</v>
      </c>
      <c r="K167" s="65">
        <v>25</v>
      </c>
      <c r="L167" s="65">
        <v>71</v>
      </c>
      <c r="M167" s="66">
        <v>7.3852295409181604E-2</v>
      </c>
      <c r="N167" s="67">
        <v>3675.9703791250499</v>
      </c>
      <c r="O167" s="67">
        <v>99.350550787163399</v>
      </c>
      <c r="P167" s="67">
        <v>461.42000210285198</v>
      </c>
      <c r="Q167" s="68">
        <v>0.125523318882858</v>
      </c>
    </row>
    <row r="168" spans="1:17" x14ac:dyDescent="0.35">
      <c r="A168" s="62" t="s">
        <v>136</v>
      </c>
      <c r="B168" s="63">
        <v>338793</v>
      </c>
      <c r="C168" s="63" t="s">
        <v>139</v>
      </c>
      <c r="D168" s="64">
        <v>42591</v>
      </c>
      <c r="E168" s="63" t="s">
        <v>138</v>
      </c>
      <c r="F168" s="65">
        <v>56551</v>
      </c>
      <c r="G168" s="66">
        <v>7.5319612830762103E-3</v>
      </c>
      <c r="H168" s="65">
        <v>165</v>
      </c>
      <c r="I168" s="67">
        <v>0.96094297565389097</v>
      </c>
      <c r="J168" s="67">
        <v>7.2377852878691504</v>
      </c>
      <c r="K168" s="65">
        <v>99</v>
      </c>
      <c r="L168" s="65">
        <v>56</v>
      </c>
      <c r="M168" s="66">
        <v>5.2631578947368397E-2</v>
      </c>
      <c r="N168" s="67">
        <v>2082.55732299994</v>
      </c>
      <c r="O168" s="67">
        <v>86.773221791664199</v>
      </c>
      <c r="P168" s="67">
        <v>438.189996898174</v>
      </c>
      <c r="Q168" s="68">
        <v>0.210409572912479</v>
      </c>
    </row>
    <row r="169" spans="1:17" x14ac:dyDescent="0.35">
      <c r="A169" s="62" t="s">
        <v>136</v>
      </c>
      <c r="B169" s="63">
        <v>338793</v>
      </c>
      <c r="C169" s="63" t="s">
        <v>139</v>
      </c>
      <c r="D169" s="64">
        <v>42592</v>
      </c>
      <c r="E169" s="63" t="s">
        <v>138</v>
      </c>
      <c r="F169" s="65">
        <v>29466</v>
      </c>
      <c r="G169" s="66">
        <v>7.6294904727217004E-3</v>
      </c>
      <c r="H169" s="65">
        <v>473</v>
      </c>
      <c r="I169" s="67">
        <v>0.91241203986070896</v>
      </c>
      <c r="J169" s="67">
        <v>6.96123896531385</v>
      </c>
      <c r="K169" s="65">
        <v>27</v>
      </c>
      <c r="L169" s="65">
        <v>51</v>
      </c>
      <c r="M169" s="66">
        <v>5.7788944723618098E-2</v>
      </c>
      <c r="N169" s="67">
        <v>2272.41765755911</v>
      </c>
      <c r="O169" s="67">
        <v>98.800767719961499</v>
      </c>
      <c r="P169" s="67">
        <v>363.13999186456198</v>
      </c>
      <c r="Q169" s="68">
        <v>0.15980336654073701</v>
      </c>
    </row>
    <row r="170" spans="1:17" x14ac:dyDescent="0.35">
      <c r="A170" s="62" t="s">
        <v>136</v>
      </c>
      <c r="B170" s="63">
        <v>338793</v>
      </c>
      <c r="C170" s="63" t="s">
        <v>139</v>
      </c>
      <c r="D170" s="64">
        <v>42593</v>
      </c>
      <c r="E170" s="63" t="s">
        <v>138</v>
      </c>
      <c r="F170" s="65">
        <v>20918</v>
      </c>
      <c r="G170" s="66">
        <v>7.4120271534457499E-3</v>
      </c>
      <c r="H170" s="65">
        <v>305</v>
      </c>
      <c r="I170" s="67">
        <v>0.94388349489293799</v>
      </c>
      <c r="J170" s="67">
        <v>6.99609009383573</v>
      </c>
      <c r="K170" s="65">
        <v>38</v>
      </c>
      <c r="L170" s="65">
        <v>33</v>
      </c>
      <c r="M170" s="66">
        <v>3.2362459546925598E-2</v>
      </c>
      <c r="N170" s="67">
        <v>1154.8542840704099</v>
      </c>
      <c r="O170" s="67">
        <v>115.485428407041</v>
      </c>
      <c r="P170" s="67">
        <v>291.65999992191797</v>
      </c>
      <c r="Q170" s="68">
        <v>0.252551342576253</v>
      </c>
    </row>
    <row r="171" spans="1:17" x14ac:dyDescent="0.35">
      <c r="A171" s="62" t="s">
        <v>136</v>
      </c>
      <c r="B171" s="63">
        <v>338793</v>
      </c>
      <c r="C171" s="63" t="s">
        <v>139</v>
      </c>
      <c r="D171" s="64">
        <v>42594</v>
      </c>
      <c r="E171" s="63" t="s">
        <v>138</v>
      </c>
      <c r="F171" s="65">
        <v>28851</v>
      </c>
      <c r="G171" s="66">
        <v>8.0538714512628905E-3</v>
      </c>
      <c r="H171" s="65">
        <v>353</v>
      </c>
      <c r="I171" s="67">
        <v>0.93616667663057596</v>
      </c>
      <c r="J171" s="67">
        <v>7.5397660705386604</v>
      </c>
      <c r="K171" s="65">
        <v>80</v>
      </c>
      <c r="L171" s="65">
        <v>66</v>
      </c>
      <c r="M171" s="66">
        <v>8.3333333333333301E-2</v>
      </c>
      <c r="N171" s="67">
        <v>3346.87012765999</v>
      </c>
      <c r="O171" s="67">
        <v>111.562337588666</v>
      </c>
      <c r="P171" s="67">
        <v>337.02000358700798</v>
      </c>
      <c r="Q171" s="68">
        <v>0.100697066432823</v>
      </c>
    </row>
    <row r="172" spans="1:17" x14ac:dyDescent="0.35">
      <c r="A172" s="62" t="s">
        <v>136</v>
      </c>
      <c r="B172" s="63">
        <v>338793</v>
      </c>
      <c r="C172" s="63" t="s">
        <v>139</v>
      </c>
      <c r="D172" s="64">
        <v>42595</v>
      </c>
      <c r="E172" s="63" t="s">
        <v>138</v>
      </c>
      <c r="F172" s="65">
        <v>24025</v>
      </c>
      <c r="G172" s="66">
        <v>6.9487992135993104E-3</v>
      </c>
      <c r="H172" s="65">
        <v>244</v>
      </c>
      <c r="I172" s="67">
        <v>0.93643902798251399</v>
      </c>
      <c r="J172" s="67">
        <v>6.5071267812286004</v>
      </c>
      <c r="K172" s="65">
        <v>52</v>
      </c>
      <c r="L172" s="65">
        <v>51</v>
      </c>
      <c r="M172" s="66">
        <v>6.3414634146341506E-2</v>
      </c>
      <c r="N172" s="67">
        <v>3038.6704752251599</v>
      </c>
      <c r="O172" s="67">
        <v>116.871941354814</v>
      </c>
      <c r="P172" s="67">
        <v>383.940001472831</v>
      </c>
      <c r="Q172" s="68">
        <v>0.12635131206333999</v>
      </c>
    </row>
    <row r="173" spans="1:17" x14ac:dyDescent="0.35">
      <c r="A173" s="62" t="s">
        <v>136</v>
      </c>
      <c r="B173" s="63">
        <v>338793</v>
      </c>
      <c r="C173" s="63" t="s">
        <v>139</v>
      </c>
      <c r="D173" s="64">
        <v>42596</v>
      </c>
      <c r="E173" s="63" t="s">
        <v>138</v>
      </c>
      <c r="F173" s="65">
        <v>31846</v>
      </c>
      <c r="G173" s="66">
        <v>6.8488494612691598E-3</v>
      </c>
      <c r="H173" s="65">
        <v>414</v>
      </c>
      <c r="I173" s="67">
        <v>0.95575681047758998</v>
      </c>
      <c r="J173" s="67">
        <v>6.5458345165437803</v>
      </c>
      <c r="K173" s="65">
        <v>19</v>
      </c>
      <c r="L173" s="65">
        <v>35</v>
      </c>
      <c r="M173" s="66">
        <v>6.4516129032258104E-2</v>
      </c>
      <c r="N173" s="67">
        <v>2891.01571209535</v>
      </c>
      <c r="O173" s="67">
        <v>111.192912003667</v>
      </c>
      <c r="P173" s="67">
        <v>385.16999462246901</v>
      </c>
      <c r="Q173" s="68">
        <v>0.13322999007269501</v>
      </c>
    </row>
    <row r="174" spans="1:17" x14ac:dyDescent="0.35">
      <c r="A174" s="62" t="s">
        <v>136</v>
      </c>
      <c r="B174" s="63">
        <v>338793</v>
      </c>
      <c r="C174" s="63" t="s">
        <v>139</v>
      </c>
      <c r="D174" s="64">
        <v>42597</v>
      </c>
      <c r="E174" s="63" t="s">
        <v>138</v>
      </c>
      <c r="F174" s="65">
        <v>3080</v>
      </c>
      <c r="G174" s="66">
        <v>7.8443204103183003E-3</v>
      </c>
      <c r="H174" s="65">
        <v>580</v>
      </c>
      <c r="I174" s="67">
        <v>0.97302884995364203</v>
      </c>
      <c r="J174" s="67">
        <v>7.6327500675198996</v>
      </c>
      <c r="K174" s="65">
        <v>54</v>
      </c>
      <c r="L174" s="65">
        <v>44</v>
      </c>
      <c r="M174" s="66">
        <v>5.7692307692307702E-2</v>
      </c>
      <c r="N174" s="67">
        <v>2966.45971305783</v>
      </c>
      <c r="O174" s="67">
        <v>123.602488044076</v>
      </c>
      <c r="P174" s="67">
        <v>404.78000158071501</v>
      </c>
      <c r="Q174" s="68">
        <v>0.13645221601997401</v>
      </c>
    </row>
    <row r="175" spans="1:17" x14ac:dyDescent="0.35">
      <c r="A175" s="62" t="s">
        <v>136</v>
      </c>
      <c r="B175" s="63">
        <v>338793</v>
      </c>
      <c r="C175" s="63" t="s">
        <v>139</v>
      </c>
      <c r="D175" s="64">
        <v>42598</v>
      </c>
      <c r="E175" s="63" t="s">
        <v>138</v>
      </c>
      <c r="F175" s="65">
        <v>48897</v>
      </c>
      <c r="G175" s="66">
        <v>7.9139454475605098E-3</v>
      </c>
      <c r="H175" s="65">
        <v>516</v>
      </c>
      <c r="I175" s="67">
        <v>0.95155339254048299</v>
      </c>
      <c r="J175" s="67">
        <v>7.5305416390065103</v>
      </c>
      <c r="K175" s="65">
        <v>67</v>
      </c>
      <c r="L175" s="65">
        <v>45</v>
      </c>
      <c r="M175" s="66">
        <v>4.85436893203883E-2</v>
      </c>
      <c r="N175" s="67">
        <v>2021.6416679470501</v>
      </c>
      <c r="O175" s="67">
        <v>101.08208339735199</v>
      </c>
      <c r="P175" s="67">
        <v>392.03999772667902</v>
      </c>
      <c r="Q175" s="68">
        <v>0.193921605367776</v>
      </c>
    </row>
    <row r="176" spans="1:17" x14ac:dyDescent="0.35">
      <c r="A176" s="62" t="s">
        <v>136</v>
      </c>
      <c r="B176" s="63">
        <v>338793</v>
      </c>
      <c r="C176" s="63" t="s">
        <v>139</v>
      </c>
      <c r="D176" s="64">
        <v>42599</v>
      </c>
      <c r="E176" s="63" t="s">
        <v>138</v>
      </c>
      <c r="F176" s="65">
        <v>46720</v>
      </c>
      <c r="G176" s="66">
        <v>8.1614864998712407E-3</v>
      </c>
      <c r="H176" s="65">
        <v>162</v>
      </c>
      <c r="I176" s="67">
        <v>0.93650484501013498</v>
      </c>
      <c r="J176" s="67">
        <v>7.6432716496142197</v>
      </c>
      <c r="K176" s="65">
        <v>95</v>
      </c>
      <c r="L176" s="65">
        <v>49</v>
      </c>
      <c r="M176" s="66">
        <v>7.2815533980582506E-2</v>
      </c>
      <c r="N176" s="67">
        <v>2335.9630674838099</v>
      </c>
      <c r="O176" s="67">
        <v>77.865435582793694</v>
      </c>
      <c r="P176" s="67">
        <v>385.83999614417598</v>
      </c>
      <c r="Q176" s="68">
        <v>0.16517384264974</v>
      </c>
    </row>
    <row r="177" spans="1:17" x14ac:dyDescent="0.35">
      <c r="A177" s="62" t="s">
        <v>136</v>
      </c>
      <c r="B177" s="63">
        <v>338793</v>
      </c>
      <c r="C177" s="63" t="s">
        <v>139</v>
      </c>
      <c r="D177" s="64">
        <v>42600</v>
      </c>
      <c r="E177" s="63" t="s">
        <v>138</v>
      </c>
      <c r="F177" s="65">
        <v>20618</v>
      </c>
      <c r="G177" s="66">
        <v>9.0135547349831403E-3</v>
      </c>
      <c r="H177" s="65">
        <v>348</v>
      </c>
      <c r="I177" s="67">
        <v>0.99083965345648395</v>
      </c>
      <c r="J177" s="67">
        <v>8.9309874500217497</v>
      </c>
      <c r="K177" s="65">
        <v>90</v>
      </c>
      <c r="L177" s="65">
        <v>26</v>
      </c>
      <c r="M177" s="66">
        <v>4.3256997455470701E-2</v>
      </c>
      <c r="N177" s="67">
        <v>1413.0453595541201</v>
      </c>
      <c r="O177" s="67">
        <v>83.120315267889197</v>
      </c>
      <c r="P177" s="67">
        <v>389.39998380839802</v>
      </c>
      <c r="Q177" s="68">
        <v>0.27557500626255399</v>
      </c>
    </row>
    <row r="178" spans="1:17" x14ac:dyDescent="0.35">
      <c r="A178" s="62" t="s">
        <v>136</v>
      </c>
      <c r="B178" s="63">
        <v>338793</v>
      </c>
      <c r="C178" s="63" t="s">
        <v>139</v>
      </c>
      <c r="D178" s="64">
        <v>42601</v>
      </c>
      <c r="E178" s="63" t="s">
        <v>138</v>
      </c>
      <c r="F178" s="65">
        <v>19813</v>
      </c>
      <c r="G178" s="66">
        <v>9.2491634394856592E-3</v>
      </c>
      <c r="H178" s="65">
        <v>304</v>
      </c>
      <c r="I178" s="67">
        <v>1.018617842407</v>
      </c>
      <c r="J178" s="67">
        <v>9.4213629067986204</v>
      </c>
      <c r="K178" s="65">
        <v>21</v>
      </c>
      <c r="L178" s="65">
        <v>37</v>
      </c>
      <c r="M178" s="66">
        <v>3.4552845528455299E-2</v>
      </c>
      <c r="N178" s="67">
        <v>3044.7491071700701</v>
      </c>
      <c r="O178" s="67">
        <v>179.102888657063</v>
      </c>
      <c r="P178" s="67">
        <v>501.15997846424602</v>
      </c>
      <c r="Q178" s="68">
        <v>0.164598119852984</v>
      </c>
    </row>
    <row r="179" spans="1:17" x14ac:dyDescent="0.35">
      <c r="A179" s="62" t="s">
        <v>136</v>
      </c>
      <c r="B179" s="63">
        <v>338793</v>
      </c>
      <c r="C179" s="63" t="s">
        <v>139</v>
      </c>
      <c r="D179" s="64">
        <v>42602</v>
      </c>
      <c r="E179" s="63" t="s">
        <v>138</v>
      </c>
      <c r="F179" s="65">
        <v>45903</v>
      </c>
      <c r="G179" s="66">
        <v>7.2871966918935799E-3</v>
      </c>
      <c r="H179" s="65">
        <v>373</v>
      </c>
      <c r="I179" s="67">
        <v>0.94719484011289601</v>
      </c>
      <c r="J179" s="67">
        <v>6.9023951054493704</v>
      </c>
      <c r="K179" s="65">
        <v>58</v>
      </c>
      <c r="L179" s="65">
        <v>70</v>
      </c>
      <c r="M179" s="66">
        <v>7.7087794432548207E-2</v>
      </c>
      <c r="N179" s="67">
        <v>3670.1586608702501</v>
      </c>
      <c r="O179" s="67">
        <v>101.94885169084</v>
      </c>
      <c r="P179" s="67">
        <v>442.339990332723</v>
      </c>
      <c r="Q179" s="68">
        <v>0.120523397271288</v>
      </c>
    </row>
    <row r="180" spans="1:17" x14ac:dyDescent="0.35">
      <c r="A180" s="62" t="s">
        <v>136</v>
      </c>
      <c r="B180" s="63">
        <v>338793</v>
      </c>
      <c r="C180" s="63" t="s">
        <v>139</v>
      </c>
      <c r="D180" s="64">
        <v>42603</v>
      </c>
      <c r="E180" s="63" t="s">
        <v>138</v>
      </c>
      <c r="F180" s="65">
        <v>50920</v>
      </c>
      <c r="G180" s="66">
        <v>7.6228847703464896E-3</v>
      </c>
      <c r="H180" s="65">
        <v>399</v>
      </c>
      <c r="I180" s="67">
        <v>0.90970400971287702</v>
      </c>
      <c r="J180" s="67">
        <v>6.9345688411634301</v>
      </c>
      <c r="K180" s="65">
        <v>31</v>
      </c>
      <c r="L180" s="65">
        <v>38</v>
      </c>
      <c r="M180" s="66">
        <v>2.7484143763213498E-2</v>
      </c>
      <c r="N180" s="67">
        <v>1591.78306078331</v>
      </c>
      <c r="O180" s="67">
        <v>122.44485082948501</v>
      </c>
      <c r="P180" s="67">
        <v>430.289996594191</v>
      </c>
      <c r="Q180" s="68">
        <v>0.2703194971697</v>
      </c>
    </row>
    <row r="181" spans="1:17" x14ac:dyDescent="0.35">
      <c r="A181" s="62" t="s">
        <v>136</v>
      </c>
      <c r="B181" s="63">
        <v>338793</v>
      </c>
      <c r="C181" s="63" t="s">
        <v>139</v>
      </c>
      <c r="D181" s="64">
        <v>42604</v>
      </c>
      <c r="E181" s="63" t="s">
        <v>138</v>
      </c>
      <c r="F181" s="65">
        <v>7813</v>
      </c>
      <c r="G181" s="66">
        <v>8.6755155806890107E-3</v>
      </c>
      <c r="H181" s="65">
        <v>270</v>
      </c>
      <c r="I181" s="67">
        <v>0.90588006377220198</v>
      </c>
      <c r="J181" s="67">
        <v>7.8589766074912903</v>
      </c>
      <c r="K181" s="65">
        <v>67</v>
      </c>
      <c r="L181" s="65">
        <v>51</v>
      </c>
      <c r="M181" s="66">
        <v>5.2224371373307502E-2</v>
      </c>
      <c r="N181" s="67">
        <v>3863.7696884689399</v>
      </c>
      <c r="O181" s="67">
        <v>143.10258105440499</v>
      </c>
      <c r="P181" s="67">
        <v>468.33999297022802</v>
      </c>
      <c r="Q181" s="68">
        <v>0.121213227167226</v>
      </c>
    </row>
    <row r="182" spans="1:17" x14ac:dyDescent="0.35">
      <c r="A182" s="62" t="s">
        <v>136</v>
      </c>
      <c r="B182" s="63">
        <v>338793</v>
      </c>
      <c r="C182" s="63" t="s">
        <v>139</v>
      </c>
      <c r="D182" s="64">
        <v>42605</v>
      </c>
      <c r="E182" s="63" t="s">
        <v>138</v>
      </c>
      <c r="F182" s="65">
        <v>28403</v>
      </c>
      <c r="G182" s="66">
        <v>9.3359907689080004E-3</v>
      </c>
      <c r="H182" s="65">
        <v>283</v>
      </c>
      <c r="I182" s="67">
        <v>0.86453182267004203</v>
      </c>
      <c r="J182" s="67">
        <v>8.0712611158747194</v>
      </c>
      <c r="K182" s="65">
        <v>85</v>
      </c>
      <c r="L182" s="65">
        <v>55</v>
      </c>
      <c r="M182" s="66">
        <v>6.9288389513108603E-2</v>
      </c>
      <c r="N182" s="67">
        <v>4594.3266927301702</v>
      </c>
      <c r="O182" s="67">
        <v>124.17099169541</v>
      </c>
      <c r="P182" s="67">
        <v>461.659993305802</v>
      </c>
      <c r="Q182" s="68">
        <v>0.100484798792456</v>
      </c>
    </row>
    <row r="183" spans="1:17" x14ac:dyDescent="0.35">
      <c r="A183" s="62" t="s">
        <v>136</v>
      </c>
      <c r="B183" s="63">
        <v>338793</v>
      </c>
      <c r="C183" s="63" t="s">
        <v>139</v>
      </c>
      <c r="D183" s="64">
        <v>42606</v>
      </c>
      <c r="E183" s="63" t="s">
        <v>138</v>
      </c>
      <c r="F183" s="65">
        <v>30407</v>
      </c>
      <c r="G183" s="66">
        <v>8.0837443250481797E-3</v>
      </c>
      <c r="H183" s="65">
        <v>252</v>
      </c>
      <c r="I183" s="67">
        <v>0.87610098605204101</v>
      </c>
      <c r="J183" s="67">
        <v>7.0821763741673003</v>
      </c>
      <c r="K183" s="65">
        <v>73</v>
      </c>
      <c r="L183" s="65">
        <v>82</v>
      </c>
      <c r="M183" s="66">
        <v>6.2626262626262599E-2</v>
      </c>
      <c r="N183" s="67">
        <v>4240.9898750040702</v>
      </c>
      <c r="O183" s="67">
        <v>136.806125000131</v>
      </c>
      <c r="P183" s="67">
        <v>433.66998809576</v>
      </c>
      <c r="Q183" s="68">
        <v>0.102256784589787</v>
      </c>
    </row>
    <row r="184" spans="1:17" x14ac:dyDescent="0.35">
      <c r="A184" s="62" t="s">
        <v>136</v>
      </c>
      <c r="B184" s="63">
        <v>338793</v>
      </c>
      <c r="C184" s="63" t="s">
        <v>139</v>
      </c>
      <c r="D184" s="64">
        <v>42607</v>
      </c>
      <c r="E184" s="63" t="s">
        <v>138</v>
      </c>
      <c r="F184" s="65">
        <v>7426</v>
      </c>
      <c r="G184" s="66">
        <v>9.3863737947768294E-3</v>
      </c>
      <c r="H184" s="65">
        <v>450</v>
      </c>
      <c r="I184" s="67">
        <v>0.87324260594217695</v>
      </c>
      <c r="J184" s="67">
        <v>8.1965815128982804</v>
      </c>
      <c r="K184" s="65">
        <v>81</v>
      </c>
      <c r="L184" s="65">
        <v>29</v>
      </c>
      <c r="M184" s="66">
        <v>3.8548752834467098E-2</v>
      </c>
      <c r="N184" s="67">
        <v>2344.8007973047502</v>
      </c>
      <c r="O184" s="67">
        <v>137.92945866498499</v>
      </c>
      <c r="P184" s="67">
        <v>385.09998922049999</v>
      </c>
      <c r="Q184" s="68">
        <v>0.16423569527234699</v>
      </c>
    </row>
    <row r="185" spans="1:17" x14ac:dyDescent="0.35">
      <c r="A185" s="62" t="s">
        <v>136</v>
      </c>
      <c r="B185" s="63">
        <v>338793</v>
      </c>
      <c r="C185" s="63" t="s">
        <v>139</v>
      </c>
      <c r="D185" s="64">
        <v>42608</v>
      </c>
      <c r="E185" s="63" t="s">
        <v>138</v>
      </c>
      <c r="F185" s="65">
        <v>49978</v>
      </c>
      <c r="G185" s="66">
        <v>8.4140512839151697E-3</v>
      </c>
      <c r="H185" s="65">
        <v>253</v>
      </c>
      <c r="I185" s="67">
        <v>0.89637146680967905</v>
      </c>
      <c r="J185" s="67">
        <v>7.5421154911748998</v>
      </c>
      <c r="K185" s="65">
        <v>73</v>
      </c>
      <c r="L185" s="65">
        <v>59</v>
      </c>
      <c r="M185" s="66">
        <v>5.3995680345572401E-2</v>
      </c>
      <c r="N185" s="67">
        <v>3379.4188848917502</v>
      </c>
      <c r="O185" s="67">
        <v>135.17675539567</v>
      </c>
      <c r="P185" s="67">
        <v>415.01998913288099</v>
      </c>
      <c r="Q185" s="68">
        <v>0.122808093127578</v>
      </c>
    </row>
    <row r="186" spans="1:17" x14ac:dyDescent="0.35">
      <c r="A186" s="62" t="s">
        <v>136</v>
      </c>
      <c r="B186" s="63">
        <v>338793</v>
      </c>
      <c r="C186" s="63" t="s">
        <v>139</v>
      </c>
      <c r="D186" s="64">
        <v>42609</v>
      </c>
      <c r="E186" s="63" t="s">
        <v>138</v>
      </c>
      <c r="F186" s="65">
        <v>35105</v>
      </c>
      <c r="G186" s="66">
        <v>7.5147096444103398E-3</v>
      </c>
      <c r="H186" s="65">
        <v>281</v>
      </c>
      <c r="I186" s="67">
        <v>0.93593616212936204</v>
      </c>
      <c r="J186" s="67">
        <v>7.0332885041059097</v>
      </c>
      <c r="K186" s="65">
        <v>25</v>
      </c>
      <c r="L186" s="65">
        <v>58</v>
      </c>
      <c r="M186" s="66">
        <v>6.1702127659574502E-2</v>
      </c>
      <c r="N186" s="67">
        <v>3291.3864347560202</v>
      </c>
      <c r="O186" s="67">
        <v>113.49608395710401</v>
      </c>
      <c r="P186" s="67">
        <v>439.8899962008</v>
      </c>
      <c r="Q186" s="68">
        <v>0.133648845226953</v>
      </c>
    </row>
    <row r="187" spans="1:17" x14ac:dyDescent="0.35">
      <c r="A187" s="62" t="s">
        <v>136</v>
      </c>
      <c r="B187" s="63">
        <v>338793</v>
      </c>
      <c r="C187" s="63" t="s">
        <v>139</v>
      </c>
      <c r="D187" s="64">
        <v>42610</v>
      </c>
      <c r="E187" s="63" t="s">
        <v>138</v>
      </c>
      <c r="F187" s="65">
        <v>51244</v>
      </c>
      <c r="G187" s="66">
        <v>7.4446044176001702E-3</v>
      </c>
      <c r="H187" s="65">
        <v>436</v>
      </c>
      <c r="I187" s="67">
        <v>0.95507075939819497</v>
      </c>
      <c r="J187" s="67">
        <v>7.1101239945365498</v>
      </c>
      <c r="K187" s="65">
        <v>10</v>
      </c>
      <c r="L187" s="65">
        <v>38</v>
      </c>
      <c r="M187" s="66">
        <v>6.6037735849056603E-2</v>
      </c>
      <c r="N187" s="67">
        <v>2815.5716239717399</v>
      </c>
      <c r="O187" s="67">
        <v>100.556129427562</v>
      </c>
      <c r="P187" s="67">
        <v>404.95000198483501</v>
      </c>
      <c r="Q187" s="68">
        <v>0.14382514674359401</v>
      </c>
    </row>
    <row r="188" spans="1:17" x14ac:dyDescent="0.35">
      <c r="A188" s="62" t="s">
        <v>136</v>
      </c>
      <c r="B188" s="63">
        <v>338793</v>
      </c>
      <c r="C188" s="63" t="s">
        <v>139</v>
      </c>
      <c r="D188" s="64">
        <v>42611</v>
      </c>
      <c r="E188" s="63" t="s">
        <v>138</v>
      </c>
      <c r="F188" s="65">
        <v>15928</v>
      </c>
      <c r="G188" s="66">
        <v>7.9888630503219295E-3</v>
      </c>
      <c r="H188" s="65">
        <v>495</v>
      </c>
      <c r="I188" s="67">
        <v>0.93887129968935901</v>
      </c>
      <c r="J188" s="67">
        <v>7.5005142350960403</v>
      </c>
      <c r="K188" s="65">
        <v>65</v>
      </c>
      <c r="L188" s="65">
        <v>38</v>
      </c>
      <c r="M188" s="66">
        <v>4.15841584158416E-2</v>
      </c>
      <c r="N188" s="67">
        <v>2792.4211240262898</v>
      </c>
      <c r="O188" s="67">
        <v>132.97243447744199</v>
      </c>
      <c r="P188" s="67">
        <v>474.13000634312601</v>
      </c>
      <c r="Q188" s="68">
        <v>0.169791727423798</v>
      </c>
    </row>
    <row r="189" spans="1:17" x14ac:dyDescent="0.35">
      <c r="A189" s="62" t="s">
        <v>136</v>
      </c>
      <c r="B189" s="63">
        <v>338793</v>
      </c>
      <c r="C189" s="63" t="s">
        <v>139</v>
      </c>
      <c r="D189" s="64">
        <v>42612</v>
      </c>
      <c r="E189" s="63" t="s">
        <v>138</v>
      </c>
      <c r="F189" s="65">
        <v>65337</v>
      </c>
      <c r="G189" s="66">
        <v>8.32621690862511E-3</v>
      </c>
      <c r="H189" s="65">
        <v>518</v>
      </c>
      <c r="I189" s="67">
        <v>0.94266272140795404</v>
      </c>
      <c r="J189" s="67">
        <v>7.8488142901174696</v>
      </c>
      <c r="K189" s="65">
        <v>84</v>
      </c>
      <c r="L189" s="65">
        <v>52</v>
      </c>
      <c r="M189" s="66">
        <v>5.9171597633136098E-2</v>
      </c>
      <c r="N189" s="67">
        <v>3913.0022764658202</v>
      </c>
      <c r="O189" s="67">
        <v>130.43340921552701</v>
      </c>
      <c r="P189" s="67">
        <v>477.92999975383299</v>
      </c>
      <c r="Q189" s="68">
        <v>0.122138952647248</v>
      </c>
    </row>
    <row r="190" spans="1:17" x14ac:dyDescent="0.35">
      <c r="A190" s="62" t="s">
        <v>136</v>
      </c>
      <c r="B190" s="63">
        <v>338793</v>
      </c>
      <c r="C190" s="63" t="s">
        <v>139</v>
      </c>
      <c r="D190" s="64">
        <v>42613</v>
      </c>
      <c r="E190" s="63" t="s">
        <v>138</v>
      </c>
      <c r="F190" s="65">
        <v>58856</v>
      </c>
      <c r="G190" s="66">
        <v>8.6450427146795607E-3</v>
      </c>
      <c r="H190" s="65">
        <v>202</v>
      </c>
      <c r="I190" s="67">
        <v>0.94064961898866595</v>
      </c>
      <c r="J190" s="67">
        <v>8.1319561357040708</v>
      </c>
      <c r="K190" s="65">
        <v>87</v>
      </c>
      <c r="L190" s="65">
        <v>72</v>
      </c>
      <c r="M190" s="66">
        <v>8.4645669291338599E-2</v>
      </c>
      <c r="N190" s="67">
        <v>6298.5901142692001</v>
      </c>
      <c r="O190" s="67">
        <v>146.47883986672599</v>
      </c>
      <c r="P190" s="67">
        <v>477.85000644624199</v>
      </c>
      <c r="Q190" s="68">
        <v>7.5866185571226902E-2</v>
      </c>
    </row>
    <row r="191" spans="1:17" x14ac:dyDescent="0.35">
      <c r="A191" s="62" t="s">
        <v>136</v>
      </c>
      <c r="B191" s="63">
        <v>338793</v>
      </c>
      <c r="C191" s="63" t="s">
        <v>139</v>
      </c>
      <c r="D191" s="64">
        <v>42614</v>
      </c>
      <c r="E191" s="63" t="s">
        <v>138</v>
      </c>
      <c r="F191" s="65">
        <v>14637</v>
      </c>
      <c r="G191" s="66">
        <v>9.1727678195741794E-3</v>
      </c>
      <c r="H191" s="65">
        <v>420</v>
      </c>
      <c r="I191" s="67">
        <v>0.89394496606850804</v>
      </c>
      <c r="J191" s="67">
        <v>8.1999496172235506</v>
      </c>
      <c r="K191" s="65">
        <v>74</v>
      </c>
      <c r="L191" s="65">
        <v>43</v>
      </c>
      <c r="M191" s="66">
        <v>5.9633027522935797E-2</v>
      </c>
      <c r="N191" s="67">
        <v>3125.7912023261601</v>
      </c>
      <c r="O191" s="67">
        <v>120.222738551006</v>
      </c>
      <c r="P191" s="67">
        <v>389.76000520587002</v>
      </c>
      <c r="Q191" s="68">
        <v>0.124691631646995</v>
      </c>
    </row>
    <row r="192" spans="1:17" x14ac:dyDescent="0.35">
      <c r="A192" s="62" t="s">
        <v>136</v>
      </c>
      <c r="B192" s="63">
        <v>338793</v>
      </c>
      <c r="C192" s="63" t="s">
        <v>139</v>
      </c>
      <c r="D192" s="64">
        <v>42615</v>
      </c>
      <c r="E192" s="63" t="s">
        <v>138</v>
      </c>
      <c r="F192" s="65">
        <v>38944</v>
      </c>
      <c r="G192" s="66">
        <v>8.9406088128858308E-3</v>
      </c>
      <c r="H192" s="65">
        <v>507</v>
      </c>
      <c r="I192" s="67">
        <v>0.91511906857883196</v>
      </c>
      <c r="J192" s="67">
        <v>8.1817216093757708</v>
      </c>
      <c r="K192" s="65">
        <v>94</v>
      </c>
      <c r="L192" s="65">
        <v>72</v>
      </c>
      <c r="M192" s="66">
        <v>7.3412698412698402E-2</v>
      </c>
      <c r="N192" s="67">
        <v>4713.3344964319203</v>
      </c>
      <c r="O192" s="67">
        <v>127.38741882248399</v>
      </c>
      <c r="P192" s="67">
        <v>461.22001056373102</v>
      </c>
      <c r="Q192" s="68">
        <v>9.7854292096791196E-2</v>
      </c>
    </row>
    <row r="193" spans="1:17" x14ac:dyDescent="0.35">
      <c r="A193" s="62" t="s">
        <v>136</v>
      </c>
      <c r="B193" s="63">
        <v>338793</v>
      </c>
      <c r="C193" s="63" t="s">
        <v>139</v>
      </c>
      <c r="D193" s="64">
        <v>42616</v>
      </c>
      <c r="E193" s="63" t="s">
        <v>138</v>
      </c>
      <c r="F193" s="65">
        <v>25014</v>
      </c>
      <c r="G193" s="66">
        <v>7.6328654786311304E-3</v>
      </c>
      <c r="H193" s="65">
        <v>242</v>
      </c>
      <c r="I193" s="67">
        <v>0.99479337830927805</v>
      </c>
      <c r="J193" s="67">
        <v>7.5931240356677199</v>
      </c>
      <c r="K193" s="65">
        <v>15</v>
      </c>
      <c r="L193" s="65">
        <v>58</v>
      </c>
      <c r="M193" s="66">
        <v>7.0247933884297495E-2</v>
      </c>
      <c r="N193" s="67">
        <v>4038.8725140136999</v>
      </c>
      <c r="O193" s="67">
        <v>118.79036805922701</v>
      </c>
      <c r="P193" s="67">
        <v>481.47999510169001</v>
      </c>
      <c r="Q193" s="68">
        <v>0.119211486233125</v>
      </c>
    </row>
    <row r="194" spans="1:17" x14ac:dyDescent="0.35">
      <c r="A194" s="62" t="s">
        <v>136</v>
      </c>
      <c r="B194" s="63">
        <v>338793</v>
      </c>
      <c r="C194" s="63" t="s">
        <v>139</v>
      </c>
      <c r="D194" s="64">
        <v>42617</v>
      </c>
      <c r="E194" s="63" t="s">
        <v>138</v>
      </c>
      <c r="F194" s="65">
        <v>18983</v>
      </c>
      <c r="G194" s="66">
        <v>7.9041827075080392E-3</v>
      </c>
      <c r="H194" s="65">
        <v>349</v>
      </c>
      <c r="I194" s="67">
        <v>1.0067294075909801</v>
      </c>
      <c r="J194" s="67">
        <v>7.9573731746204297</v>
      </c>
      <c r="K194" s="65">
        <v>14</v>
      </c>
      <c r="L194" s="65">
        <v>44</v>
      </c>
      <c r="M194" s="66">
        <v>0.08</v>
      </c>
      <c r="N194" s="67">
        <v>2559.22038105811</v>
      </c>
      <c r="O194" s="67">
        <v>75.271187678179601</v>
      </c>
      <c r="P194" s="67">
        <v>427.859998226166</v>
      </c>
      <c r="Q194" s="68">
        <v>0.16718372571308901</v>
      </c>
    </row>
    <row r="195" spans="1:17" x14ac:dyDescent="0.35">
      <c r="A195" s="62" t="s">
        <v>136</v>
      </c>
      <c r="B195" s="63">
        <v>338793</v>
      </c>
      <c r="C195" s="63" t="s">
        <v>139</v>
      </c>
      <c r="D195" s="64">
        <v>42618</v>
      </c>
      <c r="E195" s="63" t="s">
        <v>138</v>
      </c>
      <c r="F195" s="65">
        <v>22424</v>
      </c>
      <c r="G195" s="66">
        <v>7.6622706844470603E-3</v>
      </c>
      <c r="H195" s="65">
        <v>154</v>
      </c>
      <c r="I195" s="67">
        <v>0.98694710662731799</v>
      </c>
      <c r="J195" s="67">
        <v>7.5622558822103496</v>
      </c>
      <c r="K195" s="65">
        <v>18</v>
      </c>
      <c r="L195" s="65">
        <v>40</v>
      </c>
      <c r="M195" s="66">
        <v>6.4903846153846201E-2</v>
      </c>
      <c r="N195" s="67">
        <v>3520.8131077113198</v>
      </c>
      <c r="O195" s="67">
        <v>130.40048547078999</v>
      </c>
      <c r="P195" s="67">
        <v>410.569996356964</v>
      </c>
      <c r="Q195" s="68">
        <v>0.116612266484049</v>
      </c>
    </row>
    <row r="196" spans="1:17" x14ac:dyDescent="0.35">
      <c r="A196" s="62" t="s">
        <v>136</v>
      </c>
      <c r="B196" s="63">
        <v>338793</v>
      </c>
      <c r="C196" s="63" t="s">
        <v>139</v>
      </c>
      <c r="D196" s="64">
        <v>42619</v>
      </c>
      <c r="E196" s="63" t="s">
        <v>138</v>
      </c>
      <c r="F196" s="65">
        <v>29805</v>
      </c>
      <c r="G196" s="66">
        <v>6.4100418410041804E-3</v>
      </c>
      <c r="H196" s="65">
        <v>516</v>
      </c>
      <c r="I196" s="67">
        <v>1.17430808509921</v>
      </c>
      <c r="J196" s="67">
        <v>7.5273639597154602</v>
      </c>
      <c r="K196" s="65">
        <v>9</v>
      </c>
      <c r="L196" s="65">
        <v>40</v>
      </c>
      <c r="M196" s="66">
        <v>6.26631853785901E-2</v>
      </c>
      <c r="N196" s="67">
        <v>3661.61040627291</v>
      </c>
      <c r="O196" s="67">
        <v>152.567100261371</v>
      </c>
      <c r="P196" s="67">
        <v>449.75999659299902</v>
      </c>
      <c r="Q196" s="68">
        <v>0.12283119903266899</v>
      </c>
    </row>
    <row r="197" spans="1:17" x14ac:dyDescent="0.35">
      <c r="A197" s="62" t="s">
        <v>136</v>
      </c>
      <c r="B197" s="63">
        <v>338793</v>
      </c>
      <c r="C197" s="63" t="s">
        <v>139</v>
      </c>
      <c r="D197" s="64">
        <v>42620</v>
      </c>
      <c r="E197" s="63" t="s">
        <v>138</v>
      </c>
      <c r="F197" s="65">
        <v>11255</v>
      </c>
      <c r="G197" s="66">
        <v>7.4748525841137701E-3</v>
      </c>
      <c r="H197" s="65">
        <v>281</v>
      </c>
      <c r="I197" s="67">
        <v>1.2651740139709</v>
      </c>
      <c r="J197" s="67">
        <v>9.4569892476839694</v>
      </c>
      <c r="K197" s="65">
        <v>89</v>
      </c>
      <c r="L197" s="65">
        <v>37</v>
      </c>
      <c r="M197" s="66">
        <v>5.5684454756380501E-2</v>
      </c>
      <c r="N197" s="67">
        <v>2972.0433799769899</v>
      </c>
      <c r="O197" s="67">
        <v>123.835140832375</v>
      </c>
      <c r="P197" s="67">
        <v>545.29000002145801</v>
      </c>
      <c r="Q197" s="68">
        <v>0.18347309588249699</v>
      </c>
    </row>
    <row r="198" spans="1:17" x14ac:dyDescent="0.35">
      <c r="A198" s="62" t="s">
        <v>136</v>
      </c>
      <c r="B198" s="63">
        <v>338793</v>
      </c>
      <c r="C198" s="63" t="s">
        <v>139</v>
      </c>
      <c r="D198" s="64">
        <v>42621</v>
      </c>
      <c r="E198" s="63" t="s">
        <v>138</v>
      </c>
      <c r="F198" s="65">
        <v>35588</v>
      </c>
      <c r="G198" s="66">
        <v>7.7871660196391903E-3</v>
      </c>
      <c r="H198" s="65">
        <v>592</v>
      </c>
      <c r="I198" s="67">
        <v>1.21739002083404</v>
      </c>
      <c r="J198" s="67">
        <v>9.4800182028866509</v>
      </c>
      <c r="K198" s="65">
        <v>50</v>
      </c>
      <c r="L198" s="65">
        <v>38</v>
      </c>
      <c r="M198" s="66">
        <v>5.5718475073313803E-2</v>
      </c>
      <c r="N198" s="67">
        <v>2652.21799720437</v>
      </c>
      <c r="O198" s="67">
        <v>139.590420905493</v>
      </c>
      <c r="P198" s="67">
        <v>415.12999710440602</v>
      </c>
      <c r="Q198" s="68">
        <v>0.156521823448142</v>
      </c>
    </row>
    <row r="199" spans="1:17" x14ac:dyDescent="0.35">
      <c r="A199" s="62" t="s">
        <v>136</v>
      </c>
      <c r="B199" s="63">
        <v>338793</v>
      </c>
      <c r="C199" s="63" t="s">
        <v>139</v>
      </c>
      <c r="D199" s="64">
        <v>42622</v>
      </c>
      <c r="E199" s="63" t="s">
        <v>138</v>
      </c>
      <c r="F199" s="65">
        <v>39864</v>
      </c>
      <c r="G199" s="66">
        <v>7.8909888756303198E-3</v>
      </c>
      <c r="H199" s="65">
        <v>157</v>
      </c>
      <c r="I199" s="67">
        <v>1.20217071916999</v>
      </c>
      <c r="J199" s="67">
        <v>9.4863157715788802</v>
      </c>
      <c r="K199" s="65">
        <v>88</v>
      </c>
      <c r="L199" s="65">
        <v>51</v>
      </c>
      <c r="M199" s="66">
        <v>7.0731707317073206E-2</v>
      </c>
      <c r="N199" s="67">
        <v>3613.36980991782</v>
      </c>
      <c r="O199" s="67">
        <v>124.59895896268399</v>
      </c>
      <c r="P199" s="67">
        <v>492.88999485969498</v>
      </c>
      <c r="Q199" s="68">
        <v>0.136407293133084</v>
      </c>
    </row>
    <row r="200" spans="1:17" x14ac:dyDescent="0.35">
      <c r="A200" s="62" t="s">
        <v>136</v>
      </c>
      <c r="B200" s="63">
        <v>338793</v>
      </c>
      <c r="C200" s="63" t="s">
        <v>139</v>
      </c>
      <c r="D200" s="64">
        <v>42623</v>
      </c>
      <c r="E200" s="63" t="s">
        <v>138</v>
      </c>
      <c r="F200" s="65">
        <v>35708</v>
      </c>
      <c r="G200" s="66">
        <v>6.8115057684939497E-3</v>
      </c>
      <c r="H200" s="65">
        <v>314</v>
      </c>
      <c r="I200" s="67">
        <v>1.2232708336164599</v>
      </c>
      <c r="J200" s="67">
        <v>8.3323163396088908</v>
      </c>
      <c r="K200" s="65">
        <v>78</v>
      </c>
      <c r="L200" s="65">
        <v>60</v>
      </c>
      <c r="M200" s="66">
        <v>5.2083333333333301E-2</v>
      </c>
      <c r="N200" s="67">
        <v>3001.6315869631499</v>
      </c>
      <c r="O200" s="67">
        <v>120.06526347852601</v>
      </c>
      <c r="P200" s="67">
        <v>587.17000013589904</v>
      </c>
      <c r="Q200" s="68">
        <v>0.19561694469305499</v>
      </c>
    </row>
    <row r="201" spans="1:17" x14ac:dyDescent="0.35">
      <c r="A201" s="62" t="s">
        <v>136</v>
      </c>
      <c r="B201" s="63">
        <v>338793</v>
      </c>
      <c r="C201" s="63" t="s">
        <v>139</v>
      </c>
      <c r="D201" s="64">
        <v>42624</v>
      </c>
      <c r="E201" s="63" t="s">
        <v>138</v>
      </c>
      <c r="F201" s="65">
        <v>34896</v>
      </c>
      <c r="G201" s="66">
        <v>8.4111451408082506E-3</v>
      </c>
      <c r="H201" s="65">
        <v>239</v>
      </c>
      <c r="I201" s="67">
        <v>1.34682060304374</v>
      </c>
      <c r="J201" s="67">
        <v>11.3283035708318</v>
      </c>
      <c r="K201" s="65">
        <v>39</v>
      </c>
      <c r="L201" s="65">
        <v>57</v>
      </c>
      <c r="M201" s="66">
        <v>6.92717584369449E-2</v>
      </c>
      <c r="N201" s="67">
        <v>4749.5810844057396</v>
      </c>
      <c r="O201" s="67">
        <v>121.784130369378</v>
      </c>
      <c r="P201" s="67">
        <v>758.25999951362598</v>
      </c>
      <c r="Q201" s="68">
        <v>0.159647763884528</v>
      </c>
    </row>
    <row r="202" spans="1:17" x14ac:dyDescent="0.35">
      <c r="A202" s="62" t="s">
        <v>136</v>
      </c>
      <c r="B202" s="63">
        <v>338793</v>
      </c>
      <c r="C202" s="63" t="s">
        <v>139</v>
      </c>
      <c r="D202" s="64">
        <v>42625</v>
      </c>
      <c r="E202" s="63" t="s">
        <v>138</v>
      </c>
      <c r="F202" s="65">
        <v>19594</v>
      </c>
      <c r="G202" s="66">
        <v>7.2208181742439001E-3</v>
      </c>
      <c r="H202" s="65">
        <v>563</v>
      </c>
      <c r="I202" s="67">
        <v>1.3485192318375301</v>
      </c>
      <c r="J202" s="67">
        <v>9.7374121775698494</v>
      </c>
      <c r="K202" s="65">
        <v>31</v>
      </c>
      <c r="L202" s="65">
        <v>40</v>
      </c>
      <c r="M202" s="66">
        <v>0.05</v>
      </c>
      <c r="N202" s="67">
        <v>3067.1575946439498</v>
      </c>
      <c r="O202" s="67">
        <v>117.967599793998</v>
      </c>
      <c r="P202" s="67">
        <v>701.23000055551495</v>
      </c>
      <c r="Q202" s="68">
        <v>0.22862535716457599</v>
      </c>
    </row>
    <row r="203" spans="1:17" x14ac:dyDescent="0.35">
      <c r="A203" s="62" t="s">
        <v>136</v>
      </c>
      <c r="B203" s="63">
        <v>338793</v>
      </c>
      <c r="C203" s="63" t="s">
        <v>139</v>
      </c>
      <c r="D203" s="64">
        <v>42626</v>
      </c>
      <c r="E203" s="63" t="s">
        <v>138</v>
      </c>
      <c r="F203" s="65">
        <v>36981</v>
      </c>
      <c r="G203" s="66">
        <v>6.9480632273753703E-3</v>
      </c>
      <c r="H203" s="65">
        <v>150</v>
      </c>
      <c r="I203" s="67">
        <v>1.34334615182418</v>
      </c>
      <c r="J203" s="67">
        <v>9.3336539991258007</v>
      </c>
      <c r="K203" s="65">
        <v>72</v>
      </c>
      <c r="L203" s="65">
        <v>57</v>
      </c>
      <c r="M203" s="66">
        <v>5.7692307692307702E-2</v>
      </c>
      <c r="N203" s="67">
        <v>4314.7102841751403</v>
      </c>
      <c r="O203" s="67">
        <v>143.823676139171</v>
      </c>
      <c r="P203" s="67">
        <v>698.53999894857395</v>
      </c>
      <c r="Q203" s="68">
        <v>0.16189731243614999</v>
      </c>
    </row>
    <row r="204" spans="1:17" x14ac:dyDescent="0.35">
      <c r="A204" s="62" t="s">
        <v>136</v>
      </c>
      <c r="B204" s="63">
        <v>338793</v>
      </c>
      <c r="C204" s="63" t="s">
        <v>139</v>
      </c>
      <c r="D204" s="64">
        <v>42627</v>
      </c>
      <c r="E204" s="63" t="s">
        <v>138</v>
      </c>
      <c r="F204" s="65">
        <v>28009</v>
      </c>
      <c r="G204" s="66">
        <v>7.5035130083630098E-3</v>
      </c>
      <c r="H204" s="65">
        <v>188</v>
      </c>
      <c r="I204" s="67">
        <v>1.3057090892575001</v>
      </c>
      <c r="J204" s="67">
        <v>9.7974051363814691</v>
      </c>
      <c r="K204" s="65">
        <v>55</v>
      </c>
      <c r="L204" s="65">
        <v>91</v>
      </c>
      <c r="M204" s="66">
        <v>8.1818181818181804E-2</v>
      </c>
      <c r="N204" s="67">
        <v>5614.6926301235699</v>
      </c>
      <c r="O204" s="67">
        <v>124.770947336079</v>
      </c>
      <c r="P204" s="67">
        <v>718.13999909162499</v>
      </c>
      <c r="Q204" s="68">
        <v>0.12790370664971201</v>
      </c>
    </row>
    <row r="205" spans="1:17" x14ac:dyDescent="0.35">
      <c r="A205" s="62" t="s">
        <v>136</v>
      </c>
      <c r="B205" s="63">
        <v>338793</v>
      </c>
      <c r="C205" s="63" t="s">
        <v>139</v>
      </c>
      <c r="D205" s="64">
        <v>42628</v>
      </c>
      <c r="E205" s="63" t="s">
        <v>138</v>
      </c>
      <c r="F205" s="65">
        <v>51947</v>
      </c>
      <c r="G205" s="66">
        <v>8.6658377604460993E-3</v>
      </c>
      <c r="H205" s="65">
        <v>381</v>
      </c>
      <c r="I205" s="67">
        <v>1.33578262173611</v>
      </c>
      <c r="J205" s="67">
        <v>11.575675483188499</v>
      </c>
      <c r="K205" s="65">
        <v>52</v>
      </c>
      <c r="L205" s="65">
        <v>55</v>
      </c>
      <c r="M205" s="66">
        <v>7.8260869565217397E-2</v>
      </c>
      <c r="N205" s="67">
        <v>4052.7823993438301</v>
      </c>
      <c r="O205" s="67">
        <v>112.577288870662</v>
      </c>
      <c r="P205" s="67">
        <v>614.460005998611</v>
      </c>
      <c r="Q205" s="68">
        <v>0.15161435908774601</v>
      </c>
    </row>
    <row r="206" spans="1:17" x14ac:dyDescent="0.35">
      <c r="A206" s="62" t="s">
        <v>136</v>
      </c>
      <c r="B206" s="63">
        <v>338793</v>
      </c>
      <c r="C206" s="63" t="s">
        <v>139</v>
      </c>
      <c r="D206" s="64">
        <v>42629</v>
      </c>
      <c r="E206" s="63" t="s">
        <v>138</v>
      </c>
      <c r="F206" s="65">
        <v>748</v>
      </c>
      <c r="G206" s="66">
        <v>6.81586349726438E-3</v>
      </c>
      <c r="H206" s="65">
        <v>250</v>
      </c>
      <c r="I206" s="67">
        <v>1.36573696514917</v>
      </c>
      <c r="J206" s="67">
        <v>9.3086767276248494</v>
      </c>
      <c r="K206" s="65">
        <v>39</v>
      </c>
      <c r="L206" s="65">
        <v>98</v>
      </c>
      <c r="M206" s="66">
        <v>9.7505668934240397E-2</v>
      </c>
      <c r="N206" s="67">
        <v>4418.9523033641999</v>
      </c>
      <c r="O206" s="67">
        <v>102.766332636377</v>
      </c>
      <c r="P206" s="67">
        <v>602.29000163078297</v>
      </c>
      <c r="Q206" s="68">
        <v>0.13629701347359</v>
      </c>
    </row>
    <row r="207" spans="1:17" x14ac:dyDescent="0.35">
      <c r="A207" s="62" t="s">
        <v>136</v>
      </c>
      <c r="B207" s="63">
        <v>338793</v>
      </c>
      <c r="C207" s="63" t="s">
        <v>139</v>
      </c>
      <c r="D207" s="64">
        <v>42630</v>
      </c>
      <c r="E207" s="63" t="s">
        <v>138</v>
      </c>
      <c r="F207" s="65">
        <v>15201</v>
      </c>
      <c r="G207" s="66">
        <v>6.1711729085509297E-3</v>
      </c>
      <c r="H207" s="65">
        <v>263</v>
      </c>
      <c r="I207" s="67">
        <v>1.4588958301891899</v>
      </c>
      <c r="J207" s="67">
        <v>9.0030984236614398</v>
      </c>
      <c r="K207" s="65">
        <v>42</v>
      </c>
      <c r="L207" s="65">
        <v>48</v>
      </c>
      <c r="M207" s="66">
        <v>4.7916666666666698E-2</v>
      </c>
      <c r="N207" s="67">
        <v>2385.4396721496501</v>
      </c>
      <c r="O207" s="67">
        <v>103.714768354333</v>
      </c>
      <c r="P207" s="67">
        <v>700.26999849081005</v>
      </c>
      <c r="Q207" s="68">
        <v>0.293560137641108</v>
      </c>
    </row>
    <row r="208" spans="1:17" x14ac:dyDescent="0.35">
      <c r="A208" s="62" t="s">
        <v>136</v>
      </c>
      <c r="B208" s="63">
        <v>338793</v>
      </c>
      <c r="C208" s="63" t="s">
        <v>139</v>
      </c>
      <c r="D208" s="64">
        <v>42631</v>
      </c>
      <c r="E208" s="63" t="s">
        <v>138</v>
      </c>
      <c r="F208" s="65">
        <v>26839</v>
      </c>
      <c r="G208" s="66">
        <v>5.9372216927331498E-3</v>
      </c>
      <c r="H208" s="65">
        <v>383</v>
      </c>
      <c r="I208" s="67">
        <v>1.4924210611142601</v>
      </c>
      <c r="J208" s="67">
        <v>8.8608346987394206</v>
      </c>
      <c r="K208" s="65">
        <v>42</v>
      </c>
      <c r="L208" s="65">
        <v>45</v>
      </c>
      <c r="M208" s="66">
        <v>6.5789473684210495E-2</v>
      </c>
      <c r="N208" s="67">
        <v>4220.9631400676499</v>
      </c>
      <c r="O208" s="67">
        <v>168.838525602706</v>
      </c>
      <c r="P208" s="67">
        <v>567.12000322341896</v>
      </c>
      <c r="Q208" s="68">
        <v>0.13435796153726401</v>
      </c>
    </row>
    <row r="209" spans="1:17" x14ac:dyDescent="0.35">
      <c r="A209" s="62" t="s">
        <v>136</v>
      </c>
      <c r="B209" s="63">
        <v>338793</v>
      </c>
      <c r="C209" s="63" t="s">
        <v>139</v>
      </c>
      <c r="D209" s="64">
        <v>42632</v>
      </c>
      <c r="E209" s="63" t="s">
        <v>138</v>
      </c>
      <c r="F209" s="65">
        <v>7510</v>
      </c>
      <c r="G209" s="66">
        <v>6.8918961348865002E-3</v>
      </c>
      <c r="H209" s="65">
        <v>173</v>
      </c>
      <c r="I209" s="67">
        <v>1.44699316524427</v>
      </c>
      <c r="J209" s="67">
        <v>9.9725266027541899</v>
      </c>
      <c r="K209" s="65">
        <v>40</v>
      </c>
      <c r="L209" s="65">
        <v>48</v>
      </c>
      <c r="M209" s="66">
        <v>6.6059225512528505E-2</v>
      </c>
      <c r="N209" s="67">
        <v>3384.9545990267402</v>
      </c>
      <c r="O209" s="67">
        <v>116.722572380233</v>
      </c>
      <c r="P209" s="67">
        <v>635.22999954223599</v>
      </c>
      <c r="Q209" s="68">
        <v>0.18766278275191101</v>
      </c>
    </row>
    <row r="210" spans="1:17" x14ac:dyDescent="0.35">
      <c r="A210" s="62" t="s">
        <v>136</v>
      </c>
      <c r="B210" s="63">
        <v>338793</v>
      </c>
      <c r="C210" s="63" t="s">
        <v>139</v>
      </c>
      <c r="D210" s="64">
        <v>42633</v>
      </c>
      <c r="E210" s="63" t="s">
        <v>138</v>
      </c>
      <c r="F210" s="65">
        <v>62758</v>
      </c>
      <c r="G210" s="66">
        <v>7.6097804391217598E-3</v>
      </c>
      <c r="H210" s="65">
        <v>360</v>
      </c>
      <c r="I210" s="67">
        <v>1.4637978200704</v>
      </c>
      <c r="J210" s="67">
        <v>11.1391800180008</v>
      </c>
      <c r="K210" s="65">
        <v>54</v>
      </c>
      <c r="L210" s="65">
        <v>50</v>
      </c>
      <c r="M210" s="66">
        <v>7.10382513661202E-2</v>
      </c>
      <c r="N210" s="67">
        <v>2995.1494637279102</v>
      </c>
      <c r="O210" s="67">
        <v>115.198056297227</v>
      </c>
      <c r="P210" s="67">
        <v>535.75000214576698</v>
      </c>
      <c r="Q210" s="68">
        <v>0.17887254330171101</v>
      </c>
    </row>
    <row r="211" spans="1:17" x14ac:dyDescent="0.35">
      <c r="A211" s="62" t="s">
        <v>136</v>
      </c>
      <c r="B211" s="63">
        <v>338793</v>
      </c>
      <c r="C211" s="63" t="s">
        <v>139</v>
      </c>
      <c r="D211" s="64">
        <v>42634</v>
      </c>
      <c r="E211" s="63" t="s">
        <v>138</v>
      </c>
      <c r="F211" s="65">
        <v>38417</v>
      </c>
      <c r="G211" s="66">
        <v>7.5900868131335199E-3</v>
      </c>
      <c r="H211" s="65">
        <v>559</v>
      </c>
      <c r="I211" s="67">
        <v>1.4635143771339101</v>
      </c>
      <c r="J211" s="67">
        <v>11.108201174715401</v>
      </c>
      <c r="K211" s="65">
        <v>53</v>
      </c>
      <c r="L211" s="65">
        <v>44</v>
      </c>
      <c r="M211" s="66">
        <v>7.6677316293929695E-2</v>
      </c>
      <c r="N211" s="67">
        <v>2318.5907409813299</v>
      </c>
      <c r="O211" s="67">
        <v>96.607947540888802</v>
      </c>
      <c r="P211" s="67">
        <v>458.080000042915</v>
      </c>
      <c r="Q211" s="68">
        <v>0.197568286608889</v>
      </c>
    </row>
    <row r="212" spans="1:17" x14ac:dyDescent="0.35">
      <c r="A212" s="62" t="s">
        <v>136</v>
      </c>
      <c r="B212" s="63">
        <v>338793</v>
      </c>
      <c r="C212" s="63" t="s">
        <v>139</v>
      </c>
      <c r="D212" s="64">
        <v>42635</v>
      </c>
      <c r="E212" s="63" t="s">
        <v>138</v>
      </c>
      <c r="F212" s="65">
        <v>52188</v>
      </c>
      <c r="G212" s="66">
        <v>9.5762429095762394E-3</v>
      </c>
      <c r="H212" s="65">
        <v>241</v>
      </c>
      <c r="I212" s="67">
        <v>1.4600348497516999</v>
      </c>
      <c r="J212" s="67">
        <v>13.9816483776689</v>
      </c>
      <c r="K212" s="65">
        <v>70</v>
      </c>
      <c r="L212" s="65">
        <v>40</v>
      </c>
      <c r="M212" s="66">
        <v>9.0592334494773497E-2</v>
      </c>
      <c r="N212" s="67">
        <v>2522.57692276648</v>
      </c>
      <c r="O212" s="67">
        <v>97.022189337172406</v>
      </c>
      <c r="P212" s="67">
        <v>419.03000187873801</v>
      </c>
      <c r="Q212" s="68">
        <v>0.16611188269303301</v>
      </c>
    </row>
    <row r="213" spans="1:17" x14ac:dyDescent="0.35">
      <c r="A213" s="62" t="s">
        <v>136</v>
      </c>
      <c r="B213" s="63">
        <v>338793</v>
      </c>
      <c r="C213" s="63" t="s">
        <v>139</v>
      </c>
      <c r="D213" s="64">
        <v>42636</v>
      </c>
      <c r="E213" s="63" t="s">
        <v>138</v>
      </c>
      <c r="F213" s="65">
        <v>66870</v>
      </c>
      <c r="G213" s="66">
        <v>8.9619681184887699E-3</v>
      </c>
      <c r="H213" s="65">
        <v>314</v>
      </c>
      <c r="I213" s="67">
        <v>1.5100840263340001</v>
      </c>
      <c r="J213" s="67">
        <v>13.5333249002444</v>
      </c>
      <c r="K213" s="65">
        <v>89</v>
      </c>
      <c r="L213" s="65">
        <v>68</v>
      </c>
      <c r="M213" s="66">
        <v>0.112044817927171</v>
      </c>
      <c r="N213" s="67">
        <v>5692.2567949396798</v>
      </c>
      <c r="O213" s="67">
        <v>142.30641987349199</v>
      </c>
      <c r="P213" s="67">
        <v>539.09999740123703</v>
      </c>
      <c r="Q213" s="68">
        <v>9.4707603121575307E-2</v>
      </c>
    </row>
    <row r="214" spans="1:17" x14ac:dyDescent="0.35">
      <c r="A214" s="62" t="s">
        <v>136</v>
      </c>
      <c r="B214" s="63">
        <v>338793</v>
      </c>
      <c r="C214" s="63" t="s">
        <v>139</v>
      </c>
      <c r="D214" s="64">
        <v>42637</v>
      </c>
      <c r="E214" s="63" t="s">
        <v>138</v>
      </c>
      <c r="F214" s="65">
        <v>65130</v>
      </c>
      <c r="G214" s="66">
        <v>7.3351688770255802E-3</v>
      </c>
      <c r="H214" s="65">
        <v>538</v>
      </c>
      <c r="I214" s="67">
        <v>1.4342406854930101</v>
      </c>
      <c r="J214" s="67">
        <v>10.5203976383922</v>
      </c>
      <c r="K214" s="65">
        <v>96</v>
      </c>
      <c r="L214" s="65">
        <v>64</v>
      </c>
      <c r="M214" s="66">
        <v>7.4498567335243598E-2</v>
      </c>
      <c r="N214" s="67">
        <v>2747.6849561436102</v>
      </c>
      <c r="O214" s="67">
        <v>105.68019062090799</v>
      </c>
      <c r="P214" s="67">
        <v>500.549999237061</v>
      </c>
      <c r="Q214" s="68">
        <v>0.18217153976036099</v>
      </c>
    </row>
    <row r="215" spans="1:17" x14ac:dyDescent="0.35">
      <c r="A215" s="62" t="s">
        <v>136</v>
      </c>
      <c r="B215" s="63">
        <v>338793</v>
      </c>
      <c r="C215" s="63" t="s">
        <v>139</v>
      </c>
      <c r="D215" s="64">
        <v>42638</v>
      </c>
      <c r="E215" s="63" t="s">
        <v>138</v>
      </c>
      <c r="F215" s="65">
        <v>21498</v>
      </c>
      <c r="G215" s="66">
        <v>7.4051218759642098E-3</v>
      </c>
      <c r="H215" s="65">
        <v>398</v>
      </c>
      <c r="I215" s="67">
        <v>1.73666669446088</v>
      </c>
      <c r="J215" s="67">
        <v>12.8602285304107</v>
      </c>
      <c r="K215" s="65">
        <v>57</v>
      </c>
      <c r="L215" s="65">
        <v>45</v>
      </c>
      <c r="M215" s="66">
        <v>6.5476190476190493E-2</v>
      </c>
      <c r="N215" s="67">
        <v>2551.4595999962899</v>
      </c>
      <c r="O215" s="67">
        <v>115.97543636346801</v>
      </c>
      <c r="P215" s="67">
        <v>583.52000933885597</v>
      </c>
      <c r="Q215" s="68">
        <v>0.228700469856432</v>
      </c>
    </row>
    <row r="216" spans="1:17" x14ac:dyDescent="0.35">
      <c r="A216" s="62" t="s">
        <v>136</v>
      </c>
      <c r="B216" s="63">
        <v>338793</v>
      </c>
      <c r="C216" s="63" t="s">
        <v>139</v>
      </c>
      <c r="D216" s="64">
        <v>42639</v>
      </c>
      <c r="E216" s="63" t="s">
        <v>138</v>
      </c>
      <c r="F216" s="65">
        <v>44409</v>
      </c>
      <c r="G216" s="66">
        <v>7.6891671203048401E-3</v>
      </c>
      <c r="H216" s="65">
        <v>387</v>
      </c>
      <c r="I216" s="67">
        <v>1.77442480188555</v>
      </c>
      <c r="J216" s="67">
        <v>13.643848844111799</v>
      </c>
      <c r="K216" s="65">
        <v>52</v>
      </c>
      <c r="L216" s="65">
        <v>47</v>
      </c>
      <c r="M216" s="66">
        <v>6.7846607669616504E-2</v>
      </c>
      <c r="N216" s="67">
        <v>3859.4232638768099</v>
      </c>
      <c r="O216" s="67">
        <v>167.801011472905</v>
      </c>
      <c r="P216" s="67">
        <v>601.53000783920299</v>
      </c>
      <c r="Q216" s="68">
        <v>0.15586007719582501</v>
      </c>
    </row>
    <row r="217" spans="1:17" x14ac:dyDescent="0.35">
      <c r="A217" s="62" t="s">
        <v>136</v>
      </c>
      <c r="B217" s="63">
        <v>338793</v>
      </c>
      <c r="C217" s="63" t="s">
        <v>139</v>
      </c>
      <c r="D217" s="64">
        <v>42640</v>
      </c>
      <c r="E217" s="63" t="s">
        <v>138</v>
      </c>
      <c r="F217" s="65">
        <v>28703</v>
      </c>
      <c r="G217" s="66">
        <v>8.4126234338799295E-3</v>
      </c>
      <c r="H217" s="65">
        <v>434</v>
      </c>
      <c r="I217" s="67">
        <v>1.79558825205992</v>
      </c>
      <c r="J217" s="67">
        <v>15.105607806878799</v>
      </c>
      <c r="K217" s="65">
        <v>32</v>
      </c>
      <c r="L217" s="65">
        <v>44</v>
      </c>
      <c r="M217" s="66">
        <v>6.9518716577540093E-2</v>
      </c>
      <c r="N217" s="67">
        <v>3022.5328957974598</v>
      </c>
      <c r="O217" s="67">
        <v>116.251265222979</v>
      </c>
      <c r="P217" s="67">
        <v>671.55000627040897</v>
      </c>
      <c r="Q217" s="68">
        <v>0.22218120676341799</v>
      </c>
    </row>
    <row r="218" spans="1:17" x14ac:dyDescent="0.35">
      <c r="A218" s="62" t="s">
        <v>136</v>
      </c>
      <c r="B218" s="63">
        <v>338793</v>
      </c>
      <c r="C218" s="63" t="s">
        <v>139</v>
      </c>
      <c r="D218" s="64">
        <v>42641</v>
      </c>
      <c r="E218" s="63" t="s">
        <v>138</v>
      </c>
      <c r="F218" s="65">
        <v>60857</v>
      </c>
      <c r="G218" s="66">
        <v>7.9948141745894603E-3</v>
      </c>
      <c r="H218" s="65">
        <v>551</v>
      </c>
      <c r="I218" s="67">
        <v>1.7688288370052301</v>
      </c>
      <c r="J218" s="67">
        <v>14.141457858512</v>
      </c>
      <c r="K218" s="65">
        <v>56</v>
      </c>
      <c r="L218" s="65">
        <v>33</v>
      </c>
      <c r="M218" s="66">
        <v>5.7057057057057103E-2</v>
      </c>
      <c r="N218" s="67">
        <v>2146.1328092165099</v>
      </c>
      <c r="O218" s="67">
        <v>112.95435837981699</v>
      </c>
      <c r="P218" s="67">
        <v>589.02000272273995</v>
      </c>
      <c r="Q218" s="68">
        <v>0.27445645497483101</v>
      </c>
    </row>
    <row r="219" spans="1:17" x14ac:dyDescent="0.35">
      <c r="A219" s="62" t="s">
        <v>136</v>
      </c>
      <c r="B219" s="63">
        <v>338793</v>
      </c>
      <c r="C219" s="63" t="s">
        <v>139</v>
      </c>
      <c r="D219" s="64">
        <v>42642</v>
      </c>
      <c r="E219" s="63" t="s">
        <v>138</v>
      </c>
      <c r="F219" s="65">
        <v>19695</v>
      </c>
      <c r="G219" s="66">
        <v>8.7020432162281305E-3</v>
      </c>
      <c r="H219" s="65">
        <v>327</v>
      </c>
      <c r="I219" s="67">
        <v>1.69260132896739</v>
      </c>
      <c r="J219" s="67">
        <v>14.729089912519401</v>
      </c>
      <c r="K219" s="65">
        <v>71</v>
      </c>
      <c r="L219" s="65">
        <v>24</v>
      </c>
      <c r="M219" s="66">
        <v>4.3918918918918901E-2</v>
      </c>
      <c r="N219" s="67">
        <v>1167.12231244535</v>
      </c>
      <c r="O219" s="67">
        <v>89.778639418873396</v>
      </c>
      <c r="P219" s="67">
        <v>501.00999337434803</v>
      </c>
      <c r="Q219" s="68">
        <v>0.42926948446785501</v>
      </c>
    </row>
    <row r="220" spans="1:17" x14ac:dyDescent="0.35">
      <c r="A220" s="62" t="s">
        <v>136</v>
      </c>
      <c r="B220" s="63">
        <v>338793</v>
      </c>
      <c r="C220" s="63" t="s">
        <v>139</v>
      </c>
      <c r="D220" s="64">
        <v>42643</v>
      </c>
      <c r="E220" s="63" t="s">
        <v>138</v>
      </c>
      <c r="F220" s="65">
        <v>21828</v>
      </c>
      <c r="G220" s="66">
        <v>8.4113983030065197E-3</v>
      </c>
      <c r="H220" s="65">
        <v>297</v>
      </c>
      <c r="I220" s="67">
        <v>1.7804372967505899</v>
      </c>
      <c r="J220" s="67">
        <v>14.975967256497499</v>
      </c>
      <c r="K220" s="65">
        <v>94</v>
      </c>
      <c r="L220" s="65">
        <v>59</v>
      </c>
      <c r="M220" s="66">
        <v>7.8717201166180806E-2</v>
      </c>
      <c r="N220" s="67">
        <v>2898.1391529272</v>
      </c>
      <c r="O220" s="67">
        <v>107.33848714545201</v>
      </c>
      <c r="P220" s="67">
        <v>610.68999278545402</v>
      </c>
      <c r="Q220" s="68">
        <v>0.21071796782726601</v>
      </c>
    </row>
    <row r="221" spans="1:17" x14ac:dyDescent="0.35">
      <c r="A221" s="62" t="s">
        <v>136</v>
      </c>
      <c r="B221" s="63">
        <v>338793</v>
      </c>
      <c r="C221" s="63" t="s">
        <v>139</v>
      </c>
      <c r="D221" s="64">
        <v>42644</v>
      </c>
      <c r="E221" s="63" t="s">
        <v>138</v>
      </c>
      <c r="F221" s="65">
        <v>48643</v>
      </c>
      <c r="G221" s="66">
        <v>8.3385927668445294E-3</v>
      </c>
      <c r="H221" s="65">
        <v>453</v>
      </c>
      <c r="I221" s="67">
        <v>1.7421559546518799</v>
      </c>
      <c r="J221" s="67">
        <v>14.5271290421753</v>
      </c>
      <c r="K221" s="65">
        <v>46</v>
      </c>
      <c r="L221" s="65">
        <v>62</v>
      </c>
      <c r="M221" s="66">
        <v>4.8165137614678902E-2</v>
      </c>
      <c r="N221" s="67">
        <v>3016.17178911875</v>
      </c>
      <c r="O221" s="67">
        <v>143.627228053274</v>
      </c>
      <c r="P221" s="67">
        <v>759.57999622821796</v>
      </c>
      <c r="Q221" s="68">
        <v>0.25183578699612102</v>
      </c>
    </row>
    <row r="222" spans="1:17" x14ac:dyDescent="0.35">
      <c r="A222" s="62" t="s">
        <v>136</v>
      </c>
      <c r="B222" s="63">
        <v>338793</v>
      </c>
      <c r="C222" s="63" t="s">
        <v>139</v>
      </c>
      <c r="D222" s="64">
        <v>42645</v>
      </c>
      <c r="E222" s="63" t="s">
        <v>138</v>
      </c>
      <c r="F222" s="65">
        <v>14865</v>
      </c>
      <c r="G222" s="66">
        <v>7.1542130365659798E-3</v>
      </c>
      <c r="H222" s="65">
        <v>536</v>
      </c>
      <c r="I222" s="67">
        <v>1.63564325781942</v>
      </c>
      <c r="J222" s="67">
        <v>11.7017403182629</v>
      </c>
      <c r="K222" s="65">
        <v>57</v>
      </c>
      <c r="L222" s="65">
        <v>26</v>
      </c>
      <c r="M222" s="66">
        <v>2.6315789473684199E-2</v>
      </c>
      <c r="N222" s="67">
        <v>1817.64755370382</v>
      </c>
      <c r="O222" s="67">
        <v>201.960839300424</v>
      </c>
      <c r="P222" s="67">
        <v>559.38999417424202</v>
      </c>
      <c r="Q222" s="68">
        <v>0.30775492918545899</v>
      </c>
    </row>
    <row r="223" spans="1:17" x14ac:dyDescent="0.35">
      <c r="A223" s="62" t="s">
        <v>136</v>
      </c>
      <c r="B223" s="63">
        <v>338793</v>
      </c>
      <c r="C223" s="63" t="s">
        <v>139</v>
      </c>
      <c r="D223" s="64">
        <v>42646</v>
      </c>
      <c r="E223" s="63" t="s">
        <v>138</v>
      </c>
      <c r="F223" s="65">
        <v>33359</v>
      </c>
      <c r="G223" s="66">
        <v>9.2998196256646893E-3</v>
      </c>
      <c r="H223" s="65">
        <v>412</v>
      </c>
      <c r="I223" s="67">
        <v>1.49329974609298</v>
      </c>
      <c r="J223" s="67">
        <v>13.887418285715601</v>
      </c>
      <c r="K223" s="65">
        <v>77</v>
      </c>
      <c r="L223" s="65">
        <v>45</v>
      </c>
      <c r="M223" s="66">
        <v>6.5491183879093195E-2</v>
      </c>
      <c r="N223" s="67">
        <v>4877.82783751018</v>
      </c>
      <c r="O223" s="67">
        <v>187.60876298116099</v>
      </c>
      <c r="P223" s="67">
        <v>592.83999919891403</v>
      </c>
      <c r="Q223" s="68">
        <v>0.121537704680762</v>
      </c>
    </row>
    <row r="224" spans="1:17" x14ac:dyDescent="0.35">
      <c r="A224" s="62" t="s">
        <v>136</v>
      </c>
      <c r="B224" s="63">
        <v>338793</v>
      </c>
      <c r="C224" s="63" t="s">
        <v>139</v>
      </c>
      <c r="D224" s="64">
        <v>42647</v>
      </c>
      <c r="E224" s="63" t="s">
        <v>138</v>
      </c>
      <c r="F224" s="65">
        <v>24941</v>
      </c>
      <c r="G224" s="66">
        <v>7.3481384715872004E-3</v>
      </c>
      <c r="H224" s="65">
        <v>399</v>
      </c>
      <c r="I224" s="67">
        <v>1.41437035324397</v>
      </c>
      <c r="J224" s="67">
        <v>10.392989205744399</v>
      </c>
      <c r="K224" s="65">
        <v>52</v>
      </c>
      <c r="L224" s="65">
        <v>30</v>
      </c>
      <c r="M224" s="66">
        <v>7.0370370370370403E-2</v>
      </c>
      <c r="N224" s="67">
        <v>2765.2439004163898</v>
      </c>
      <c r="O224" s="67">
        <v>145.539152653494</v>
      </c>
      <c r="P224" s="67">
        <v>381.879995375872</v>
      </c>
      <c r="Q224" s="68">
        <v>0.138099932276632</v>
      </c>
    </row>
    <row r="225" spans="1:17" x14ac:dyDescent="0.35">
      <c r="A225" s="62" t="s">
        <v>136</v>
      </c>
      <c r="B225" s="63">
        <v>338793</v>
      </c>
      <c r="C225" s="63" t="s">
        <v>139</v>
      </c>
      <c r="D225" s="64">
        <v>42648</v>
      </c>
      <c r="E225" s="63" t="s">
        <v>138</v>
      </c>
      <c r="F225" s="65">
        <v>65198</v>
      </c>
      <c r="G225" s="66">
        <v>7.9033907204244594E-3</v>
      </c>
      <c r="H225" s="65">
        <v>598</v>
      </c>
      <c r="I225" s="67">
        <v>1.3728671444879501</v>
      </c>
      <c r="J225" s="67">
        <v>10.8503054501217</v>
      </c>
      <c r="K225" s="65">
        <v>69</v>
      </c>
      <c r="L225" s="65">
        <v>63</v>
      </c>
      <c r="M225" s="66">
        <v>0.115384615384615</v>
      </c>
      <c r="N225" s="67">
        <v>4490.3676262926701</v>
      </c>
      <c r="O225" s="67">
        <v>136.07174625129301</v>
      </c>
      <c r="P225" s="67">
        <v>392.64000332355499</v>
      </c>
      <c r="Q225" s="68">
        <v>8.7440502872083506E-2</v>
      </c>
    </row>
    <row r="226" spans="1:17" x14ac:dyDescent="0.35">
      <c r="A226" s="62" t="s">
        <v>136</v>
      </c>
      <c r="B226" s="63">
        <v>338793</v>
      </c>
      <c r="C226" s="63" t="s">
        <v>139</v>
      </c>
      <c r="D226" s="64">
        <v>42649</v>
      </c>
      <c r="E226" s="63" t="s">
        <v>138</v>
      </c>
      <c r="F226" s="65">
        <v>55828</v>
      </c>
      <c r="G226" s="66">
        <v>1.0082460120269299E-2</v>
      </c>
      <c r="H226" s="65">
        <v>196</v>
      </c>
      <c r="I226" s="67">
        <v>1.4998928502202</v>
      </c>
      <c r="J226" s="67">
        <v>15.1226098470223</v>
      </c>
      <c r="K226" s="65">
        <v>30</v>
      </c>
      <c r="L226" s="65">
        <v>49</v>
      </c>
      <c r="M226" s="66">
        <v>0.1</v>
      </c>
      <c r="N226" s="67">
        <v>3779.1180197701301</v>
      </c>
      <c r="O226" s="67">
        <v>134.96850070607599</v>
      </c>
      <c r="P226" s="67">
        <v>419.96999806165701</v>
      </c>
      <c r="Q226" s="68">
        <v>0.11112910363334</v>
      </c>
    </row>
    <row r="227" spans="1:17" x14ac:dyDescent="0.35">
      <c r="A227" s="62" t="s">
        <v>136</v>
      </c>
      <c r="B227" s="63">
        <v>338793</v>
      </c>
      <c r="C227" s="63" t="s">
        <v>139</v>
      </c>
      <c r="D227" s="64">
        <v>42650</v>
      </c>
      <c r="E227" s="63" t="s">
        <v>138</v>
      </c>
      <c r="F227" s="65">
        <v>6526</v>
      </c>
      <c r="G227" s="66">
        <v>9.8963242224316701E-3</v>
      </c>
      <c r="H227" s="65">
        <v>210</v>
      </c>
      <c r="I227" s="67">
        <v>1.2768571407075899</v>
      </c>
      <c r="J227" s="67">
        <v>12.636192250169399</v>
      </c>
      <c r="K227" s="65">
        <v>37</v>
      </c>
      <c r="L227" s="65">
        <v>71</v>
      </c>
      <c r="M227" s="66">
        <v>9.5238095238095205E-2</v>
      </c>
      <c r="N227" s="67">
        <v>3235.9490743497499</v>
      </c>
      <c r="O227" s="67">
        <v>107.864969144992</v>
      </c>
      <c r="P227" s="67">
        <v>402.20999932289101</v>
      </c>
      <c r="Q227" s="68">
        <v>0.12429429205517201</v>
      </c>
    </row>
    <row r="228" spans="1:17" x14ac:dyDescent="0.35">
      <c r="A228" s="62" t="s">
        <v>136</v>
      </c>
      <c r="B228" s="63">
        <v>338793</v>
      </c>
      <c r="C228" s="63" t="s">
        <v>139</v>
      </c>
      <c r="D228" s="64">
        <v>42651</v>
      </c>
      <c r="E228" s="63" t="s">
        <v>138</v>
      </c>
      <c r="F228" s="65">
        <v>54703</v>
      </c>
      <c r="G228" s="66">
        <v>8.2646769262656097E-3</v>
      </c>
      <c r="H228" s="65">
        <v>520</v>
      </c>
      <c r="I228" s="67">
        <v>1.4320376094979601</v>
      </c>
      <c r="J228" s="67">
        <v>11.835328188762301</v>
      </c>
      <c r="K228" s="65">
        <v>35</v>
      </c>
      <c r="L228" s="65">
        <v>32</v>
      </c>
      <c r="M228" s="66">
        <v>3.7617554858934199E-2</v>
      </c>
      <c r="N228" s="67">
        <v>1242.04664274171</v>
      </c>
      <c r="O228" s="67">
        <v>103.503886895142</v>
      </c>
      <c r="P228" s="67">
        <v>456.819997429848</v>
      </c>
      <c r="Q228" s="68">
        <v>0.36779616941072302</v>
      </c>
    </row>
    <row r="229" spans="1:17" x14ac:dyDescent="0.35">
      <c r="A229" s="62" t="s">
        <v>136</v>
      </c>
      <c r="B229" s="63">
        <v>338793</v>
      </c>
      <c r="C229" s="63" t="s">
        <v>139</v>
      </c>
      <c r="D229" s="64">
        <v>42652</v>
      </c>
      <c r="E229" s="63" t="s">
        <v>138</v>
      </c>
      <c r="F229" s="65">
        <v>68560</v>
      </c>
      <c r="G229" s="66">
        <v>7.3720728534258503E-3</v>
      </c>
      <c r="H229" s="65">
        <v>305</v>
      </c>
      <c r="I229" s="67">
        <v>1.4629043886328399</v>
      </c>
      <c r="J229" s="67">
        <v>10.7846377305977</v>
      </c>
      <c r="K229" s="65">
        <v>18</v>
      </c>
      <c r="L229" s="65">
        <v>40</v>
      </c>
      <c r="M229" s="66">
        <v>7.3529411764705899E-2</v>
      </c>
      <c r="N229" s="67">
        <v>1646.2530842009401</v>
      </c>
      <c r="O229" s="67">
        <v>82.312654210047199</v>
      </c>
      <c r="P229" s="67">
        <v>397.90999370813398</v>
      </c>
      <c r="Q229" s="68">
        <v>0.24170645299126101</v>
      </c>
    </row>
    <row r="230" spans="1:17" x14ac:dyDescent="0.35">
      <c r="A230" s="62" t="s">
        <v>136</v>
      </c>
      <c r="B230" s="63">
        <v>338793</v>
      </c>
      <c r="C230" s="63" t="s">
        <v>139</v>
      </c>
      <c r="D230" s="64">
        <v>42653</v>
      </c>
      <c r="E230" s="63" t="s">
        <v>138</v>
      </c>
      <c r="F230" s="65">
        <v>51795</v>
      </c>
      <c r="G230" s="66">
        <v>7.3819654483006101E-3</v>
      </c>
      <c r="H230" s="65">
        <v>492</v>
      </c>
      <c r="I230" s="67">
        <v>1.45749999665552</v>
      </c>
      <c r="J230" s="67">
        <v>10.759214616209301</v>
      </c>
      <c r="K230" s="65">
        <v>62</v>
      </c>
      <c r="L230" s="65">
        <v>27</v>
      </c>
      <c r="M230" s="66">
        <v>6.5972222222222196E-2</v>
      </c>
      <c r="N230" s="67">
        <v>2215.2704044718298</v>
      </c>
      <c r="O230" s="67">
        <v>116.59317918272799</v>
      </c>
      <c r="P230" s="67">
        <v>419.759999036789</v>
      </c>
      <c r="Q230" s="68">
        <v>0.189484768175229</v>
      </c>
    </row>
    <row r="231" spans="1:17" x14ac:dyDescent="0.35">
      <c r="A231" s="62" t="s">
        <v>136</v>
      </c>
      <c r="B231" s="63">
        <v>338793</v>
      </c>
      <c r="C231" s="63" t="s">
        <v>139</v>
      </c>
      <c r="D231" s="64">
        <v>42654</v>
      </c>
      <c r="E231" s="63" t="s">
        <v>138</v>
      </c>
      <c r="F231" s="65">
        <v>58949</v>
      </c>
      <c r="G231" s="66">
        <v>7.6802466182997204E-3</v>
      </c>
      <c r="H231" s="65">
        <v>464</v>
      </c>
      <c r="I231" s="67">
        <v>1.4968166103825</v>
      </c>
      <c r="J231" s="67">
        <v>11.4959207101051</v>
      </c>
      <c r="K231" s="65">
        <v>95</v>
      </c>
      <c r="L231" s="65">
        <v>39</v>
      </c>
      <c r="M231" s="66">
        <v>5.1903114186851201E-2</v>
      </c>
      <c r="N231" s="67">
        <v>1697.86142434868</v>
      </c>
      <c r="O231" s="67">
        <v>113.190761623245</v>
      </c>
      <c r="P231" s="67">
        <v>432.58000040054299</v>
      </c>
      <c r="Q231" s="68">
        <v>0.25477933251618901</v>
      </c>
    </row>
    <row r="232" spans="1:17" x14ac:dyDescent="0.35">
      <c r="A232" s="62" t="s">
        <v>136</v>
      </c>
      <c r="B232" s="63">
        <v>338793</v>
      </c>
      <c r="C232" s="63" t="s">
        <v>139</v>
      </c>
      <c r="D232" s="64">
        <v>42655</v>
      </c>
      <c r="E232" s="63" t="s">
        <v>138</v>
      </c>
      <c r="F232" s="65">
        <v>38080</v>
      </c>
      <c r="G232" s="66">
        <v>8.2367029821538099E-3</v>
      </c>
      <c r="H232" s="65">
        <v>448</v>
      </c>
      <c r="I232" s="67">
        <v>1.4141489254667401</v>
      </c>
      <c r="J232" s="67">
        <v>11.647924671601499</v>
      </c>
      <c r="K232" s="65">
        <v>21</v>
      </c>
      <c r="L232" s="65">
        <v>39</v>
      </c>
      <c r="M232" s="66">
        <v>7.4468085106383003E-2</v>
      </c>
      <c r="N232" s="67">
        <v>2388.2555784627998</v>
      </c>
      <c r="O232" s="67">
        <v>113.726456117276</v>
      </c>
      <c r="P232" s="67">
        <v>398.78999698162102</v>
      </c>
      <c r="Q232" s="68">
        <v>0.166979614986727</v>
      </c>
    </row>
    <row r="233" spans="1:17" x14ac:dyDescent="0.35">
      <c r="A233" s="62" t="s">
        <v>136</v>
      </c>
      <c r="B233" s="63">
        <v>338793</v>
      </c>
      <c r="C233" s="63" t="s">
        <v>139</v>
      </c>
      <c r="D233" s="64">
        <v>42656</v>
      </c>
      <c r="E233" s="63" t="s">
        <v>138</v>
      </c>
      <c r="F233" s="65">
        <v>68337</v>
      </c>
      <c r="G233" s="66">
        <v>8.9299641241615997E-3</v>
      </c>
      <c r="H233" s="65">
        <v>206</v>
      </c>
      <c r="I233" s="67">
        <v>1.45812226877462</v>
      </c>
      <c r="J233" s="67">
        <v>13.020979548798501</v>
      </c>
      <c r="K233" s="65">
        <v>28</v>
      </c>
      <c r="L233" s="65">
        <v>31</v>
      </c>
      <c r="M233" s="66">
        <v>7.8602620087336206E-2</v>
      </c>
      <c r="N233" s="67">
        <v>2080.77062183406</v>
      </c>
      <c r="O233" s="67">
        <v>115.59836787966999</v>
      </c>
      <c r="P233" s="67">
        <v>333.909999549389</v>
      </c>
      <c r="Q233" s="68">
        <v>0.16047419934018001</v>
      </c>
    </row>
    <row r="234" spans="1:17" x14ac:dyDescent="0.35">
      <c r="A234" s="62" t="s">
        <v>136</v>
      </c>
      <c r="B234" s="63">
        <v>338793</v>
      </c>
      <c r="C234" s="63" t="s">
        <v>139</v>
      </c>
      <c r="D234" s="64">
        <v>42657</v>
      </c>
      <c r="E234" s="63" t="s">
        <v>138</v>
      </c>
      <c r="F234" s="65">
        <v>59686</v>
      </c>
      <c r="G234" s="66">
        <v>7.4827718789742996E-3</v>
      </c>
      <c r="H234" s="65">
        <v>349</v>
      </c>
      <c r="I234" s="67">
        <v>1.44616600576597</v>
      </c>
      <c r="J234" s="67">
        <v>10.8213303202742</v>
      </c>
      <c r="K234" s="65">
        <v>30</v>
      </c>
      <c r="L234" s="65">
        <v>44</v>
      </c>
      <c r="M234" s="66">
        <v>9.0909090909090898E-2</v>
      </c>
      <c r="N234" s="67">
        <v>4052.2711569448002</v>
      </c>
      <c r="O234" s="67">
        <v>176.18570247586101</v>
      </c>
      <c r="P234" s="67">
        <v>365.87999945879</v>
      </c>
      <c r="Q234" s="68">
        <v>9.0290107766293801E-2</v>
      </c>
    </row>
    <row r="235" spans="1:17" x14ac:dyDescent="0.35">
      <c r="A235" s="62" t="s">
        <v>136</v>
      </c>
      <c r="B235" s="63">
        <v>338793</v>
      </c>
      <c r="C235" s="63" t="s">
        <v>139</v>
      </c>
      <c r="D235" s="64">
        <v>42658</v>
      </c>
      <c r="E235" s="63" t="s">
        <v>138</v>
      </c>
      <c r="F235" s="65">
        <v>6763</v>
      </c>
      <c r="G235" s="66">
        <v>8.0979039187605798E-3</v>
      </c>
      <c r="H235" s="65">
        <v>311</v>
      </c>
      <c r="I235" s="67">
        <v>1.39948556133788</v>
      </c>
      <c r="J235" s="67">
        <v>11.3328996114069</v>
      </c>
      <c r="K235" s="65">
        <v>12</v>
      </c>
      <c r="L235" s="65">
        <v>54</v>
      </c>
      <c r="M235" s="66">
        <v>9.3247588424437297E-2</v>
      </c>
      <c r="N235" s="67">
        <v>3396.5624394287001</v>
      </c>
      <c r="O235" s="67">
        <v>117.12284273892099</v>
      </c>
      <c r="P235" s="67">
        <v>435.240009576082</v>
      </c>
      <c r="Q235" s="68">
        <v>0.12814132445311099</v>
      </c>
    </row>
    <row r="236" spans="1:17" x14ac:dyDescent="0.35">
      <c r="A236" s="62" t="s">
        <v>136</v>
      </c>
      <c r="B236" s="63">
        <v>338793</v>
      </c>
      <c r="C236" s="63" t="s">
        <v>139</v>
      </c>
      <c r="D236" s="64">
        <v>42659</v>
      </c>
      <c r="E236" s="63" t="s">
        <v>138</v>
      </c>
      <c r="F236" s="65">
        <v>21970</v>
      </c>
      <c r="G236" s="66">
        <v>6.2944637995140098E-3</v>
      </c>
      <c r="H236" s="65">
        <v>184</v>
      </c>
      <c r="I236" s="67">
        <v>1.3832093211107499</v>
      </c>
      <c r="J236" s="67">
        <v>8.7065609988819492</v>
      </c>
      <c r="K236" s="65">
        <v>83</v>
      </c>
      <c r="L236" s="65">
        <v>37</v>
      </c>
      <c r="M236" s="66">
        <v>0.102325581395349</v>
      </c>
      <c r="N236" s="67">
        <v>2522.0059413040199</v>
      </c>
      <c r="O236" s="67">
        <v>114.636633695637</v>
      </c>
      <c r="P236" s="67">
        <v>297.39000403881101</v>
      </c>
      <c r="Q236" s="68">
        <v>0.11791804260581699</v>
      </c>
    </row>
    <row r="237" spans="1:17" x14ac:dyDescent="0.35">
      <c r="A237" s="62" t="s">
        <v>136</v>
      </c>
      <c r="B237" s="63">
        <v>338793</v>
      </c>
      <c r="C237" s="63" t="s">
        <v>139</v>
      </c>
      <c r="D237" s="64">
        <v>42660</v>
      </c>
      <c r="E237" s="63" t="s">
        <v>138</v>
      </c>
      <c r="F237" s="65">
        <v>30370</v>
      </c>
      <c r="G237" s="66">
        <v>8.1567394721153309E-3</v>
      </c>
      <c r="H237" s="65">
        <v>435</v>
      </c>
      <c r="I237" s="67">
        <v>1.84172757816473</v>
      </c>
      <c r="J237" s="67">
        <v>15.022492033699599</v>
      </c>
      <c r="K237" s="65">
        <v>22</v>
      </c>
      <c r="L237" s="65">
        <v>33</v>
      </c>
      <c r="M237" s="66">
        <v>5.9800664451827197E-2</v>
      </c>
      <c r="N237" s="67">
        <v>1917.9922180067899</v>
      </c>
      <c r="O237" s="67">
        <v>106.55512322259899</v>
      </c>
      <c r="P237" s="67">
        <v>554.36000102758396</v>
      </c>
      <c r="Q237" s="68">
        <v>0.28903141306990499</v>
      </c>
    </row>
    <row r="238" spans="1:17" x14ac:dyDescent="0.35">
      <c r="A238" s="62" t="s">
        <v>136</v>
      </c>
      <c r="B238" s="63">
        <v>338793</v>
      </c>
      <c r="C238" s="63" t="s">
        <v>139</v>
      </c>
      <c r="D238" s="64">
        <v>42661</v>
      </c>
      <c r="E238" s="63" t="s">
        <v>138</v>
      </c>
      <c r="F238" s="65">
        <v>32939</v>
      </c>
      <c r="G238" s="66">
        <v>7.7502975796852301E-3</v>
      </c>
      <c r="H238" s="65">
        <v>358</v>
      </c>
      <c r="I238" s="67">
        <v>1.9379180891522001</v>
      </c>
      <c r="J238" s="67">
        <v>15.0194418759845</v>
      </c>
      <c r="K238" s="65">
        <v>23</v>
      </c>
      <c r="L238" s="65">
        <v>26</v>
      </c>
      <c r="M238" s="66">
        <v>4.7781569965870303E-2</v>
      </c>
      <c r="N238" s="67">
        <v>2079.3514312388202</v>
      </c>
      <c r="O238" s="67">
        <v>148.52510223134399</v>
      </c>
      <c r="P238" s="67">
        <v>567.81000012159302</v>
      </c>
      <c r="Q238" s="68">
        <v>0.27307072368392699</v>
      </c>
    </row>
    <row r="239" spans="1:17" x14ac:dyDescent="0.35">
      <c r="A239" s="62" t="s">
        <v>136</v>
      </c>
      <c r="B239" s="63">
        <v>338793</v>
      </c>
      <c r="C239" s="63" t="s">
        <v>139</v>
      </c>
      <c r="D239" s="64">
        <v>42662</v>
      </c>
      <c r="E239" s="63" t="s">
        <v>138</v>
      </c>
      <c r="F239" s="65">
        <v>18370</v>
      </c>
      <c r="G239" s="66">
        <v>7.3074163632981699E-3</v>
      </c>
      <c r="H239" s="65">
        <v>279</v>
      </c>
      <c r="I239" s="67">
        <v>1.79669088537043</v>
      </c>
      <c r="J239" s="67">
        <v>13.1291683755445</v>
      </c>
      <c r="K239" s="65">
        <v>69</v>
      </c>
      <c r="L239" s="65">
        <v>38</v>
      </c>
      <c r="M239" s="66">
        <v>7.2727272727272696E-2</v>
      </c>
      <c r="N239" s="67">
        <v>2450.0416377779902</v>
      </c>
      <c r="O239" s="67">
        <v>122.502081888899</v>
      </c>
      <c r="P239" s="67">
        <v>494.08999347686802</v>
      </c>
      <c r="Q239" s="68">
        <v>0.201665957777343</v>
      </c>
    </row>
    <row r="240" spans="1:17" x14ac:dyDescent="0.35">
      <c r="A240" s="62" t="s">
        <v>136</v>
      </c>
      <c r="B240" s="63">
        <v>338793</v>
      </c>
      <c r="C240" s="63" t="s">
        <v>139</v>
      </c>
      <c r="D240" s="64">
        <v>42663</v>
      </c>
      <c r="E240" s="63" t="s">
        <v>138</v>
      </c>
      <c r="F240" s="65">
        <v>35327</v>
      </c>
      <c r="G240" s="66">
        <v>1.23473225280394E-2</v>
      </c>
      <c r="H240" s="65">
        <v>314</v>
      </c>
      <c r="I240" s="67">
        <v>1.7835040251521099</v>
      </c>
      <c r="J240" s="67">
        <v>22.021499428609602</v>
      </c>
      <c r="K240" s="65">
        <v>65</v>
      </c>
      <c r="L240" s="65">
        <v>26</v>
      </c>
      <c r="M240" s="66">
        <v>5.1212938005390798E-2</v>
      </c>
      <c r="N240" s="67">
        <v>1949.1804459357099</v>
      </c>
      <c r="O240" s="67">
        <v>102.58844452293199</v>
      </c>
      <c r="P240" s="67">
        <v>661.679993331432</v>
      </c>
      <c r="Q240" s="68">
        <v>0.33946574557071901</v>
      </c>
    </row>
    <row r="241" spans="1:17" x14ac:dyDescent="0.35">
      <c r="A241" s="62" t="s">
        <v>136</v>
      </c>
      <c r="B241" s="63">
        <v>338793</v>
      </c>
      <c r="C241" s="63" t="s">
        <v>139</v>
      </c>
      <c r="D241" s="64">
        <v>42664</v>
      </c>
      <c r="E241" s="63" t="s">
        <v>138</v>
      </c>
      <c r="F241" s="65">
        <v>33925</v>
      </c>
      <c r="G241" s="66">
        <v>9.22077301610052E-3</v>
      </c>
      <c r="H241" s="65">
        <v>499</v>
      </c>
      <c r="I241" s="67">
        <v>1.7111916836215999</v>
      </c>
      <c r="J241" s="67">
        <v>15.778510101713699</v>
      </c>
      <c r="K241" s="65">
        <v>78</v>
      </c>
      <c r="L241" s="65">
        <v>49</v>
      </c>
      <c r="M241" s="66">
        <v>6.9948186528497394E-2</v>
      </c>
      <c r="N241" s="67">
        <v>2819.4969683917202</v>
      </c>
      <c r="O241" s="67">
        <v>104.425813644138</v>
      </c>
      <c r="P241" s="67">
        <v>660.519989877939</v>
      </c>
      <c r="Q241" s="68">
        <v>0.23426873562297501</v>
      </c>
    </row>
    <row r="242" spans="1:17" x14ac:dyDescent="0.35">
      <c r="A242" s="62" t="s">
        <v>136</v>
      </c>
      <c r="B242" s="63">
        <v>338793</v>
      </c>
      <c r="C242" s="63" t="s">
        <v>139</v>
      </c>
      <c r="D242" s="64">
        <v>42665</v>
      </c>
      <c r="E242" s="63" t="s">
        <v>138</v>
      </c>
      <c r="F242" s="65">
        <v>16021</v>
      </c>
      <c r="G242" s="66">
        <v>7.9122001020928995E-3</v>
      </c>
      <c r="H242" s="65">
        <v>490</v>
      </c>
      <c r="I242" s="67">
        <v>1.6936289945276799</v>
      </c>
      <c r="J242" s="67">
        <v>13.400331503409401</v>
      </c>
      <c r="K242" s="65">
        <v>43</v>
      </c>
      <c r="L242" s="65">
        <v>52</v>
      </c>
      <c r="M242" s="66">
        <v>6.4516129032258104E-2</v>
      </c>
      <c r="N242" s="67">
        <v>4973.0818092127702</v>
      </c>
      <c r="O242" s="67">
        <v>207.211742050532</v>
      </c>
      <c r="P242" s="67">
        <v>630.02998596429802</v>
      </c>
      <c r="Q242" s="68">
        <v>0.126688039757792</v>
      </c>
    </row>
    <row r="243" spans="1:17" x14ac:dyDescent="0.35">
      <c r="A243" s="62" t="s">
        <v>136</v>
      </c>
      <c r="B243" s="63">
        <v>338793</v>
      </c>
      <c r="C243" s="63" t="s">
        <v>139</v>
      </c>
      <c r="D243" s="64">
        <v>42666</v>
      </c>
      <c r="E243" s="63" t="s">
        <v>138</v>
      </c>
      <c r="F243" s="65">
        <v>25441</v>
      </c>
      <c r="G243" s="66">
        <v>8.9137125270716995E-3</v>
      </c>
      <c r="H243" s="65">
        <v>259</v>
      </c>
      <c r="I243" s="67">
        <v>1.7666751719496701</v>
      </c>
      <c r="J243" s="67">
        <v>15.7476346114744</v>
      </c>
      <c r="K243" s="65">
        <v>43</v>
      </c>
      <c r="L243" s="65">
        <v>54</v>
      </c>
      <c r="M243" s="66">
        <v>7.4168797953964194E-2</v>
      </c>
      <c r="N243" s="67">
        <v>2942.6226745691802</v>
      </c>
      <c r="O243" s="67">
        <v>101.469747398937</v>
      </c>
      <c r="P243" s="67">
        <v>690.76999223232303</v>
      </c>
      <c r="Q243" s="68">
        <v>0.234746370372972</v>
      </c>
    </row>
    <row r="244" spans="1:17" x14ac:dyDescent="0.35">
      <c r="A244" s="62" t="s">
        <v>136</v>
      </c>
      <c r="B244" s="63">
        <v>338793</v>
      </c>
      <c r="C244" s="63" t="s">
        <v>139</v>
      </c>
      <c r="D244" s="64">
        <v>42667</v>
      </c>
      <c r="E244" s="63" t="s">
        <v>138</v>
      </c>
      <c r="F244" s="65">
        <v>15560</v>
      </c>
      <c r="G244" s="66">
        <v>7.0387750061743602E-3</v>
      </c>
      <c r="H244" s="65">
        <v>598</v>
      </c>
      <c r="I244" s="67">
        <v>1.80131574654788</v>
      </c>
      <c r="J244" s="67">
        <v>12.6790562550296</v>
      </c>
      <c r="K244" s="65">
        <v>70</v>
      </c>
      <c r="L244" s="65">
        <v>44</v>
      </c>
      <c r="M244" s="66">
        <v>6.14035087719298E-2</v>
      </c>
      <c r="N244" s="67">
        <v>2139.8020313164502</v>
      </c>
      <c r="O244" s="67">
        <v>101.89533482459299</v>
      </c>
      <c r="P244" s="67">
        <v>616.04998531937599</v>
      </c>
      <c r="Q244" s="68">
        <v>0.28790045822153398</v>
      </c>
    </row>
    <row r="245" spans="1:17" x14ac:dyDescent="0.35">
      <c r="A245" s="62" t="s">
        <v>136</v>
      </c>
      <c r="B245" s="63">
        <v>338793</v>
      </c>
      <c r="C245" s="63" t="s">
        <v>139</v>
      </c>
      <c r="D245" s="64">
        <v>42668</v>
      </c>
      <c r="E245" s="63" t="s">
        <v>138</v>
      </c>
      <c r="F245" s="65">
        <v>60611</v>
      </c>
      <c r="G245" s="66">
        <v>7.0097644002508298E-3</v>
      </c>
      <c r="H245" s="65">
        <v>451</v>
      </c>
      <c r="I245" s="67">
        <v>1.7029712473432099</v>
      </c>
      <c r="J245" s="67">
        <v>11.937427224277201</v>
      </c>
      <c r="K245" s="65">
        <v>70</v>
      </c>
      <c r="L245" s="65">
        <v>44</v>
      </c>
      <c r="M245" s="66">
        <v>5.4313099041533502E-2</v>
      </c>
      <c r="N245" s="67">
        <v>2981.1725552404801</v>
      </c>
      <c r="O245" s="67">
        <v>175.36309148473401</v>
      </c>
      <c r="P245" s="67">
        <v>533.03000041842495</v>
      </c>
      <c r="Q245" s="68">
        <v>0.178798774824836</v>
      </c>
    </row>
    <row r="246" spans="1:17" x14ac:dyDescent="0.35">
      <c r="A246" s="62" t="s">
        <v>136</v>
      </c>
      <c r="B246" s="63">
        <v>338793</v>
      </c>
      <c r="C246" s="63" t="s">
        <v>139</v>
      </c>
      <c r="D246" s="64">
        <v>42669</v>
      </c>
      <c r="E246" s="63" t="s">
        <v>138</v>
      </c>
      <c r="F246" s="65">
        <v>62013</v>
      </c>
      <c r="G246" s="66">
        <v>7.3558549633445597E-3</v>
      </c>
      <c r="H246" s="65">
        <v>253</v>
      </c>
      <c r="I246" s="67">
        <v>1.6783501648340999</v>
      </c>
      <c r="J246" s="67">
        <v>12.345700390225099</v>
      </c>
      <c r="K246" s="65">
        <v>70</v>
      </c>
      <c r="L246" s="65">
        <v>31</v>
      </c>
      <c r="M246" s="66">
        <v>4.7138047138047097E-2</v>
      </c>
      <c r="N246" s="67">
        <v>1429.8879994904501</v>
      </c>
      <c r="O246" s="67">
        <v>102.13485710646</v>
      </c>
      <c r="P246" s="67">
        <v>498.46999895572702</v>
      </c>
      <c r="Q246" s="68">
        <v>0.34860772251628203</v>
      </c>
    </row>
    <row r="247" spans="1:17" x14ac:dyDescent="0.35">
      <c r="A247" s="62" t="s">
        <v>136</v>
      </c>
      <c r="B247" s="63">
        <v>338793</v>
      </c>
      <c r="C247" s="63" t="s">
        <v>139</v>
      </c>
      <c r="D247" s="64">
        <v>42670</v>
      </c>
      <c r="E247" s="63" t="s">
        <v>138</v>
      </c>
      <c r="F247" s="65">
        <v>12437</v>
      </c>
      <c r="G247" s="66">
        <v>9.4713597786468696E-3</v>
      </c>
      <c r="H247" s="65">
        <v>577</v>
      </c>
      <c r="I247" s="67">
        <v>1.7444662889570299</v>
      </c>
      <c r="J247" s="67">
        <v>16.522467844432999</v>
      </c>
      <c r="K247" s="65">
        <v>68</v>
      </c>
      <c r="L247" s="65">
        <v>27</v>
      </c>
      <c r="M247" s="66">
        <v>3.6516853932584303E-2</v>
      </c>
      <c r="N247" s="67">
        <v>2649.7879581174998</v>
      </c>
      <c r="O247" s="67">
        <v>203.82984293211501</v>
      </c>
      <c r="P247" s="67">
        <v>621.02999886870396</v>
      </c>
      <c r="Q247" s="68">
        <v>0.23436969624916901</v>
      </c>
    </row>
    <row r="248" spans="1:17" x14ac:dyDescent="0.35">
      <c r="A248" s="62" t="s">
        <v>136</v>
      </c>
      <c r="B248" s="63">
        <v>338793</v>
      </c>
      <c r="C248" s="63" t="s">
        <v>139</v>
      </c>
      <c r="D248" s="64">
        <v>42671</v>
      </c>
      <c r="E248" s="63" t="s">
        <v>138</v>
      </c>
      <c r="F248" s="65">
        <v>14950</v>
      </c>
      <c r="G248" s="66">
        <v>8.4320417586829996E-3</v>
      </c>
      <c r="H248" s="65">
        <v>288</v>
      </c>
      <c r="I248" s="67">
        <v>1.6967619104754399</v>
      </c>
      <c r="J248" s="67">
        <v>14.3071672836716</v>
      </c>
      <c r="K248" s="65">
        <v>63</v>
      </c>
      <c r="L248" s="65">
        <v>84</v>
      </c>
      <c r="M248" s="66">
        <v>8.0952380952380998E-2</v>
      </c>
      <c r="N248" s="67">
        <v>5049.5505273953104</v>
      </c>
      <c r="O248" s="67">
        <v>148.51619198221499</v>
      </c>
      <c r="P248" s="67">
        <v>712.640002399683</v>
      </c>
      <c r="Q248" s="68">
        <v>0.14112939330607699</v>
      </c>
    </row>
    <row r="249" spans="1:17" x14ac:dyDescent="0.35">
      <c r="A249" s="62" t="s">
        <v>136</v>
      </c>
      <c r="B249" s="63">
        <v>338793</v>
      </c>
      <c r="C249" s="63" t="s">
        <v>139</v>
      </c>
      <c r="D249" s="64">
        <v>42672</v>
      </c>
      <c r="E249" s="63" t="s">
        <v>138</v>
      </c>
      <c r="F249" s="65">
        <v>46745</v>
      </c>
      <c r="G249" s="66">
        <v>7.43736156550365E-3</v>
      </c>
      <c r="H249" s="65">
        <v>296</v>
      </c>
      <c r="I249" s="67">
        <v>1.74573771525276</v>
      </c>
      <c r="J249" s="67">
        <v>12.983682586871</v>
      </c>
      <c r="K249" s="65">
        <v>59</v>
      </c>
      <c r="L249" s="65">
        <v>82</v>
      </c>
      <c r="M249" s="66">
        <v>8.4699453551912607E-2</v>
      </c>
      <c r="N249" s="67">
        <v>5461.7132319709599</v>
      </c>
      <c r="O249" s="67">
        <v>176.184297805515</v>
      </c>
      <c r="P249" s="67">
        <v>638.94000378251098</v>
      </c>
      <c r="Q249" s="68">
        <v>0.116985271222659</v>
      </c>
    </row>
    <row r="250" spans="1:17" x14ac:dyDescent="0.35">
      <c r="A250" s="62" t="s">
        <v>136</v>
      </c>
      <c r="B250" s="63">
        <v>338793</v>
      </c>
      <c r="C250" s="63" t="s">
        <v>139</v>
      </c>
      <c r="D250" s="64">
        <v>42673</v>
      </c>
      <c r="E250" s="63" t="s">
        <v>138</v>
      </c>
      <c r="F250" s="65">
        <v>52121</v>
      </c>
      <c r="G250" s="66">
        <v>7.0920488844798098E-3</v>
      </c>
      <c r="H250" s="65">
        <v>336</v>
      </c>
      <c r="I250" s="67">
        <v>1.78059522843077</v>
      </c>
      <c r="J250" s="67">
        <v>12.6280684035025</v>
      </c>
      <c r="K250" s="65">
        <v>42</v>
      </c>
      <c r="L250" s="65">
        <v>40</v>
      </c>
      <c r="M250" s="66">
        <v>7.1428571428571397E-2</v>
      </c>
      <c r="N250" s="67">
        <v>2862.6830479246701</v>
      </c>
      <c r="O250" s="67">
        <v>119.278460330195</v>
      </c>
      <c r="P250" s="67">
        <v>598.27999675273895</v>
      </c>
      <c r="Q250" s="68">
        <v>0.20899274796994</v>
      </c>
    </row>
    <row r="251" spans="1:17" x14ac:dyDescent="0.35">
      <c r="A251" s="62" t="s">
        <v>136</v>
      </c>
      <c r="B251" s="63">
        <v>338793</v>
      </c>
      <c r="C251" s="63" t="s">
        <v>139</v>
      </c>
      <c r="D251" s="64">
        <v>42674</v>
      </c>
      <c r="E251" s="63" t="s">
        <v>138</v>
      </c>
      <c r="F251" s="65">
        <v>12474</v>
      </c>
      <c r="G251" s="66">
        <v>8.2644628099173608E-3</v>
      </c>
      <c r="H251" s="65">
        <v>368</v>
      </c>
      <c r="I251" s="67">
        <v>1.82262734865056</v>
      </c>
      <c r="J251" s="67">
        <v>15.0630359392608</v>
      </c>
      <c r="K251" s="65">
        <v>11</v>
      </c>
      <c r="L251" s="65">
        <v>49</v>
      </c>
      <c r="M251" s="66">
        <v>7.2386058981233306E-2</v>
      </c>
      <c r="N251" s="67">
        <v>3444.8674315907301</v>
      </c>
      <c r="O251" s="67">
        <v>127.587682651509</v>
      </c>
      <c r="P251" s="67">
        <v>679.84000104665802</v>
      </c>
      <c r="Q251" s="68">
        <v>0.19734866857640701</v>
      </c>
    </row>
    <row r="252" spans="1:17" x14ac:dyDescent="0.35">
      <c r="A252" s="62" t="s">
        <v>136</v>
      </c>
      <c r="B252" s="63">
        <v>338793</v>
      </c>
      <c r="C252" s="63" t="s">
        <v>139</v>
      </c>
      <c r="D252" s="64">
        <v>42675</v>
      </c>
      <c r="E252" s="63" t="s">
        <v>138</v>
      </c>
      <c r="F252" s="65">
        <v>9994</v>
      </c>
      <c r="G252" s="66">
        <v>8.8234006217979607E-3</v>
      </c>
      <c r="H252" s="65">
        <v>408</v>
      </c>
      <c r="I252" s="67">
        <v>1.7535980263211901</v>
      </c>
      <c r="J252" s="67">
        <v>15.4726979158261</v>
      </c>
      <c r="K252" s="65">
        <v>42</v>
      </c>
      <c r="L252" s="65">
        <v>64</v>
      </c>
      <c r="M252" s="66">
        <v>5.2109181141439198E-2</v>
      </c>
      <c r="N252" s="67">
        <v>2988.79673979062</v>
      </c>
      <c r="O252" s="67">
        <v>142.32365427574399</v>
      </c>
      <c r="P252" s="67">
        <v>706.70000460743904</v>
      </c>
      <c r="Q252" s="68">
        <v>0.23644967059785599</v>
      </c>
    </row>
    <row r="253" spans="1:17" x14ac:dyDescent="0.35">
      <c r="A253" s="62" t="s">
        <v>136</v>
      </c>
      <c r="B253" s="63">
        <v>338793</v>
      </c>
      <c r="C253" s="63" t="s">
        <v>139</v>
      </c>
      <c r="D253" s="64">
        <v>42676</v>
      </c>
      <c r="E253" s="63" t="s">
        <v>138</v>
      </c>
      <c r="F253" s="65">
        <v>42114</v>
      </c>
      <c r="G253" s="66">
        <v>7.1901135938085099E-3</v>
      </c>
      <c r="H253" s="65">
        <v>213</v>
      </c>
      <c r="I253" s="67">
        <v>1.7465625001738501</v>
      </c>
      <c r="J253" s="67">
        <v>12.5579827749362</v>
      </c>
      <c r="K253" s="65">
        <v>85</v>
      </c>
      <c r="L253" s="65">
        <v>36</v>
      </c>
      <c r="M253" s="66">
        <v>5.2083333333333301E-2</v>
      </c>
      <c r="N253" s="67">
        <v>1706.2422124350901</v>
      </c>
      <c r="O253" s="67">
        <v>113.749480829006</v>
      </c>
      <c r="P253" s="67">
        <v>503.01000005006802</v>
      </c>
      <c r="Q253" s="68">
        <v>0.29480574116859298</v>
      </c>
    </row>
    <row r="254" spans="1:17" x14ac:dyDescent="0.35">
      <c r="A254" s="62" t="s">
        <v>136</v>
      </c>
      <c r="B254" s="63">
        <v>338793</v>
      </c>
      <c r="C254" s="63" t="s">
        <v>139</v>
      </c>
      <c r="D254" s="64">
        <v>42677</v>
      </c>
      <c r="E254" s="63" t="s">
        <v>138</v>
      </c>
      <c r="F254" s="65">
        <v>18569</v>
      </c>
      <c r="G254" s="66">
        <v>8.1160465835308695E-3</v>
      </c>
      <c r="H254" s="65">
        <v>492</v>
      </c>
      <c r="I254" s="67">
        <v>1.7232381147051601</v>
      </c>
      <c r="J254" s="67">
        <v>13.985880813463</v>
      </c>
      <c r="K254" s="65">
        <v>45</v>
      </c>
      <c r="L254" s="65">
        <v>21</v>
      </c>
      <c r="M254" s="66">
        <v>3.8095238095238099E-2</v>
      </c>
      <c r="N254" s="67">
        <v>2038.21866240085</v>
      </c>
      <c r="O254" s="67">
        <v>169.851555200071</v>
      </c>
      <c r="P254" s="67">
        <v>542.82000613212597</v>
      </c>
      <c r="Q254" s="68">
        <v>0.26632079086781102</v>
      </c>
    </row>
    <row r="255" spans="1:17" x14ac:dyDescent="0.35">
      <c r="A255" s="62" t="s">
        <v>136</v>
      </c>
      <c r="B255" s="63">
        <v>338793</v>
      </c>
      <c r="C255" s="63" t="s">
        <v>139</v>
      </c>
      <c r="D255" s="64">
        <v>42678</v>
      </c>
      <c r="E255" s="63" t="s">
        <v>138</v>
      </c>
      <c r="F255" s="65">
        <v>36767</v>
      </c>
      <c r="G255" s="66">
        <v>8.5039505694417504E-3</v>
      </c>
      <c r="H255" s="65">
        <v>155</v>
      </c>
      <c r="I255" s="67">
        <v>1.63713925058329</v>
      </c>
      <c r="J255" s="67">
        <v>13.9221512622532</v>
      </c>
      <c r="K255" s="65">
        <v>54</v>
      </c>
      <c r="L255" s="65">
        <v>50</v>
      </c>
      <c r="M255" s="66">
        <v>6.3291139240506306E-2</v>
      </c>
      <c r="N255" s="67">
        <v>3265.8810512722098</v>
      </c>
      <c r="O255" s="67">
        <v>130.635242050888</v>
      </c>
      <c r="P255" s="67">
        <v>646.67000398039795</v>
      </c>
      <c r="Q255" s="68">
        <v>0.198007825094699</v>
      </c>
    </row>
    <row r="256" spans="1:17" x14ac:dyDescent="0.35">
      <c r="A256" s="62" t="s">
        <v>136</v>
      </c>
      <c r="B256" s="63">
        <v>736499</v>
      </c>
      <c r="C256" s="63" t="s">
        <v>140</v>
      </c>
      <c r="D256" s="64">
        <v>42552</v>
      </c>
      <c r="E256" s="63" t="s">
        <v>138</v>
      </c>
      <c r="F256" s="65">
        <v>14323</v>
      </c>
      <c r="G256" s="66">
        <v>7.9978152309613006E-3</v>
      </c>
      <c r="H256" s="65">
        <v>407</v>
      </c>
      <c r="I256" s="67">
        <v>0.42912195968191802</v>
      </c>
      <c r="J256" s="67">
        <v>3.4320381450839998</v>
      </c>
      <c r="K256" s="65">
        <v>53</v>
      </c>
      <c r="L256" s="65">
        <v>32</v>
      </c>
      <c r="M256" s="66">
        <v>4.8780487804878099E-2</v>
      </c>
      <c r="N256" s="67">
        <v>1147.46305769219</v>
      </c>
      <c r="O256" s="67">
        <v>114.74630576921901</v>
      </c>
      <c r="P256" s="67">
        <v>87.9700017347932</v>
      </c>
      <c r="Q256" s="68">
        <v>7.6664779005366099E-2</v>
      </c>
    </row>
    <row r="257" spans="1:17" x14ac:dyDescent="0.35">
      <c r="A257" s="62" t="s">
        <v>136</v>
      </c>
      <c r="B257" s="63">
        <v>736499</v>
      </c>
      <c r="C257" s="63" t="s">
        <v>140</v>
      </c>
      <c r="D257" s="64">
        <v>42553</v>
      </c>
      <c r="E257" s="63" t="s">
        <v>138</v>
      </c>
      <c r="F257" s="65">
        <v>1601</v>
      </c>
      <c r="G257" s="66">
        <v>8.3270249810749406E-3</v>
      </c>
      <c r="H257" s="65">
        <v>358</v>
      </c>
      <c r="I257" s="67">
        <v>0.449090913821586</v>
      </c>
      <c r="J257" s="67">
        <v>3.7395912581661199</v>
      </c>
      <c r="K257" s="65">
        <v>20</v>
      </c>
      <c r="L257" s="65">
        <v>46</v>
      </c>
      <c r="M257" s="66">
        <v>7.1146245059288502E-2</v>
      </c>
      <c r="N257" s="67">
        <v>2473.1177930875601</v>
      </c>
      <c r="O257" s="67">
        <v>137.395432949309</v>
      </c>
      <c r="P257" s="67">
        <v>113.620001196861</v>
      </c>
      <c r="Q257" s="68">
        <v>4.5942009521112402E-2</v>
      </c>
    </row>
    <row r="258" spans="1:17" x14ac:dyDescent="0.35">
      <c r="A258" s="62" t="s">
        <v>136</v>
      </c>
      <c r="B258" s="63">
        <v>736499</v>
      </c>
      <c r="C258" s="63" t="s">
        <v>140</v>
      </c>
      <c r="D258" s="64">
        <v>42554</v>
      </c>
      <c r="E258" s="63" t="s">
        <v>138</v>
      </c>
      <c r="F258" s="65">
        <v>10764</v>
      </c>
      <c r="G258" s="66">
        <v>8.1498071419684008E-3</v>
      </c>
      <c r="H258" s="65">
        <v>186</v>
      </c>
      <c r="I258" s="67">
        <v>0.45954199408301899</v>
      </c>
      <c r="J258" s="67">
        <v>3.7451786254121799</v>
      </c>
      <c r="K258" s="65">
        <v>71</v>
      </c>
      <c r="L258" s="65">
        <v>32</v>
      </c>
      <c r="M258" s="66">
        <v>5.34351145038168E-2</v>
      </c>
      <c r="N258" s="67">
        <v>929.25058939100597</v>
      </c>
      <c r="O258" s="67">
        <v>66.3750420993576</v>
      </c>
      <c r="P258" s="67">
        <v>120.400002449751</v>
      </c>
      <c r="Q258" s="68">
        <v>0.12956677544714401</v>
      </c>
    </row>
    <row r="259" spans="1:17" x14ac:dyDescent="0.35">
      <c r="A259" s="62" t="s">
        <v>136</v>
      </c>
      <c r="B259" s="63">
        <v>736499</v>
      </c>
      <c r="C259" s="63" t="s">
        <v>140</v>
      </c>
      <c r="D259" s="64">
        <v>42555</v>
      </c>
      <c r="E259" s="63" t="s">
        <v>138</v>
      </c>
      <c r="F259" s="65">
        <v>57430</v>
      </c>
      <c r="G259" s="66">
        <v>8.2083215397678998E-3</v>
      </c>
      <c r="H259" s="65">
        <v>164</v>
      </c>
      <c r="I259" s="67">
        <v>0.44560345837139897</v>
      </c>
      <c r="J259" s="67">
        <v>3.6576564655450201</v>
      </c>
      <c r="K259" s="65">
        <v>94</v>
      </c>
      <c r="L259" s="65">
        <v>25</v>
      </c>
      <c r="M259" s="66">
        <v>4.7413793103448301E-2</v>
      </c>
      <c r="N259" s="67">
        <v>1227.2452492012801</v>
      </c>
      <c r="O259" s="67">
        <v>111.567749927389</v>
      </c>
      <c r="P259" s="67">
        <v>103.380002342165</v>
      </c>
      <c r="Q259" s="68">
        <v>8.4237443501571002E-2</v>
      </c>
    </row>
    <row r="260" spans="1:17" x14ac:dyDescent="0.35">
      <c r="A260" s="62" t="s">
        <v>136</v>
      </c>
      <c r="B260" s="63">
        <v>736499</v>
      </c>
      <c r="C260" s="63" t="s">
        <v>140</v>
      </c>
      <c r="D260" s="64">
        <v>42556</v>
      </c>
      <c r="E260" s="63" t="s">
        <v>138</v>
      </c>
      <c r="F260" s="65">
        <v>10520</v>
      </c>
      <c r="G260" s="66">
        <v>1.02438024994878E-2</v>
      </c>
      <c r="H260" s="65">
        <v>498</v>
      </c>
      <c r="I260" s="67">
        <v>0.38390001118183098</v>
      </c>
      <c r="J260" s="67">
        <v>3.9325958940978398</v>
      </c>
      <c r="K260" s="65">
        <v>25</v>
      </c>
      <c r="L260" s="65">
        <v>25</v>
      </c>
      <c r="M260" s="66">
        <v>3.5000000000000003E-2</v>
      </c>
      <c r="N260" s="67">
        <v>1242.54473161034</v>
      </c>
      <c r="O260" s="67">
        <v>177.506390230048</v>
      </c>
      <c r="P260" s="67">
        <v>76.7800022363663</v>
      </c>
      <c r="Q260" s="68">
        <v>6.1792545799827597E-2</v>
      </c>
    </row>
    <row r="261" spans="1:17" x14ac:dyDescent="0.35">
      <c r="A261" s="62" t="s">
        <v>136</v>
      </c>
      <c r="B261" s="63">
        <v>736499</v>
      </c>
      <c r="C261" s="63" t="s">
        <v>140</v>
      </c>
      <c r="D261" s="64">
        <v>42557</v>
      </c>
      <c r="E261" s="63" t="s">
        <v>138</v>
      </c>
      <c r="F261" s="65">
        <v>32319</v>
      </c>
      <c r="G261" s="66">
        <v>8.1940700808625297E-3</v>
      </c>
      <c r="H261" s="65">
        <v>538</v>
      </c>
      <c r="I261" s="67">
        <v>0.326644749086546</v>
      </c>
      <c r="J261" s="67">
        <v>2.6765499655609202</v>
      </c>
      <c r="K261" s="65">
        <v>84</v>
      </c>
      <c r="L261" s="65">
        <v>26</v>
      </c>
      <c r="M261" s="66">
        <v>6.5789473684210495E-2</v>
      </c>
      <c r="N261" s="67">
        <v>1084.5794763465301</v>
      </c>
      <c r="O261" s="67">
        <v>108.457947634653</v>
      </c>
      <c r="P261" s="67">
        <v>49.650001861154998</v>
      </c>
      <c r="Q261" s="68">
        <v>4.5778113032715603E-2</v>
      </c>
    </row>
    <row r="262" spans="1:17" x14ac:dyDescent="0.35">
      <c r="A262" s="62" t="s">
        <v>136</v>
      </c>
      <c r="B262" s="63">
        <v>736499</v>
      </c>
      <c r="C262" s="63" t="s">
        <v>140</v>
      </c>
      <c r="D262" s="64">
        <v>42558</v>
      </c>
      <c r="E262" s="63" t="s">
        <v>138</v>
      </c>
      <c r="F262" s="65">
        <v>11171</v>
      </c>
      <c r="G262" s="66">
        <v>1.01472764428159E-2</v>
      </c>
      <c r="H262" s="65">
        <v>539</v>
      </c>
      <c r="I262" s="67">
        <v>0.32465278610794102</v>
      </c>
      <c r="J262" s="67">
        <v>3.29434156856765</v>
      </c>
      <c r="K262" s="65">
        <v>88</v>
      </c>
      <c r="L262" s="65">
        <v>19</v>
      </c>
      <c r="M262" s="66">
        <v>6.9444444444444406E-2</v>
      </c>
      <c r="N262" s="67">
        <v>492.52312477461999</v>
      </c>
      <c r="O262" s="67">
        <v>49.252312477461999</v>
      </c>
      <c r="P262" s="67">
        <v>46.750001199543497</v>
      </c>
      <c r="Q262" s="68">
        <v>9.4919403471535296E-2</v>
      </c>
    </row>
    <row r="263" spans="1:17" x14ac:dyDescent="0.35">
      <c r="A263" s="62" t="s">
        <v>136</v>
      </c>
      <c r="B263" s="63">
        <v>736499</v>
      </c>
      <c r="C263" s="63" t="s">
        <v>140</v>
      </c>
      <c r="D263" s="64">
        <v>42559</v>
      </c>
      <c r="E263" s="63" t="s">
        <v>138</v>
      </c>
      <c r="F263" s="65">
        <v>40827</v>
      </c>
      <c r="G263" s="66">
        <v>9.3152738369291707E-3</v>
      </c>
      <c r="H263" s="65">
        <v>459</v>
      </c>
      <c r="I263" s="67">
        <v>0.34643679206398698</v>
      </c>
      <c r="J263" s="67">
        <v>3.2271535852633302</v>
      </c>
      <c r="K263" s="65">
        <v>68</v>
      </c>
      <c r="L263" s="65">
        <v>22</v>
      </c>
      <c r="M263" s="66">
        <v>5.7471264367816098E-2</v>
      </c>
      <c r="N263" s="67">
        <v>888.88408876205199</v>
      </c>
      <c r="O263" s="67">
        <v>88.888408876205204</v>
      </c>
      <c r="P263" s="67">
        <v>60.280001819133801</v>
      </c>
      <c r="Q263" s="68">
        <v>6.7815368259190698E-2</v>
      </c>
    </row>
    <row r="264" spans="1:17" x14ac:dyDescent="0.35">
      <c r="A264" s="62" t="s">
        <v>136</v>
      </c>
      <c r="B264" s="63">
        <v>736499</v>
      </c>
      <c r="C264" s="63" t="s">
        <v>140</v>
      </c>
      <c r="D264" s="64">
        <v>42560</v>
      </c>
      <c r="E264" s="63" t="s">
        <v>138</v>
      </c>
      <c r="F264" s="65">
        <v>46347</v>
      </c>
      <c r="G264" s="66">
        <v>8.3587219748457193E-3</v>
      </c>
      <c r="H264" s="65">
        <v>525</v>
      </c>
      <c r="I264" s="67">
        <v>0.34453272070979402</v>
      </c>
      <c r="J264" s="67">
        <v>2.8798532236503398</v>
      </c>
      <c r="K264" s="65">
        <v>71</v>
      </c>
      <c r="L264" s="65">
        <v>29</v>
      </c>
      <c r="M264" s="66">
        <v>4.2056074766355103E-2</v>
      </c>
      <c r="N264" s="67">
        <v>637.60913905261498</v>
      </c>
      <c r="O264" s="67">
        <v>70.845459894735001</v>
      </c>
      <c r="P264" s="67">
        <v>73.730002231895895</v>
      </c>
      <c r="Q264" s="68">
        <v>0.115635108902998</v>
      </c>
    </row>
    <row r="265" spans="1:17" x14ac:dyDescent="0.35">
      <c r="A265" s="62" t="s">
        <v>136</v>
      </c>
      <c r="B265" s="63">
        <v>736499</v>
      </c>
      <c r="C265" s="63" t="s">
        <v>140</v>
      </c>
      <c r="D265" s="64">
        <v>42561</v>
      </c>
      <c r="E265" s="63" t="s">
        <v>138</v>
      </c>
      <c r="F265" s="65">
        <v>53651</v>
      </c>
      <c r="G265" s="66">
        <v>1.02237654320988E-2</v>
      </c>
      <c r="H265" s="65">
        <v>269</v>
      </c>
      <c r="I265" s="67">
        <v>0.33392453682872503</v>
      </c>
      <c r="J265" s="67">
        <v>3.4139661365591101</v>
      </c>
      <c r="K265" s="65">
        <v>12</v>
      </c>
      <c r="L265" s="65">
        <v>18</v>
      </c>
      <c r="M265" s="66">
        <v>1.88679245283019E-2</v>
      </c>
      <c r="N265" s="67">
        <v>446.19241141234301</v>
      </c>
      <c r="O265" s="67">
        <v>89.238482282468595</v>
      </c>
      <c r="P265" s="67">
        <v>88.490002259612098</v>
      </c>
      <c r="Q265" s="68">
        <v>0.19832251736310999</v>
      </c>
    </row>
    <row r="266" spans="1:17" x14ac:dyDescent="0.35">
      <c r="A266" s="62" t="s">
        <v>136</v>
      </c>
      <c r="B266" s="63">
        <v>736499</v>
      </c>
      <c r="C266" s="63" t="s">
        <v>140</v>
      </c>
      <c r="D266" s="64">
        <v>42562</v>
      </c>
      <c r="E266" s="63" t="s">
        <v>138</v>
      </c>
      <c r="F266" s="65">
        <v>37379</v>
      </c>
      <c r="G266" s="66">
        <v>9.2644268333519405E-3</v>
      </c>
      <c r="H266" s="65">
        <v>597</v>
      </c>
      <c r="I266" s="67">
        <v>0.31329318159914399</v>
      </c>
      <c r="J266" s="67">
        <v>2.9024817583133098</v>
      </c>
      <c r="K266" s="65">
        <v>99</v>
      </c>
      <c r="L266" s="65">
        <v>25</v>
      </c>
      <c r="M266" s="66">
        <v>5.22088353413655E-2</v>
      </c>
      <c r="N266" s="67">
        <v>812.60265274832602</v>
      </c>
      <c r="O266" s="67">
        <v>62.507896365255803</v>
      </c>
      <c r="P266" s="67">
        <v>78.010002218186898</v>
      </c>
      <c r="Q266" s="68">
        <v>9.6000181582409402E-2</v>
      </c>
    </row>
    <row r="267" spans="1:17" x14ac:dyDescent="0.35">
      <c r="A267" s="62" t="s">
        <v>136</v>
      </c>
      <c r="B267" s="63">
        <v>736499</v>
      </c>
      <c r="C267" s="63" t="s">
        <v>140</v>
      </c>
      <c r="D267" s="64">
        <v>42563</v>
      </c>
      <c r="E267" s="63" t="s">
        <v>138</v>
      </c>
      <c r="F267" s="65">
        <v>47872</v>
      </c>
      <c r="G267" s="66">
        <v>8.5698458731141396E-3</v>
      </c>
      <c r="H267" s="65">
        <v>309</v>
      </c>
      <c r="I267" s="67">
        <v>0.34054861537857201</v>
      </c>
      <c r="J267" s="67">
        <v>2.9184491460967901</v>
      </c>
      <c r="K267" s="65">
        <v>41</v>
      </c>
      <c r="L267" s="65">
        <v>22</v>
      </c>
      <c r="M267" s="66">
        <v>4.1825095057034203E-2</v>
      </c>
      <c r="N267" s="67">
        <v>521.09085480008002</v>
      </c>
      <c r="O267" s="67">
        <v>47.371895890916399</v>
      </c>
      <c r="P267" s="67">
        <v>89.564285844564395</v>
      </c>
      <c r="Q267" s="68">
        <v>0.17187844503416999</v>
      </c>
    </row>
    <row r="268" spans="1:17" x14ac:dyDescent="0.35">
      <c r="A268" s="62" t="s">
        <v>136</v>
      </c>
      <c r="B268" s="63">
        <v>736499</v>
      </c>
      <c r="C268" s="63" t="s">
        <v>140</v>
      </c>
      <c r="D268" s="64">
        <v>42564</v>
      </c>
      <c r="E268" s="63" t="s">
        <v>138</v>
      </c>
      <c r="F268" s="65">
        <v>45775</v>
      </c>
      <c r="G268" s="66">
        <v>8.6075746657058201E-3</v>
      </c>
      <c r="H268" s="65">
        <v>546</v>
      </c>
      <c r="I268" s="67">
        <v>0.327116270952447</v>
      </c>
      <c r="J268" s="67">
        <v>2.8156777265904398</v>
      </c>
      <c r="K268" s="65">
        <v>24</v>
      </c>
      <c r="L268" s="65">
        <v>20</v>
      </c>
      <c r="M268" s="66">
        <v>4.6511627906976702E-2</v>
      </c>
      <c r="N268" s="67">
        <v>1442.2594891967799</v>
      </c>
      <c r="O268" s="67">
        <v>144.22594891967799</v>
      </c>
      <c r="P268" s="67">
        <v>70.329998254776001</v>
      </c>
      <c r="Q268" s="68">
        <v>4.8763761848392401E-2</v>
      </c>
    </row>
    <row r="269" spans="1:17" x14ac:dyDescent="0.35">
      <c r="A269" s="62" t="s">
        <v>136</v>
      </c>
      <c r="B269" s="63">
        <v>736499</v>
      </c>
      <c r="C269" s="63" t="s">
        <v>140</v>
      </c>
      <c r="D269" s="64">
        <v>42565</v>
      </c>
      <c r="E269" s="63" t="s">
        <v>138</v>
      </c>
      <c r="F269" s="65">
        <v>36214</v>
      </c>
      <c r="G269" s="66">
        <v>9.0900252770756401E-3</v>
      </c>
      <c r="H269" s="65">
        <v>382</v>
      </c>
      <c r="I269" s="67">
        <v>0.32540106382918199</v>
      </c>
      <c r="J269" s="67">
        <v>2.95790389539457</v>
      </c>
      <c r="K269" s="65">
        <v>43</v>
      </c>
      <c r="L269" s="65">
        <v>16</v>
      </c>
      <c r="M269" s="66">
        <v>6.4171122994652399E-2</v>
      </c>
      <c r="N269" s="67">
        <v>1302.7487420223799</v>
      </c>
      <c r="O269" s="67">
        <v>108.56239516853201</v>
      </c>
      <c r="P269" s="67">
        <v>60.849998936057098</v>
      </c>
      <c r="Q269" s="68">
        <v>4.67089293378199E-2</v>
      </c>
    </row>
    <row r="270" spans="1:17" x14ac:dyDescent="0.35">
      <c r="A270" s="62" t="s">
        <v>136</v>
      </c>
      <c r="B270" s="63">
        <v>736499</v>
      </c>
      <c r="C270" s="63" t="s">
        <v>140</v>
      </c>
      <c r="D270" s="64">
        <v>42566</v>
      </c>
      <c r="E270" s="63" t="s">
        <v>138</v>
      </c>
      <c r="F270" s="65">
        <v>39138</v>
      </c>
      <c r="G270" s="66">
        <v>9.5453189585375207E-3</v>
      </c>
      <c r="H270" s="65">
        <v>593</v>
      </c>
      <c r="I270" s="67">
        <v>0.33486606686242998</v>
      </c>
      <c r="J270" s="67">
        <v>3.1964034165928501</v>
      </c>
      <c r="K270" s="65">
        <v>66</v>
      </c>
      <c r="L270" s="65">
        <v>38</v>
      </c>
      <c r="M270" s="66">
        <v>6.6964285714285698E-2</v>
      </c>
      <c r="N270" s="67">
        <v>1161.8117311767701</v>
      </c>
      <c r="O270" s="67">
        <v>77.4541154117844</v>
      </c>
      <c r="P270" s="67">
        <v>75.009998977184296</v>
      </c>
      <c r="Q270" s="68">
        <v>6.4562955394854502E-2</v>
      </c>
    </row>
    <row r="271" spans="1:17" x14ac:dyDescent="0.35">
      <c r="A271" s="62" t="s">
        <v>136</v>
      </c>
      <c r="B271" s="63">
        <v>736499</v>
      </c>
      <c r="C271" s="63" t="s">
        <v>140</v>
      </c>
      <c r="D271" s="64">
        <v>42567</v>
      </c>
      <c r="E271" s="63" t="s">
        <v>138</v>
      </c>
      <c r="F271" s="65">
        <v>55064</v>
      </c>
      <c r="G271" s="66">
        <v>8.5535359706735894E-3</v>
      </c>
      <c r="H271" s="65">
        <v>206</v>
      </c>
      <c r="I271" s="67">
        <v>0.325267849490047</v>
      </c>
      <c r="J271" s="67">
        <v>2.7821902507167602</v>
      </c>
      <c r="K271" s="65">
        <v>54</v>
      </c>
      <c r="L271" s="65">
        <v>26</v>
      </c>
      <c r="M271" s="66">
        <v>4.0178571428571397E-2</v>
      </c>
      <c r="N271" s="67">
        <v>684.155947150825</v>
      </c>
      <c r="O271" s="67">
        <v>76.017327461202697</v>
      </c>
      <c r="P271" s="67">
        <v>72.859998285770402</v>
      </c>
      <c r="Q271" s="68">
        <v>0.106496184954902</v>
      </c>
    </row>
    <row r="272" spans="1:17" x14ac:dyDescent="0.35">
      <c r="A272" s="62" t="s">
        <v>136</v>
      </c>
      <c r="B272" s="63">
        <v>736499</v>
      </c>
      <c r="C272" s="63" t="s">
        <v>140</v>
      </c>
      <c r="D272" s="64">
        <v>42568</v>
      </c>
      <c r="E272" s="63" t="s">
        <v>138</v>
      </c>
      <c r="F272" s="65">
        <v>38128</v>
      </c>
      <c r="G272" s="66">
        <v>8.53511457463587E-3</v>
      </c>
      <c r="H272" s="65">
        <v>374</v>
      </c>
      <c r="I272" s="67">
        <v>0.34179347737327898</v>
      </c>
      <c r="J272" s="67">
        <v>2.91724649024414</v>
      </c>
      <c r="K272" s="65">
        <v>49</v>
      </c>
      <c r="L272" s="65">
        <v>23</v>
      </c>
      <c r="M272" s="66">
        <v>4.3478260869565202E-2</v>
      </c>
      <c r="N272" s="67">
        <v>715.05749274046195</v>
      </c>
      <c r="O272" s="67">
        <v>89.382186592557701</v>
      </c>
      <c r="P272" s="67">
        <v>62.889999836683302</v>
      </c>
      <c r="Q272" s="68">
        <v>8.7950969642534599E-2</v>
      </c>
    </row>
    <row r="273" spans="1:17" x14ac:dyDescent="0.35">
      <c r="A273" s="62" t="s">
        <v>136</v>
      </c>
      <c r="B273" s="63">
        <v>736499</v>
      </c>
      <c r="C273" s="63" t="s">
        <v>140</v>
      </c>
      <c r="D273" s="64">
        <v>42569</v>
      </c>
      <c r="E273" s="63" t="s">
        <v>138</v>
      </c>
      <c r="F273" s="65">
        <v>17348</v>
      </c>
      <c r="G273" s="66">
        <v>7.8999638858793797E-3</v>
      </c>
      <c r="H273" s="65">
        <v>536</v>
      </c>
      <c r="I273" s="67">
        <v>0.33811428001948801</v>
      </c>
      <c r="J273" s="67">
        <v>2.6710906014540599</v>
      </c>
      <c r="K273" s="65">
        <v>23</v>
      </c>
      <c r="L273" s="65">
        <v>22</v>
      </c>
      <c r="M273" s="66">
        <v>3.4285714285714301E-2</v>
      </c>
      <c r="N273" s="67">
        <v>357.16138103259902</v>
      </c>
      <c r="O273" s="67">
        <v>59.526896838766497</v>
      </c>
      <c r="P273" s="67">
        <v>59.169999003410297</v>
      </c>
      <c r="Q273" s="68">
        <v>0.16566740455628901</v>
      </c>
    </row>
    <row r="274" spans="1:17" x14ac:dyDescent="0.35">
      <c r="A274" s="62" t="s">
        <v>136</v>
      </c>
      <c r="B274" s="63">
        <v>736499</v>
      </c>
      <c r="C274" s="63" t="s">
        <v>140</v>
      </c>
      <c r="D274" s="64">
        <v>42570</v>
      </c>
      <c r="E274" s="63" t="s">
        <v>138</v>
      </c>
      <c r="F274" s="65">
        <v>20622</v>
      </c>
      <c r="G274" s="66">
        <v>8.4670853686903899E-3</v>
      </c>
      <c r="H274" s="65">
        <v>328</v>
      </c>
      <c r="I274" s="67">
        <v>0.33164834607761001</v>
      </c>
      <c r="J274" s="67">
        <v>2.8080948586240999</v>
      </c>
      <c r="K274" s="65">
        <v>50</v>
      </c>
      <c r="L274" s="65">
        <v>18</v>
      </c>
      <c r="M274" s="66">
        <v>3.2967032967033003E-2</v>
      </c>
      <c r="N274" s="67">
        <v>762.07970530090904</v>
      </c>
      <c r="O274" s="67">
        <v>127.01328421681799</v>
      </c>
      <c r="P274" s="67">
        <v>60.359998986124999</v>
      </c>
      <c r="Q274" s="68">
        <v>7.9204312313095507E-2</v>
      </c>
    </row>
    <row r="275" spans="1:17" x14ac:dyDescent="0.35">
      <c r="A275" s="62" t="s">
        <v>136</v>
      </c>
      <c r="B275" s="63">
        <v>736499</v>
      </c>
      <c r="C275" s="63" t="s">
        <v>140</v>
      </c>
      <c r="D275" s="64">
        <v>42571</v>
      </c>
      <c r="E275" s="63" t="s">
        <v>138</v>
      </c>
      <c r="F275" s="65">
        <v>5299</v>
      </c>
      <c r="G275" s="66">
        <v>9.6482764669765797E-3</v>
      </c>
      <c r="H275" s="65">
        <v>154</v>
      </c>
      <c r="I275" s="67">
        <v>0.362090899050236</v>
      </c>
      <c r="J275" s="67">
        <v>3.4935531002127802</v>
      </c>
      <c r="K275" s="65">
        <v>74</v>
      </c>
      <c r="L275" s="65">
        <v>26</v>
      </c>
      <c r="M275" s="66">
        <v>3.6363636363636397E-2</v>
      </c>
      <c r="N275" s="67">
        <v>896.74993253370405</v>
      </c>
      <c r="O275" s="67">
        <v>112.09374156671301</v>
      </c>
      <c r="P275" s="67">
        <v>79.659997791051893</v>
      </c>
      <c r="Q275" s="68">
        <v>8.8831897166669602E-2</v>
      </c>
    </row>
    <row r="276" spans="1:17" x14ac:dyDescent="0.35">
      <c r="A276" s="62" t="s">
        <v>136</v>
      </c>
      <c r="B276" s="63">
        <v>736499</v>
      </c>
      <c r="C276" s="63" t="s">
        <v>140</v>
      </c>
      <c r="D276" s="64">
        <v>42572</v>
      </c>
      <c r="E276" s="63" t="s">
        <v>138</v>
      </c>
      <c r="F276" s="65">
        <v>64900</v>
      </c>
      <c r="G276" s="66">
        <v>8.8398318042813492E-3</v>
      </c>
      <c r="H276" s="65">
        <v>269</v>
      </c>
      <c r="I276" s="67">
        <v>0.34935134399581602</v>
      </c>
      <c r="J276" s="67">
        <v>3.0882071215226499</v>
      </c>
      <c r="K276" s="65">
        <v>48</v>
      </c>
      <c r="L276" s="65">
        <v>23</v>
      </c>
      <c r="M276" s="66">
        <v>4.86486486486487E-2</v>
      </c>
      <c r="N276" s="67">
        <v>822.37012178795396</v>
      </c>
      <c r="O276" s="67">
        <v>91.374457976439402</v>
      </c>
      <c r="P276" s="67">
        <v>64.629998639226002</v>
      </c>
      <c r="Q276" s="68">
        <v>7.8589915813953401E-2</v>
      </c>
    </row>
    <row r="277" spans="1:17" x14ac:dyDescent="0.35">
      <c r="A277" s="62" t="s">
        <v>136</v>
      </c>
      <c r="B277" s="63">
        <v>736499</v>
      </c>
      <c r="C277" s="63" t="s">
        <v>140</v>
      </c>
      <c r="D277" s="64">
        <v>42573</v>
      </c>
      <c r="E277" s="63" t="s">
        <v>138</v>
      </c>
      <c r="F277" s="65">
        <v>9423</v>
      </c>
      <c r="G277" s="66">
        <v>7.1988687491965596E-3</v>
      </c>
      <c r="H277" s="65">
        <v>190</v>
      </c>
      <c r="I277" s="67">
        <v>0.34410713595293801</v>
      </c>
      <c r="J277" s="67">
        <v>2.4771821073871401</v>
      </c>
      <c r="K277" s="65">
        <v>79</v>
      </c>
      <c r="L277" s="65">
        <v>19</v>
      </c>
      <c r="M277" s="66">
        <v>3.5714285714285698E-2</v>
      </c>
      <c r="N277" s="67">
        <v>623.86549439299597</v>
      </c>
      <c r="O277" s="67">
        <v>103.97758239883299</v>
      </c>
      <c r="P277" s="67">
        <v>57.809998840093598</v>
      </c>
      <c r="Q277" s="68">
        <v>9.2664203036811901E-2</v>
      </c>
    </row>
    <row r="278" spans="1:17" x14ac:dyDescent="0.35">
      <c r="A278" s="62" t="s">
        <v>136</v>
      </c>
      <c r="B278" s="63">
        <v>736499</v>
      </c>
      <c r="C278" s="63" t="s">
        <v>140</v>
      </c>
      <c r="D278" s="64">
        <v>42574</v>
      </c>
      <c r="E278" s="63" t="s">
        <v>138</v>
      </c>
      <c r="F278" s="65">
        <v>51344</v>
      </c>
      <c r="G278" s="66">
        <v>7.9760717846460594E-3</v>
      </c>
      <c r="H278" s="65">
        <v>287</v>
      </c>
      <c r="I278" s="67">
        <v>0.373579540374604</v>
      </c>
      <c r="J278" s="67">
        <v>2.9796972313029202</v>
      </c>
      <c r="K278" s="65">
        <v>36</v>
      </c>
      <c r="L278" s="65">
        <v>21</v>
      </c>
      <c r="M278" s="66">
        <v>3.4090909090909102E-2</v>
      </c>
      <c r="N278" s="67">
        <v>726.596935482258</v>
      </c>
      <c r="O278" s="67">
        <v>121.099489247043</v>
      </c>
      <c r="P278" s="67">
        <v>65.7499991059303</v>
      </c>
      <c r="Q278" s="68">
        <v>9.0490333629456701E-2</v>
      </c>
    </row>
    <row r="279" spans="1:17" x14ac:dyDescent="0.35">
      <c r="A279" s="62" t="s">
        <v>136</v>
      </c>
      <c r="B279" s="63">
        <v>736499</v>
      </c>
      <c r="C279" s="63" t="s">
        <v>140</v>
      </c>
      <c r="D279" s="64">
        <v>42575</v>
      </c>
      <c r="E279" s="63" t="s">
        <v>138</v>
      </c>
      <c r="F279" s="65">
        <v>26446</v>
      </c>
      <c r="G279" s="66">
        <v>7.36621298599932E-3</v>
      </c>
      <c r="H279" s="65">
        <v>295</v>
      </c>
      <c r="I279" s="67">
        <v>0.25966887856950799</v>
      </c>
      <c r="J279" s="67">
        <v>1.91277626537859</v>
      </c>
      <c r="K279" s="65">
        <v>81</v>
      </c>
      <c r="L279" s="65">
        <v>21</v>
      </c>
      <c r="M279" s="66">
        <v>4.6357615894039701E-2</v>
      </c>
      <c r="N279" s="67">
        <v>492.13415029312898</v>
      </c>
      <c r="O279" s="67">
        <v>70.304878613304197</v>
      </c>
      <c r="P279" s="67">
        <v>39.2100006639957</v>
      </c>
      <c r="Q279" s="68">
        <v>7.9673399297002997E-2</v>
      </c>
    </row>
    <row r="280" spans="1:17" x14ac:dyDescent="0.35">
      <c r="A280" s="62" t="s">
        <v>136</v>
      </c>
      <c r="B280" s="63">
        <v>736499</v>
      </c>
      <c r="C280" s="63" t="s">
        <v>140</v>
      </c>
      <c r="D280" s="64">
        <v>42576</v>
      </c>
      <c r="E280" s="63" t="s">
        <v>138</v>
      </c>
      <c r="F280" s="65">
        <v>6248</v>
      </c>
      <c r="G280" s="66">
        <v>8.0148681612266202E-3</v>
      </c>
      <c r="H280" s="65">
        <v>205</v>
      </c>
      <c r="I280" s="67">
        <v>0.278623192422632</v>
      </c>
      <c r="J280" s="67">
        <v>2.2331281539274701</v>
      </c>
      <c r="K280" s="65">
        <v>61</v>
      </c>
      <c r="L280" s="65">
        <v>23</v>
      </c>
      <c r="M280" s="66">
        <v>5.7971014492753603E-2</v>
      </c>
      <c r="N280" s="67">
        <v>639.51074783387196</v>
      </c>
      <c r="O280" s="67">
        <v>79.938843479233995</v>
      </c>
      <c r="P280" s="67">
        <v>38.450000554323204</v>
      </c>
      <c r="Q280" s="68">
        <v>6.0124088116673101E-2</v>
      </c>
    </row>
    <row r="281" spans="1:17" x14ac:dyDescent="0.35">
      <c r="A281" s="62" t="s">
        <v>136</v>
      </c>
      <c r="B281" s="63">
        <v>736499</v>
      </c>
      <c r="C281" s="63" t="s">
        <v>140</v>
      </c>
      <c r="D281" s="64">
        <v>42577</v>
      </c>
      <c r="E281" s="63" t="s">
        <v>138</v>
      </c>
      <c r="F281" s="65">
        <v>2827</v>
      </c>
      <c r="G281" s="66">
        <v>8.3783783783783795E-3</v>
      </c>
      <c r="H281" s="65">
        <v>314</v>
      </c>
      <c r="I281" s="67">
        <v>0.24620968169502699</v>
      </c>
      <c r="J281" s="67">
        <v>2.0628378736610302</v>
      </c>
      <c r="K281" s="65">
        <v>60</v>
      </c>
      <c r="L281" s="65">
        <v>27</v>
      </c>
      <c r="M281" s="66">
        <v>0.104838709677419</v>
      </c>
      <c r="N281" s="67">
        <v>1210.8652337603701</v>
      </c>
      <c r="O281" s="67">
        <v>93.143479520028805</v>
      </c>
      <c r="P281" s="67">
        <v>30.530000530183301</v>
      </c>
      <c r="Q281" s="68">
        <v>2.5213376087586201E-2</v>
      </c>
    </row>
    <row r="282" spans="1:17" x14ac:dyDescent="0.35">
      <c r="A282" s="62" t="s">
        <v>136</v>
      </c>
      <c r="B282" s="63">
        <v>736499</v>
      </c>
      <c r="C282" s="63" t="s">
        <v>140</v>
      </c>
      <c r="D282" s="64">
        <v>42578</v>
      </c>
      <c r="E282" s="63" t="s">
        <v>138</v>
      </c>
      <c r="F282" s="65">
        <v>64823</v>
      </c>
      <c r="G282" s="66">
        <v>1.07441933954811E-2</v>
      </c>
      <c r="H282" s="65">
        <v>441</v>
      </c>
      <c r="I282" s="67">
        <v>0.25735294128603797</v>
      </c>
      <c r="J282" s="67">
        <v>2.7650497720730902</v>
      </c>
      <c r="K282" s="65">
        <v>83</v>
      </c>
      <c r="L282" s="65">
        <v>25</v>
      </c>
      <c r="M282" s="66">
        <v>9.5588235294117599E-2</v>
      </c>
      <c r="N282" s="67">
        <v>1744.1005840329501</v>
      </c>
      <c r="O282" s="67">
        <v>134.16158338714999</v>
      </c>
      <c r="P282" s="67">
        <v>35.000000014901197</v>
      </c>
      <c r="Q282" s="68">
        <v>2.0067649959711199E-2</v>
      </c>
    </row>
    <row r="283" spans="1:17" x14ac:dyDescent="0.35">
      <c r="A283" s="62" t="s">
        <v>136</v>
      </c>
      <c r="B283" s="63">
        <v>736499</v>
      </c>
      <c r="C283" s="63" t="s">
        <v>140</v>
      </c>
      <c r="D283" s="64">
        <v>42579</v>
      </c>
      <c r="E283" s="63" t="s">
        <v>138</v>
      </c>
      <c r="F283" s="65">
        <v>59089</v>
      </c>
      <c r="G283" s="66">
        <v>8.3131557707828898E-3</v>
      </c>
      <c r="H283" s="65">
        <v>498</v>
      </c>
      <c r="I283" s="67">
        <v>0.25378641283627901</v>
      </c>
      <c r="J283" s="67">
        <v>2.1097659824161998</v>
      </c>
      <c r="K283" s="65">
        <v>24</v>
      </c>
      <c r="L283" s="65">
        <v>15</v>
      </c>
      <c r="M283" s="66">
        <v>2.9126213592233E-2</v>
      </c>
      <c r="N283" s="67">
        <v>198.28853101035401</v>
      </c>
      <c r="O283" s="67">
        <v>66.096177003451402</v>
      </c>
      <c r="P283" s="67">
        <v>26.140000522136699</v>
      </c>
      <c r="Q283" s="68">
        <v>0.13182810114606</v>
      </c>
    </row>
    <row r="284" spans="1:17" x14ac:dyDescent="0.35">
      <c r="A284" s="62" t="s">
        <v>136</v>
      </c>
      <c r="B284" s="63">
        <v>736499</v>
      </c>
      <c r="C284" s="63" t="s">
        <v>140</v>
      </c>
      <c r="D284" s="64">
        <v>42580</v>
      </c>
      <c r="E284" s="63" t="s">
        <v>138</v>
      </c>
      <c r="F284" s="65">
        <v>64644</v>
      </c>
      <c r="G284" s="66">
        <v>8.8651127244937008E-3</v>
      </c>
      <c r="H284" s="65">
        <v>151</v>
      </c>
      <c r="I284" s="67">
        <v>0.29439655588618602</v>
      </c>
      <c r="J284" s="67">
        <v>2.6098586536337498</v>
      </c>
      <c r="K284" s="65">
        <v>50</v>
      </c>
      <c r="L284" s="65">
        <v>12</v>
      </c>
      <c r="M284" s="66">
        <v>3.4482758620689703E-2</v>
      </c>
      <c r="N284" s="67">
        <v>449.04484807780398</v>
      </c>
      <c r="O284" s="67">
        <v>112.26121201945099</v>
      </c>
      <c r="P284" s="67">
        <v>34.150000482797601</v>
      </c>
      <c r="Q284" s="68">
        <v>7.6050311297370998E-2</v>
      </c>
    </row>
    <row r="285" spans="1:17" x14ac:dyDescent="0.35">
      <c r="A285" s="62" t="s">
        <v>136</v>
      </c>
      <c r="B285" s="63">
        <v>736499</v>
      </c>
      <c r="C285" s="63" t="s">
        <v>140</v>
      </c>
      <c r="D285" s="64">
        <v>42581</v>
      </c>
      <c r="E285" s="63" t="s">
        <v>138</v>
      </c>
      <c r="F285" s="65">
        <v>45482</v>
      </c>
      <c r="G285" s="66">
        <v>9.8348585252971497E-3</v>
      </c>
      <c r="H285" s="65">
        <v>203</v>
      </c>
      <c r="I285" s="67">
        <v>0.310213904568856</v>
      </c>
      <c r="J285" s="67">
        <v>3.0509098640147299</v>
      </c>
      <c r="K285" s="65">
        <v>75</v>
      </c>
      <c r="L285" s="65">
        <v>24</v>
      </c>
      <c r="M285" s="66">
        <v>5.3475935828876997E-2</v>
      </c>
      <c r="N285" s="67">
        <v>912.35196026783797</v>
      </c>
      <c r="O285" s="67">
        <v>91.235196026783797</v>
      </c>
      <c r="P285" s="67">
        <v>58.010000154376002</v>
      </c>
      <c r="Q285" s="68">
        <v>6.3582918304188302E-2</v>
      </c>
    </row>
    <row r="286" spans="1:17" x14ac:dyDescent="0.35">
      <c r="A286" s="62" t="s">
        <v>136</v>
      </c>
      <c r="B286" s="63">
        <v>736499</v>
      </c>
      <c r="C286" s="63" t="s">
        <v>140</v>
      </c>
      <c r="D286" s="64">
        <v>42582</v>
      </c>
      <c r="E286" s="63" t="s">
        <v>138</v>
      </c>
      <c r="F286" s="65">
        <v>34812</v>
      </c>
      <c r="G286" s="66">
        <v>9.4146761351409508E-3</v>
      </c>
      <c r="H286" s="65">
        <v>199</v>
      </c>
      <c r="I286" s="67">
        <v>0.307371428396021</v>
      </c>
      <c r="J286" s="67">
        <v>2.8938024515441998</v>
      </c>
      <c r="K286" s="65">
        <v>52</v>
      </c>
      <c r="L286" s="65">
        <v>10</v>
      </c>
      <c r="M286" s="66">
        <v>0.04</v>
      </c>
      <c r="N286" s="67">
        <v>427.13286625462098</v>
      </c>
      <c r="O286" s="67">
        <v>61.018980893517202</v>
      </c>
      <c r="P286" s="67">
        <v>53.789999969303601</v>
      </c>
      <c r="Q286" s="68">
        <v>0.125932711385498</v>
      </c>
    </row>
    <row r="287" spans="1:17" x14ac:dyDescent="0.35">
      <c r="A287" s="62" t="s">
        <v>136</v>
      </c>
      <c r="B287" s="63">
        <v>736499</v>
      </c>
      <c r="C287" s="63" t="s">
        <v>140</v>
      </c>
      <c r="D287" s="64">
        <v>42583</v>
      </c>
      <c r="E287" s="63" t="s">
        <v>138</v>
      </c>
      <c r="F287" s="65">
        <v>21604</v>
      </c>
      <c r="G287" s="66">
        <v>9.6056051531246498E-3</v>
      </c>
      <c r="H287" s="65">
        <v>438</v>
      </c>
      <c r="I287" s="67">
        <v>0.31864706172662599</v>
      </c>
      <c r="J287" s="67">
        <v>3.0607978581493098</v>
      </c>
      <c r="K287" s="65">
        <v>77</v>
      </c>
      <c r="L287" s="65">
        <v>18</v>
      </c>
      <c r="M287" s="66">
        <v>4.7058823529411799E-2</v>
      </c>
      <c r="N287" s="67">
        <v>377.73754128424702</v>
      </c>
      <c r="O287" s="67">
        <v>47.217192660530898</v>
      </c>
      <c r="P287" s="67">
        <v>54.170000493526501</v>
      </c>
      <c r="Q287" s="68">
        <v>0.14340645176372199</v>
      </c>
    </row>
    <row r="288" spans="1:17" x14ac:dyDescent="0.35">
      <c r="A288" s="62" t="s">
        <v>136</v>
      </c>
      <c r="B288" s="63">
        <v>736499</v>
      </c>
      <c r="C288" s="63" t="s">
        <v>140</v>
      </c>
      <c r="D288" s="64">
        <v>42584</v>
      </c>
      <c r="E288" s="63" t="s">
        <v>138</v>
      </c>
      <c r="F288" s="65">
        <v>44705</v>
      </c>
      <c r="G288" s="66">
        <v>9.1116173120728908E-3</v>
      </c>
      <c r="H288" s="65">
        <v>391</v>
      </c>
      <c r="I288" s="67">
        <v>0.32648148301436902</v>
      </c>
      <c r="J288" s="67">
        <v>2.9747743327049601</v>
      </c>
      <c r="K288" s="65">
        <v>88</v>
      </c>
      <c r="L288" s="65">
        <v>13</v>
      </c>
      <c r="M288" s="66">
        <v>3.2407407407407399E-2</v>
      </c>
      <c r="N288" s="67">
        <v>577.12537828324696</v>
      </c>
      <c r="O288" s="67">
        <v>82.446482611892506</v>
      </c>
      <c r="P288" s="67">
        <v>70.520000331103802</v>
      </c>
      <c r="Q288" s="68">
        <v>0.122191819983514</v>
      </c>
    </row>
    <row r="289" spans="1:17" x14ac:dyDescent="0.35">
      <c r="A289" s="62" t="s">
        <v>136</v>
      </c>
      <c r="B289" s="63">
        <v>736499</v>
      </c>
      <c r="C289" s="63" t="s">
        <v>140</v>
      </c>
      <c r="D289" s="64">
        <v>42585</v>
      </c>
      <c r="E289" s="63" t="s">
        <v>138</v>
      </c>
      <c r="F289" s="65">
        <v>22423</v>
      </c>
      <c r="G289" s="66">
        <v>9.7002534300445701E-3</v>
      </c>
      <c r="H289" s="65">
        <v>473</v>
      </c>
      <c r="I289" s="67">
        <v>0.30900900945201598</v>
      </c>
      <c r="J289" s="67">
        <v>2.9974657038516002</v>
      </c>
      <c r="K289" s="65">
        <v>79</v>
      </c>
      <c r="L289" s="65">
        <v>19</v>
      </c>
      <c r="M289" s="66">
        <v>3.1531531531531501E-2</v>
      </c>
      <c r="N289" s="67">
        <v>743.74892337915503</v>
      </c>
      <c r="O289" s="67">
        <v>106.24984619702199</v>
      </c>
      <c r="P289" s="67">
        <v>68.600000098347707</v>
      </c>
      <c r="Q289" s="68">
        <v>9.2235427765958805E-2</v>
      </c>
    </row>
    <row r="290" spans="1:17" x14ac:dyDescent="0.35">
      <c r="A290" s="62" t="s">
        <v>136</v>
      </c>
      <c r="B290" s="63">
        <v>736499</v>
      </c>
      <c r="C290" s="63" t="s">
        <v>140</v>
      </c>
      <c r="D290" s="64">
        <v>42586</v>
      </c>
      <c r="E290" s="63" t="s">
        <v>138</v>
      </c>
      <c r="F290" s="65">
        <v>43829</v>
      </c>
      <c r="G290" s="66">
        <v>9.9606433117924303E-3</v>
      </c>
      <c r="H290" s="65">
        <v>487</v>
      </c>
      <c r="I290" s="67">
        <v>0.29551219678506602</v>
      </c>
      <c r="J290" s="67">
        <v>2.9434915864602602</v>
      </c>
      <c r="K290" s="65">
        <v>94</v>
      </c>
      <c r="L290" s="65">
        <v>11</v>
      </c>
      <c r="M290" s="66">
        <v>1.9512195121951199E-2</v>
      </c>
      <c r="N290" s="67">
        <v>191.11053761500199</v>
      </c>
      <c r="O290" s="67">
        <v>47.777634403750397</v>
      </c>
      <c r="P290" s="67">
        <v>60.580000340938597</v>
      </c>
      <c r="Q290" s="68">
        <v>0.31698932511497102</v>
      </c>
    </row>
    <row r="291" spans="1:17" x14ac:dyDescent="0.35">
      <c r="A291" s="62" t="s">
        <v>136</v>
      </c>
      <c r="B291" s="63">
        <v>736499</v>
      </c>
      <c r="C291" s="63" t="s">
        <v>140</v>
      </c>
      <c r="D291" s="64">
        <v>42587</v>
      </c>
      <c r="E291" s="63" t="s">
        <v>138</v>
      </c>
      <c r="F291" s="65">
        <v>52675</v>
      </c>
      <c r="G291" s="66">
        <v>1.1471937875044099E-2</v>
      </c>
      <c r="H291" s="65">
        <v>201</v>
      </c>
      <c r="I291" s="67">
        <v>0.28457692365806803</v>
      </c>
      <c r="J291" s="67">
        <v>3.2646487888765301</v>
      </c>
      <c r="K291" s="65">
        <v>55</v>
      </c>
      <c r="L291" s="65">
        <v>25</v>
      </c>
      <c r="M291" s="66">
        <v>2.69230769230769E-2</v>
      </c>
      <c r="N291" s="67">
        <v>563.97655952139201</v>
      </c>
      <c r="O291" s="67">
        <v>80.568079931627395</v>
      </c>
      <c r="P291" s="67">
        <v>73.990000151097803</v>
      </c>
      <c r="Q291" s="68">
        <v>0.13119339607640401</v>
      </c>
    </row>
    <row r="292" spans="1:17" x14ac:dyDescent="0.35">
      <c r="A292" s="62" t="s">
        <v>136</v>
      </c>
      <c r="B292" s="63">
        <v>736499</v>
      </c>
      <c r="C292" s="63" t="s">
        <v>140</v>
      </c>
      <c r="D292" s="64">
        <v>42588</v>
      </c>
      <c r="E292" s="63" t="s">
        <v>138</v>
      </c>
      <c r="F292" s="65">
        <v>25640</v>
      </c>
      <c r="G292" s="66">
        <v>9.7749488520118208E-3</v>
      </c>
      <c r="H292" s="65">
        <v>154</v>
      </c>
      <c r="I292" s="67">
        <v>0.30694351934416297</v>
      </c>
      <c r="J292" s="67">
        <v>3.0003572020456999</v>
      </c>
      <c r="K292" s="65">
        <v>12</v>
      </c>
      <c r="L292" s="65">
        <v>32</v>
      </c>
      <c r="M292" s="66">
        <v>2.6578073089701001E-2</v>
      </c>
      <c r="N292" s="67">
        <v>438.26521254958999</v>
      </c>
      <c r="O292" s="67">
        <v>54.783151568698798</v>
      </c>
      <c r="P292" s="67">
        <v>92.389999322593198</v>
      </c>
      <c r="Q292" s="68">
        <v>0.210808425302839</v>
      </c>
    </row>
    <row r="293" spans="1:17" x14ac:dyDescent="0.35">
      <c r="A293" s="62" t="s">
        <v>136</v>
      </c>
      <c r="B293" s="63">
        <v>736499</v>
      </c>
      <c r="C293" s="63" t="s">
        <v>140</v>
      </c>
      <c r="D293" s="64">
        <v>42589</v>
      </c>
      <c r="E293" s="63" t="s">
        <v>138</v>
      </c>
      <c r="F293" s="65">
        <v>21472</v>
      </c>
      <c r="G293" s="66">
        <v>9.0466501961924094E-3</v>
      </c>
      <c r="H293" s="65">
        <v>460</v>
      </c>
      <c r="I293" s="67">
        <v>0.27787149060203398</v>
      </c>
      <c r="J293" s="67">
        <v>2.5138061749711702</v>
      </c>
      <c r="K293" s="65">
        <v>46</v>
      </c>
      <c r="L293" s="65">
        <v>20</v>
      </c>
      <c r="M293" s="66">
        <v>4.4176706827309203E-2</v>
      </c>
      <c r="N293" s="67">
        <v>1372.73669386757</v>
      </c>
      <c r="O293" s="67">
        <v>124.794244897052</v>
      </c>
      <c r="P293" s="67">
        <v>69.190001159906402</v>
      </c>
      <c r="Q293" s="68">
        <v>5.0402966183536201E-2</v>
      </c>
    </row>
    <row r="294" spans="1:17" x14ac:dyDescent="0.35">
      <c r="A294" s="62" t="s">
        <v>136</v>
      </c>
      <c r="B294" s="63">
        <v>736499</v>
      </c>
      <c r="C294" s="63" t="s">
        <v>140</v>
      </c>
      <c r="D294" s="64">
        <v>42590</v>
      </c>
      <c r="E294" s="63" t="s">
        <v>138</v>
      </c>
      <c r="F294" s="65">
        <v>18140</v>
      </c>
      <c r="G294" s="66">
        <v>8.1830084375909204E-3</v>
      </c>
      <c r="H294" s="65">
        <v>556</v>
      </c>
      <c r="I294" s="67">
        <v>0.28417778044939002</v>
      </c>
      <c r="J294" s="67">
        <v>2.3254291751932201</v>
      </c>
      <c r="K294" s="65">
        <v>84</v>
      </c>
      <c r="L294" s="65">
        <v>24</v>
      </c>
      <c r="M294" s="66">
        <v>0.04</v>
      </c>
      <c r="N294" s="67">
        <v>620.882912820157</v>
      </c>
      <c r="O294" s="67">
        <v>68.986990313350802</v>
      </c>
      <c r="P294" s="67">
        <v>63.9400006011128</v>
      </c>
      <c r="Q294" s="68">
        <v>0.1029823808658</v>
      </c>
    </row>
    <row r="295" spans="1:17" x14ac:dyDescent="0.35">
      <c r="A295" s="62" t="s">
        <v>136</v>
      </c>
      <c r="B295" s="63">
        <v>736499</v>
      </c>
      <c r="C295" s="63" t="s">
        <v>140</v>
      </c>
      <c r="D295" s="64">
        <v>42591</v>
      </c>
      <c r="E295" s="63" t="s">
        <v>138</v>
      </c>
      <c r="F295" s="65">
        <v>30929</v>
      </c>
      <c r="G295" s="66">
        <v>7.8752748350989395E-3</v>
      </c>
      <c r="H295" s="65">
        <v>185</v>
      </c>
      <c r="I295" s="67">
        <v>0.28157361127852198</v>
      </c>
      <c r="J295" s="67">
        <v>2.21746957512967</v>
      </c>
      <c r="K295" s="65">
        <v>68</v>
      </c>
      <c r="L295" s="65">
        <v>17</v>
      </c>
      <c r="M295" s="66">
        <v>2.5380710659898501E-2</v>
      </c>
      <c r="N295" s="67">
        <v>284.96293286492801</v>
      </c>
      <c r="O295" s="67">
        <v>56.992586572985502</v>
      </c>
      <c r="P295" s="67">
        <v>55.470001421868801</v>
      </c>
      <c r="Q295" s="68">
        <v>0.19465690103688499</v>
      </c>
    </row>
    <row r="296" spans="1:17" x14ac:dyDescent="0.35">
      <c r="A296" s="62" t="s">
        <v>136</v>
      </c>
      <c r="B296" s="63">
        <v>736499</v>
      </c>
      <c r="C296" s="63" t="s">
        <v>140</v>
      </c>
      <c r="D296" s="64">
        <v>42592</v>
      </c>
      <c r="E296" s="63" t="s">
        <v>138</v>
      </c>
      <c r="F296" s="65">
        <v>24682</v>
      </c>
      <c r="G296" s="66">
        <v>7.7937955274820399E-3</v>
      </c>
      <c r="H296" s="65">
        <v>556</v>
      </c>
      <c r="I296" s="67">
        <v>0.27843137820756497</v>
      </c>
      <c r="J296" s="67">
        <v>2.1700372301847799</v>
      </c>
      <c r="K296" s="65">
        <v>15</v>
      </c>
      <c r="L296" s="65">
        <v>16</v>
      </c>
      <c r="M296" s="66">
        <v>3.9215686274509803E-2</v>
      </c>
      <c r="N296" s="67">
        <v>1015.0888340702199</v>
      </c>
      <c r="O296" s="67">
        <v>169.18147234503601</v>
      </c>
      <c r="P296" s="67">
        <v>42.600000865757501</v>
      </c>
      <c r="Q296" s="68">
        <v>4.1966771218380501E-2</v>
      </c>
    </row>
    <row r="297" spans="1:17" x14ac:dyDescent="0.35">
      <c r="A297" s="62" t="s">
        <v>136</v>
      </c>
      <c r="B297" s="63">
        <v>736499</v>
      </c>
      <c r="C297" s="63" t="s">
        <v>140</v>
      </c>
      <c r="D297" s="64">
        <v>42593</v>
      </c>
      <c r="E297" s="63" t="s">
        <v>138</v>
      </c>
      <c r="F297" s="65">
        <v>18189</v>
      </c>
      <c r="G297" s="66">
        <v>8.9109584382014804E-3</v>
      </c>
      <c r="H297" s="65">
        <v>273</v>
      </c>
      <c r="I297" s="67">
        <v>0.29496183297561301</v>
      </c>
      <c r="J297" s="67">
        <v>2.6283926345014201</v>
      </c>
      <c r="K297" s="65">
        <v>61</v>
      </c>
      <c r="L297" s="65">
        <v>16</v>
      </c>
      <c r="M297" s="66">
        <v>9.9236641221374003E-2</v>
      </c>
      <c r="N297" s="67">
        <v>1569.3222824757099</v>
      </c>
      <c r="O297" s="67">
        <v>120.71709865197801</v>
      </c>
      <c r="P297" s="67">
        <v>38.6400001198053</v>
      </c>
      <c r="Q297" s="68">
        <v>2.4622093594980399E-2</v>
      </c>
    </row>
    <row r="298" spans="1:17" x14ac:dyDescent="0.35">
      <c r="A298" s="62" t="s">
        <v>136</v>
      </c>
      <c r="B298" s="63">
        <v>736499</v>
      </c>
      <c r="C298" s="63" t="s">
        <v>140</v>
      </c>
      <c r="D298" s="64">
        <v>42594</v>
      </c>
      <c r="E298" s="63" t="s">
        <v>138</v>
      </c>
      <c r="F298" s="65">
        <v>8752</v>
      </c>
      <c r="G298" s="66">
        <v>6.7661451096477998E-3</v>
      </c>
      <c r="H298" s="65">
        <v>504</v>
      </c>
      <c r="I298" s="67">
        <v>0.28616071811744098</v>
      </c>
      <c r="J298" s="67">
        <v>1.9362049434636299</v>
      </c>
      <c r="K298" s="65">
        <v>65</v>
      </c>
      <c r="L298" s="65">
        <v>21</v>
      </c>
      <c r="M298" s="66">
        <v>0.107142857142857</v>
      </c>
      <c r="N298" s="67">
        <v>624.54200855800502</v>
      </c>
      <c r="O298" s="67">
        <v>52.0451673798337</v>
      </c>
      <c r="P298" s="67">
        <v>32.0500004291534</v>
      </c>
      <c r="Q298" s="68">
        <v>5.1317605525292298E-2</v>
      </c>
    </row>
    <row r="299" spans="1:17" x14ac:dyDescent="0.35">
      <c r="A299" s="62" t="s">
        <v>136</v>
      </c>
      <c r="B299" s="63">
        <v>736499</v>
      </c>
      <c r="C299" s="63" t="s">
        <v>140</v>
      </c>
      <c r="D299" s="64">
        <v>42595</v>
      </c>
      <c r="E299" s="63" t="s">
        <v>138</v>
      </c>
      <c r="F299" s="65">
        <v>22203</v>
      </c>
      <c r="G299" s="66">
        <v>7.8431372549019607E-3</v>
      </c>
      <c r="H299" s="65">
        <v>534</v>
      </c>
      <c r="I299" s="67">
        <v>0.29618420844015297</v>
      </c>
      <c r="J299" s="67">
        <v>2.3230133995306099</v>
      </c>
      <c r="K299" s="65">
        <v>78</v>
      </c>
      <c r="L299" s="65">
        <v>15</v>
      </c>
      <c r="M299" s="66">
        <v>4.6052631578947401E-2</v>
      </c>
      <c r="N299" s="67">
        <v>653.00052752678198</v>
      </c>
      <c r="O299" s="67">
        <v>93.285789646683099</v>
      </c>
      <c r="P299" s="67">
        <v>45.019999682903297</v>
      </c>
      <c r="Q299" s="68">
        <v>6.8943282256470895E-2</v>
      </c>
    </row>
    <row r="300" spans="1:17" x14ac:dyDescent="0.35">
      <c r="A300" s="62" t="s">
        <v>136</v>
      </c>
      <c r="B300" s="63">
        <v>736499</v>
      </c>
      <c r="C300" s="63" t="s">
        <v>140</v>
      </c>
      <c r="D300" s="64">
        <v>42596</v>
      </c>
      <c r="E300" s="63" t="s">
        <v>138</v>
      </c>
      <c r="F300" s="65">
        <v>62723</v>
      </c>
      <c r="G300" s="66">
        <v>8.6731245776075702E-3</v>
      </c>
      <c r="H300" s="65">
        <v>388</v>
      </c>
      <c r="I300" s="67">
        <v>0.31577922331241798</v>
      </c>
      <c r="J300" s="67">
        <v>2.7387925428087598</v>
      </c>
      <c r="K300" s="65">
        <v>54</v>
      </c>
      <c r="L300" s="65">
        <v>16</v>
      </c>
      <c r="M300" s="66">
        <v>7.7922077922077906E-2</v>
      </c>
      <c r="N300" s="67">
        <v>841.99861979398202</v>
      </c>
      <c r="O300" s="67">
        <v>70.166551649498501</v>
      </c>
      <c r="P300" s="67">
        <v>48.6300003901124</v>
      </c>
      <c r="Q300" s="68">
        <v>5.7755439554058902E-2</v>
      </c>
    </row>
    <row r="301" spans="1:17" x14ac:dyDescent="0.35">
      <c r="A301" s="62" t="s">
        <v>136</v>
      </c>
      <c r="B301" s="63">
        <v>736499</v>
      </c>
      <c r="C301" s="63" t="s">
        <v>140</v>
      </c>
      <c r="D301" s="64">
        <v>42597</v>
      </c>
      <c r="E301" s="63" t="s">
        <v>138</v>
      </c>
      <c r="F301" s="65">
        <v>55351</v>
      </c>
      <c r="G301" s="66">
        <v>8.2243196997295407E-3</v>
      </c>
      <c r="H301" s="65">
        <v>318</v>
      </c>
      <c r="I301" s="67">
        <v>0.29429530242345497</v>
      </c>
      <c r="J301" s="67">
        <v>2.4203786532590801</v>
      </c>
      <c r="K301" s="65">
        <v>19</v>
      </c>
      <c r="L301" s="65">
        <v>14</v>
      </c>
      <c r="M301" s="66">
        <v>3.35570469798658E-2</v>
      </c>
      <c r="N301" s="67">
        <v>488.618734602806</v>
      </c>
      <c r="O301" s="67">
        <v>97.723746920561098</v>
      </c>
      <c r="P301" s="67">
        <v>43.850000061094804</v>
      </c>
      <c r="Q301" s="68">
        <v>8.9742772750496497E-2</v>
      </c>
    </row>
    <row r="302" spans="1:17" x14ac:dyDescent="0.35">
      <c r="A302" s="62" t="s">
        <v>136</v>
      </c>
      <c r="B302" s="63">
        <v>736499</v>
      </c>
      <c r="C302" s="63" t="s">
        <v>140</v>
      </c>
      <c r="D302" s="64">
        <v>42598</v>
      </c>
      <c r="E302" s="63" t="s">
        <v>138</v>
      </c>
      <c r="F302" s="65">
        <v>41991</v>
      </c>
      <c r="G302" s="66">
        <v>7.9326336343666093E-3</v>
      </c>
      <c r="H302" s="65">
        <v>571</v>
      </c>
      <c r="I302" s="67">
        <v>0.32546153865181499</v>
      </c>
      <c r="J302" s="67">
        <v>2.5817671482020899</v>
      </c>
      <c r="K302" s="65">
        <v>10</v>
      </c>
      <c r="L302" s="65">
        <v>20</v>
      </c>
      <c r="M302" s="66">
        <v>9.2307692307692299E-2</v>
      </c>
      <c r="N302" s="67">
        <v>809.88101331010603</v>
      </c>
      <c r="O302" s="67">
        <v>67.490084442508802</v>
      </c>
      <c r="P302" s="67">
        <v>42.310000024735899</v>
      </c>
      <c r="Q302" s="68">
        <v>5.2242242168153298E-2</v>
      </c>
    </row>
    <row r="303" spans="1:17" x14ac:dyDescent="0.35">
      <c r="A303" s="62" t="s">
        <v>136</v>
      </c>
      <c r="B303" s="63">
        <v>736499</v>
      </c>
      <c r="C303" s="63" t="s">
        <v>140</v>
      </c>
      <c r="D303" s="64">
        <v>42599</v>
      </c>
      <c r="E303" s="63" t="s">
        <v>138</v>
      </c>
      <c r="F303" s="65">
        <v>67385</v>
      </c>
      <c r="G303" s="66">
        <v>7.4911122397155897E-3</v>
      </c>
      <c r="H303" s="65">
        <v>240</v>
      </c>
      <c r="I303" s="67">
        <v>0.309999995186167</v>
      </c>
      <c r="J303" s="67">
        <v>2.3222447582508701</v>
      </c>
      <c r="K303" s="65">
        <v>16</v>
      </c>
      <c r="L303" s="65">
        <v>11</v>
      </c>
      <c r="M303" s="66">
        <v>3.3898305084745797E-2</v>
      </c>
      <c r="N303" s="67">
        <v>406.57872556715</v>
      </c>
      <c r="O303" s="67">
        <v>101.644681391788</v>
      </c>
      <c r="P303" s="67">
        <v>36.5799994319677</v>
      </c>
      <c r="Q303" s="68">
        <v>8.9970274221655502E-2</v>
      </c>
    </row>
    <row r="304" spans="1:17" x14ac:dyDescent="0.35">
      <c r="A304" s="62" t="s">
        <v>136</v>
      </c>
      <c r="B304" s="63">
        <v>736499</v>
      </c>
      <c r="C304" s="63" t="s">
        <v>140</v>
      </c>
      <c r="D304" s="64">
        <v>42600</v>
      </c>
      <c r="E304" s="63" t="s">
        <v>138</v>
      </c>
      <c r="F304" s="65">
        <v>20904</v>
      </c>
      <c r="G304" s="66">
        <v>9.8817567567567599E-3</v>
      </c>
      <c r="H304" s="65">
        <v>223</v>
      </c>
      <c r="I304" s="67">
        <v>0.32290597998688397</v>
      </c>
      <c r="J304" s="67">
        <v>3.1908783495325501</v>
      </c>
      <c r="K304" s="65">
        <v>8</v>
      </c>
      <c r="L304" s="65">
        <v>6</v>
      </c>
      <c r="M304" s="66">
        <v>3.4188034188034198E-2</v>
      </c>
      <c r="N304" s="67">
        <v>642.26591580899606</v>
      </c>
      <c r="O304" s="67">
        <v>160.56647895224901</v>
      </c>
      <c r="P304" s="67">
        <v>37.7799996584654</v>
      </c>
      <c r="Q304" s="68">
        <v>5.8822987065844601E-2</v>
      </c>
    </row>
    <row r="305" spans="1:17" x14ac:dyDescent="0.35">
      <c r="A305" s="62" t="s">
        <v>136</v>
      </c>
      <c r="B305" s="63">
        <v>736499</v>
      </c>
      <c r="C305" s="63" t="s">
        <v>140</v>
      </c>
      <c r="D305" s="64">
        <v>42601</v>
      </c>
      <c r="E305" s="63" t="s">
        <v>138</v>
      </c>
      <c r="F305" s="65">
        <v>36498</v>
      </c>
      <c r="G305" s="66">
        <v>1.0519627223947999E-2</v>
      </c>
      <c r="H305" s="65">
        <v>267</v>
      </c>
      <c r="I305" s="67">
        <v>0.327114092423612</v>
      </c>
      <c r="J305" s="67">
        <v>3.4411183119964801</v>
      </c>
      <c r="K305" s="65">
        <v>80</v>
      </c>
      <c r="L305" s="65">
        <v>16</v>
      </c>
      <c r="M305" s="66">
        <v>3.35570469798658E-2</v>
      </c>
      <c r="N305" s="67">
        <v>314.36454100657301</v>
      </c>
      <c r="O305" s="67">
        <v>62.872908201314701</v>
      </c>
      <c r="P305" s="67">
        <v>48.7399997711182</v>
      </c>
      <c r="Q305" s="68">
        <v>0.15504293078047601</v>
      </c>
    </row>
    <row r="306" spans="1:17" x14ac:dyDescent="0.35">
      <c r="A306" s="62" t="s">
        <v>136</v>
      </c>
      <c r="B306" s="63">
        <v>736499</v>
      </c>
      <c r="C306" s="63" t="s">
        <v>140</v>
      </c>
      <c r="D306" s="64">
        <v>42602</v>
      </c>
      <c r="E306" s="63" t="s">
        <v>138</v>
      </c>
      <c r="F306" s="65">
        <v>3675</v>
      </c>
      <c r="G306" s="66">
        <v>8.3437630371297495E-3</v>
      </c>
      <c r="H306" s="65">
        <v>549</v>
      </c>
      <c r="I306" s="67">
        <v>0.33228571383016398</v>
      </c>
      <c r="J306" s="67">
        <v>2.7725132568223998</v>
      </c>
      <c r="K306" s="65">
        <v>59</v>
      </c>
      <c r="L306" s="65">
        <v>15</v>
      </c>
      <c r="M306" s="66">
        <v>2.8571428571428598E-2</v>
      </c>
      <c r="N306" s="67">
        <v>495.12847042593597</v>
      </c>
      <c r="O306" s="67">
        <v>123.78211760648399</v>
      </c>
      <c r="P306" s="67">
        <v>46.519999936223002</v>
      </c>
      <c r="Q306" s="68">
        <v>9.39554130187749E-2</v>
      </c>
    </row>
    <row r="307" spans="1:17" x14ac:dyDescent="0.35">
      <c r="A307" s="62" t="s">
        <v>136</v>
      </c>
      <c r="B307" s="63">
        <v>736499</v>
      </c>
      <c r="C307" s="63" t="s">
        <v>140</v>
      </c>
      <c r="D307" s="64">
        <v>42603</v>
      </c>
      <c r="E307" s="63" t="s">
        <v>138</v>
      </c>
      <c r="F307" s="65">
        <v>66379</v>
      </c>
      <c r="G307" s="66">
        <v>7.7305009113192097E-3</v>
      </c>
      <c r="H307" s="65">
        <v>489</v>
      </c>
      <c r="I307" s="67">
        <v>0.31796748275921599</v>
      </c>
      <c r="J307" s="67">
        <v>2.4580479152399999</v>
      </c>
      <c r="K307" s="65">
        <v>87</v>
      </c>
      <c r="L307" s="65">
        <v>15</v>
      </c>
      <c r="M307" s="66">
        <v>4.8780487804878099E-2</v>
      </c>
      <c r="N307" s="67">
        <v>664.76979118356405</v>
      </c>
      <c r="O307" s="67">
        <v>110.79496519726101</v>
      </c>
      <c r="P307" s="67">
        <v>39.1100003793836</v>
      </c>
      <c r="Q307" s="68">
        <v>5.8832397166772098E-2</v>
      </c>
    </row>
    <row r="308" spans="1:17" x14ac:dyDescent="0.35">
      <c r="A308" s="62" t="s">
        <v>136</v>
      </c>
      <c r="B308" s="63">
        <v>736499</v>
      </c>
      <c r="C308" s="63" t="s">
        <v>140</v>
      </c>
      <c r="D308" s="64">
        <v>42604</v>
      </c>
      <c r="E308" s="63" t="s">
        <v>138</v>
      </c>
      <c r="F308" s="65">
        <v>7988</v>
      </c>
      <c r="G308" s="66">
        <v>9.5218523085354202E-3</v>
      </c>
      <c r="H308" s="65">
        <v>195</v>
      </c>
      <c r="I308" s="67">
        <v>0.35705035024409698</v>
      </c>
      <c r="J308" s="67">
        <v>3.3997807017351298</v>
      </c>
      <c r="K308" s="65">
        <v>64</v>
      </c>
      <c r="L308" s="65">
        <v>19</v>
      </c>
      <c r="M308" s="66">
        <v>5.7553956834532398E-2</v>
      </c>
      <c r="N308" s="67">
        <v>762.80391263558897</v>
      </c>
      <c r="O308" s="67">
        <v>95.350489079448593</v>
      </c>
      <c r="P308" s="67">
        <v>49.629998683929401</v>
      </c>
      <c r="Q308" s="68">
        <v>6.5062590610542606E-2</v>
      </c>
    </row>
    <row r="309" spans="1:17" x14ac:dyDescent="0.35">
      <c r="A309" s="62" t="s">
        <v>136</v>
      </c>
      <c r="B309" s="63">
        <v>736499</v>
      </c>
      <c r="C309" s="63" t="s">
        <v>140</v>
      </c>
      <c r="D309" s="64">
        <v>42605</v>
      </c>
      <c r="E309" s="63" t="s">
        <v>138</v>
      </c>
      <c r="F309" s="65">
        <v>60391</v>
      </c>
      <c r="G309" s="66">
        <v>7.9053843759726104E-3</v>
      </c>
      <c r="H309" s="65">
        <v>557</v>
      </c>
      <c r="I309" s="67">
        <v>0.33307085403307202</v>
      </c>
      <c r="J309" s="67">
        <v>2.6330531255649001</v>
      </c>
      <c r="K309" s="65">
        <v>85</v>
      </c>
      <c r="L309" s="65">
        <v>17</v>
      </c>
      <c r="M309" s="66">
        <v>5.5118110236220499E-2</v>
      </c>
      <c r="N309" s="67">
        <v>710.682876357993</v>
      </c>
      <c r="O309" s="67">
        <v>101.52612519399899</v>
      </c>
      <c r="P309" s="67">
        <v>42.2999984622002</v>
      </c>
      <c r="Q309" s="68">
        <v>5.9520216216511698E-2</v>
      </c>
    </row>
    <row r="310" spans="1:17" x14ac:dyDescent="0.35">
      <c r="A310" s="62" t="s">
        <v>136</v>
      </c>
      <c r="B310" s="63">
        <v>736499</v>
      </c>
      <c r="C310" s="63" t="s">
        <v>140</v>
      </c>
      <c r="D310" s="64">
        <v>42606</v>
      </c>
      <c r="E310" s="63" t="s">
        <v>138</v>
      </c>
      <c r="F310" s="65">
        <v>2219</v>
      </c>
      <c r="G310" s="66">
        <v>9.54829232464194E-3</v>
      </c>
      <c r="H310" s="65">
        <v>415</v>
      </c>
      <c r="I310" s="67">
        <v>0.35523075438462798</v>
      </c>
      <c r="J310" s="67">
        <v>3.3918470855675098</v>
      </c>
      <c r="K310" s="65">
        <v>58</v>
      </c>
      <c r="L310" s="65">
        <v>20</v>
      </c>
      <c r="M310" s="66">
        <v>3.8461538461538498E-2</v>
      </c>
      <c r="N310" s="67">
        <v>453.74203106517899</v>
      </c>
      <c r="O310" s="67">
        <v>90.748406213035807</v>
      </c>
      <c r="P310" s="67">
        <v>46.179998070001602</v>
      </c>
      <c r="Q310" s="68">
        <v>0.101775887857671</v>
      </c>
    </row>
    <row r="311" spans="1:17" x14ac:dyDescent="0.35">
      <c r="A311" s="62" t="s">
        <v>136</v>
      </c>
      <c r="B311" s="63">
        <v>736499</v>
      </c>
      <c r="C311" s="63" t="s">
        <v>140</v>
      </c>
      <c r="D311" s="64">
        <v>42607</v>
      </c>
      <c r="E311" s="63" t="s">
        <v>138</v>
      </c>
      <c r="F311" s="65">
        <v>46484</v>
      </c>
      <c r="G311" s="66">
        <v>8.29875518672199E-3</v>
      </c>
      <c r="H311" s="65">
        <v>532</v>
      </c>
      <c r="I311" s="67">
        <v>0.35614582073564299</v>
      </c>
      <c r="J311" s="67">
        <v>2.9555669770592798</v>
      </c>
      <c r="K311" s="65">
        <v>45</v>
      </c>
      <c r="L311" s="65">
        <v>6</v>
      </c>
      <c r="M311" s="66">
        <v>3.125E-2</v>
      </c>
      <c r="N311" s="67">
        <v>228.14278521194899</v>
      </c>
      <c r="O311" s="67">
        <v>76.047595070649606</v>
      </c>
      <c r="P311" s="67">
        <v>34.1899987906218</v>
      </c>
      <c r="Q311" s="68">
        <v>0.149862283652137</v>
      </c>
    </row>
    <row r="312" spans="1:17" x14ac:dyDescent="0.35">
      <c r="A312" s="62" t="s">
        <v>136</v>
      </c>
      <c r="B312" s="63">
        <v>736499</v>
      </c>
      <c r="C312" s="63" t="s">
        <v>140</v>
      </c>
      <c r="D312" s="64">
        <v>42608</v>
      </c>
      <c r="E312" s="63" t="s">
        <v>138</v>
      </c>
      <c r="F312" s="65">
        <v>52986</v>
      </c>
      <c r="G312" s="66">
        <v>9.2305178892337896E-3</v>
      </c>
      <c r="H312" s="65">
        <v>450</v>
      </c>
      <c r="I312" s="67">
        <v>0.355486714338834</v>
      </c>
      <c r="J312" s="67">
        <v>3.28132647608955</v>
      </c>
      <c r="K312" s="65">
        <v>38</v>
      </c>
      <c r="L312" s="65">
        <v>19</v>
      </c>
      <c r="M312" s="66">
        <v>5.3097345132743397E-2</v>
      </c>
      <c r="N312" s="67">
        <v>625.23712185173702</v>
      </c>
      <c r="O312" s="67">
        <v>104.20618697529</v>
      </c>
      <c r="P312" s="67">
        <v>40.169998720288298</v>
      </c>
      <c r="Q312" s="68">
        <v>6.4247622728027698E-2</v>
      </c>
    </row>
    <row r="313" spans="1:17" x14ac:dyDescent="0.35">
      <c r="A313" s="62" t="s">
        <v>136</v>
      </c>
      <c r="B313" s="63">
        <v>736499</v>
      </c>
      <c r="C313" s="63" t="s">
        <v>140</v>
      </c>
      <c r="D313" s="64">
        <v>42609</v>
      </c>
      <c r="E313" s="63" t="s">
        <v>138</v>
      </c>
      <c r="F313" s="65">
        <v>31179</v>
      </c>
      <c r="G313" s="66">
        <v>1.05038052707717E-2</v>
      </c>
      <c r="H313" s="65">
        <v>234</v>
      </c>
      <c r="I313" s="67">
        <v>0.35275448546438198</v>
      </c>
      <c r="J313" s="67">
        <v>3.7052644237091501</v>
      </c>
      <c r="K313" s="65">
        <v>81</v>
      </c>
      <c r="L313" s="65">
        <v>15</v>
      </c>
      <c r="M313" s="66">
        <v>2.39520958083832E-2</v>
      </c>
      <c r="N313" s="67">
        <v>336.60975997459099</v>
      </c>
      <c r="O313" s="67">
        <v>84.152439993647704</v>
      </c>
      <c r="P313" s="67">
        <v>58.909999072551699</v>
      </c>
      <c r="Q313" s="68">
        <v>0.17500977712885901</v>
      </c>
    </row>
    <row r="314" spans="1:17" x14ac:dyDescent="0.35">
      <c r="A314" s="62" t="s">
        <v>136</v>
      </c>
      <c r="B314" s="63">
        <v>736499</v>
      </c>
      <c r="C314" s="63" t="s">
        <v>140</v>
      </c>
      <c r="D314" s="64">
        <v>42610</v>
      </c>
      <c r="E314" s="63" t="s">
        <v>138</v>
      </c>
      <c r="F314" s="65">
        <v>13140</v>
      </c>
      <c r="G314" s="66">
        <v>7.1628961976959397E-3</v>
      </c>
      <c r="H314" s="65">
        <v>169</v>
      </c>
      <c r="I314" s="67">
        <v>0.38283332747717702</v>
      </c>
      <c r="J314" s="67">
        <v>2.7421953857375501</v>
      </c>
      <c r="K314" s="65">
        <v>38</v>
      </c>
      <c r="L314" s="65">
        <v>8</v>
      </c>
      <c r="M314" s="66">
        <v>4.1666666666666699E-2</v>
      </c>
      <c r="N314" s="67">
        <v>385.92860706511601</v>
      </c>
      <c r="O314" s="67">
        <v>77.185721413023103</v>
      </c>
      <c r="P314" s="67">
        <v>45.939999297261203</v>
      </c>
      <c r="Q314" s="68">
        <v>0.11903755890661399</v>
      </c>
    </row>
    <row r="315" spans="1:17" x14ac:dyDescent="0.35">
      <c r="A315" s="62" t="s">
        <v>136</v>
      </c>
      <c r="B315" s="63">
        <v>736499</v>
      </c>
      <c r="C315" s="63" t="s">
        <v>140</v>
      </c>
      <c r="D315" s="64">
        <v>42611</v>
      </c>
      <c r="E315" s="63" t="s">
        <v>138</v>
      </c>
      <c r="F315" s="65">
        <v>68650</v>
      </c>
      <c r="G315" s="66">
        <v>9.4127975029262602E-3</v>
      </c>
      <c r="H315" s="65">
        <v>336</v>
      </c>
      <c r="I315" s="67">
        <v>0.37196890531117399</v>
      </c>
      <c r="J315" s="67">
        <v>3.5012679830792401</v>
      </c>
      <c r="K315" s="65">
        <v>32</v>
      </c>
      <c r="L315" s="65">
        <v>11</v>
      </c>
      <c r="M315" s="66">
        <v>1.55440414507772E-2</v>
      </c>
      <c r="N315" s="67">
        <v>225.51301553919899</v>
      </c>
      <c r="O315" s="67">
        <v>75.1710051797331</v>
      </c>
      <c r="P315" s="67">
        <v>71.789998725056606</v>
      </c>
      <c r="Q315" s="68">
        <v>0.31834082194062102</v>
      </c>
    </row>
    <row r="316" spans="1:17" x14ac:dyDescent="0.35">
      <c r="A316" s="62" t="s">
        <v>136</v>
      </c>
      <c r="B316" s="63">
        <v>736499</v>
      </c>
      <c r="C316" s="63" t="s">
        <v>140</v>
      </c>
      <c r="D316" s="64">
        <v>42612</v>
      </c>
      <c r="E316" s="63" t="s">
        <v>138</v>
      </c>
      <c r="F316" s="65">
        <v>66100</v>
      </c>
      <c r="G316" s="66">
        <v>9.5971371251965497E-3</v>
      </c>
      <c r="H316" s="65">
        <v>384</v>
      </c>
      <c r="I316" s="67">
        <v>0.37864406028036302</v>
      </c>
      <c r="J316" s="67">
        <v>3.6338989681518399</v>
      </c>
      <c r="K316" s="65">
        <v>53</v>
      </c>
      <c r="L316" s="65">
        <v>13</v>
      </c>
      <c r="M316" s="66">
        <v>3.9548022598870101E-2</v>
      </c>
      <c r="N316" s="67">
        <v>652.61252976055903</v>
      </c>
      <c r="O316" s="67">
        <v>93.230361394365602</v>
      </c>
      <c r="P316" s="67">
        <v>67.0199986696243</v>
      </c>
      <c r="Q316" s="68">
        <v>0.102694930932775</v>
      </c>
    </row>
    <row r="317" spans="1:17" x14ac:dyDescent="0.35">
      <c r="A317" s="62" t="s">
        <v>136</v>
      </c>
      <c r="B317" s="63">
        <v>736499</v>
      </c>
      <c r="C317" s="63" t="s">
        <v>140</v>
      </c>
      <c r="D317" s="64">
        <v>42613</v>
      </c>
      <c r="E317" s="63" t="s">
        <v>138</v>
      </c>
      <c r="F317" s="65">
        <v>36821</v>
      </c>
      <c r="G317" s="66">
        <v>1.0800172802764799E-2</v>
      </c>
      <c r="H317" s="65">
        <v>188</v>
      </c>
      <c r="I317" s="67">
        <v>0.37315554347303198</v>
      </c>
      <c r="J317" s="67">
        <v>4.0301443518183699</v>
      </c>
      <c r="K317" s="65">
        <v>39</v>
      </c>
      <c r="L317" s="65">
        <v>11</v>
      </c>
      <c r="M317" s="66">
        <v>8.8888888888888906E-3</v>
      </c>
      <c r="N317" s="67">
        <v>128.25487152957399</v>
      </c>
      <c r="O317" s="67">
        <v>64.127435764786995</v>
      </c>
      <c r="P317" s="67">
        <v>83.959997281432194</v>
      </c>
      <c r="Q317" s="68">
        <v>0.65463398216474</v>
      </c>
    </row>
    <row r="318" spans="1:17" x14ac:dyDescent="0.35">
      <c r="A318" s="62" t="s">
        <v>136</v>
      </c>
      <c r="B318" s="63">
        <v>736499</v>
      </c>
      <c r="C318" s="63" t="s">
        <v>140</v>
      </c>
      <c r="D318" s="64">
        <v>42614</v>
      </c>
      <c r="E318" s="63" t="s">
        <v>138</v>
      </c>
      <c r="F318" s="65">
        <v>14721</v>
      </c>
      <c r="G318" s="66">
        <v>9.3347744915004398E-3</v>
      </c>
      <c r="H318" s="65">
        <v>387</v>
      </c>
      <c r="I318" s="67">
        <v>0.35631578258777902</v>
      </c>
      <c r="J318" s="67">
        <v>3.3261274782194201</v>
      </c>
      <c r="K318" s="65">
        <v>69</v>
      </c>
      <c r="L318" s="65">
        <v>21</v>
      </c>
      <c r="M318" s="66">
        <v>7.3684210526315796E-2</v>
      </c>
      <c r="N318" s="67">
        <v>912.822989499046</v>
      </c>
      <c r="O318" s="67">
        <v>65.201642107074704</v>
      </c>
      <c r="P318" s="67">
        <v>67.699998691678005</v>
      </c>
      <c r="Q318" s="68">
        <v>7.4165527676764098E-2</v>
      </c>
    </row>
    <row r="319" spans="1:17" x14ac:dyDescent="0.35">
      <c r="A319" s="62" t="s">
        <v>136</v>
      </c>
      <c r="B319" s="63">
        <v>736499</v>
      </c>
      <c r="C319" s="63" t="s">
        <v>140</v>
      </c>
      <c r="D319" s="64">
        <v>42615</v>
      </c>
      <c r="E319" s="63" t="s">
        <v>138</v>
      </c>
      <c r="F319" s="65">
        <v>29167</v>
      </c>
      <c r="G319" s="66">
        <v>8.8095318459513305E-3</v>
      </c>
      <c r="H319" s="65">
        <v>317</v>
      </c>
      <c r="I319" s="67">
        <v>0.36578542844774198</v>
      </c>
      <c r="J319" s="67">
        <v>3.22239838069533</v>
      </c>
      <c r="K319" s="65">
        <v>16</v>
      </c>
      <c r="L319" s="65">
        <v>31</v>
      </c>
      <c r="M319" s="66">
        <v>3.4482758620689703E-2</v>
      </c>
      <c r="N319" s="67">
        <v>620.64556630160905</v>
      </c>
      <c r="O319" s="67">
        <v>68.960618477956601</v>
      </c>
      <c r="P319" s="67">
        <v>95.469996824860601</v>
      </c>
      <c r="Q319" s="68">
        <v>0.15382369907797899</v>
      </c>
    </row>
    <row r="320" spans="1:17" x14ac:dyDescent="0.35">
      <c r="A320" s="62" t="s">
        <v>136</v>
      </c>
      <c r="B320" s="63">
        <v>736499</v>
      </c>
      <c r="C320" s="63" t="s">
        <v>140</v>
      </c>
      <c r="D320" s="64">
        <v>42616</v>
      </c>
      <c r="E320" s="63" t="s">
        <v>138</v>
      </c>
      <c r="F320" s="65">
        <v>59784</v>
      </c>
      <c r="G320" s="66">
        <v>9.5171773444753908E-3</v>
      </c>
      <c r="H320" s="65">
        <v>299</v>
      </c>
      <c r="I320" s="67">
        <v>0.27887804493671497</v>
      </c>
      <c r="J320" s="67">
        <v>2.6541318111433001</v>
      </c>
      <c r="K320" s="65">
        <v>89</v>
      </c>
      <c r="L320" s="65">
        <v>18</v>
      </c>
      <c r="M320" s="66">
        <v>2.92682926829268E-2</v>
      </c>
      <c r="N320" s="67">
        <v>473.189871613337</v>
      </c>
      <c r="O320" s="67">
        <v>78.864978602222905</v>
      </c>
      <c r="P320" s="67">
        <v>57.169999212026603</v>
      </c>
      <c r="Q320" s="68">
        <v>0.120818307072182</v>
      </c>
    </row>
    <row r="321" spans="1:17" x14ac:dyDescent="0.35">
      <c r="A321" s="62" t="s">
        <v>136</v>
      </c>
      <c r="B321" s="63">
        <v>736499</v>
      </c>
      <c r="C321" s="63" t="s">
        <v>140</v>
      </c>
      <c r="D321" s="64">
        <v>42617</v>
      </c>
      <c r="E321" s="63" t="s">
        <v>138</v>
      </c>
      <c r="F321" s="65">
        <v>66884</v>
      </c>
      <c r="G321" s="66">
        <v>9.7328244274809197E-3</v>
      </c>
      <c r="H321" s="65">
        <v>305</v>
      </c>
      <c r="I321" s="67">
        <v>0.24261437853177401</v>
      </c>
      <c r="J321" s="67">
        <v>2.3613231498321499</v>
      </c>
      <c r="K321" s="65">
        <v>70</v>
      </c>
      <c r="L321" s="65">
        <v>16</v>
      </c>
      <c r="M321" s="66">
        <v>6.5359477124182996E-2</v>
      </c>
      <c r="N321" s="67">
        <v>812.37323322627503</v>
      </c>
      <c r="O321" s="67">
        <v>81.237323322627503</v>
      </c>
      <c r="P321" s="67">
        <v>37.119999915361397</v>
      </c>
      <c r="Q321" s="68">
        <v>4.5693282837424701E-2</v>
      </c>
    </row>
    <row r="322" spans="1:17" x14ac:dyDescent="0.35">
      <c r="A322" s="62" t="s">
        <v>136</v>
      </c>
      <c r="B322" s="63">
        <v>736499</v>
      </c>
      <c r="C322" s="63" t="s">
        <v>140</v>
      </c>
      <c r="D322" s="64">
        <v>42618</v>
      </c>
      <c r="E322" s="63" t="s">
        <v>138</v>
      </c>
      <c r="F322" s="65">
        <v>37081</v>
      </c>
      <c r="G322" s="66">
        <v>9.6106150793650799E-3</v>
      </c>
      <c r="H322" s="65">
        <v>153</v>
      </c>
      <c r="I322" s="67">
        <v>0.230838707281697</v>
      </c>
      <c r="J322" s="67">
        <v>2.21850196110262</v>
      </c>
      <c r="K322" s="65">
        <v>66</v>
      </c>
      <c r="L322" s="65">
        <v>20</v>
      </c>
      <c r="M322" s="66">
        <v>4.5161290322580601E-2</v>
      </c>
      <c r="N322" s="67">
        <v>874.32754682121504</v>
      </c>
      <c r="O322" s="67">
        <v>124.90393526017399</v>
      </c>
      <c r="P322" s="67">
        <v>35.779999628663099</v>
      </c>
      <c r="Q322" s="68">
        <v>4.0922878112153803E-2</v>
      </c>
    </row>
    <row r="323" spans="1:17" x14ac:dyDescent="0.35">
      <c r="A323" s="62" t="s">
        <v>136</v>
      </c>
      <c r="B323" s="63">
        <v>736499</v>
      </c>
      <c r="C323" s="63" t="s">
        <v>140</v>
      </c>
      <c r="D323" s="64">
        <v>42619</v>
      </c>
      <c r="E323" s="63" t="s">
        <v>138</v>
      </c>
      <c r="F323" s="65">
        <v>27723</v>
      </c>
      <c r="G323" s="66">
        <v>7.9742844779625392E-3</v>
      </c>
      <c r="H323" s="65">
        <v>456</v>
      </c>
      <c r="I323" s="67">
        <v>0.23139534994613301</v>
      </c>
      <c r="J323" s="67">
        <v>1.8452123473481601</v>
      </c>
      <c r="K323" s="65">
        <v>78</v>
      </c>
      <c r="L323" s="65">
        <v>17</v>
      </c>
      <c r="M323" s="66">
        <v>6.9767441860465101E-2</v>
      </c>
      <c r="N323" s="67">
        <v>839.31563024388799</v>
      </c>
      <c r="O323" s="67">
        <v>93.257292249320898</v>
      </c>
      <c r="P323" s="67">
        <v>29.850000143051101</v>
      </c>
      <c r="Q323" s="68">
        <v>3.5564689930029501E-2</v>
      </c>
    </row>
    <row r="324" spans="1:17" x14ac:dyDescent="0.35">
      <c r="A324" s="62" t="s">
        <v>136</v>
      </c>
      <c r="B324" s="63">
        <v>736499</v>
      </c>
      <c r="C324" s="63" t="s">
        <v>140</v>
      </c>
      <c r="D324" s="64">
        <v>42620</v>
      </c>
      <c r="E324" s="63" t="s">
        <v>138</v>
      </c>
      <c r="F324" s="65">
        <v>29225</v>
      </c>
      <c r="G324" s="66">
        <v>8.7761730357266299E-3</v>
      </c>
      <c r="H324" s="65">
        <v>480</v>
      </c>
      <c r="I324" s="67">
        <v>0.21566929474590299</v>
      </c>
      <c r="J324" s="67">
        <v>1.8927510491831701</v>
      </c>
      <c r="K324" s="65">
        <v>73</v>
      </c>
      <c r="L324" s="65">
        <v>12</v>
      </c>
      <c r="M324" s="66">
        <v>3.1496062992125998E-2</v>
      </c>
      <c r="N324" s="67">
        <v>404.092072284099</v>
      </c>
      <c r="O324" s="67">
        <v>101.02301807102501</v>
      </c>
      <c r="P324" s="67">
        <v>27.3900004327297</v>
      </c>
      <c r="Q324" s="68">
        <v>6.7781583236488405E-2</v>
      </c>
    </row>
    <row r="325" spans="1:17" x14ac:dyDescent="0.35">
      <c r="A325" s="62" t="s">
        <v>136</v>
      </c>
      <c r="B325" s="63">
        <v>736499</v>
      </c>
      <c r="C325" s="63" t="s">
        <v>140</v>
      </c>
      <c r="D325" s="64">
        <v>42621</v>
      </c>
      <c r="E325" s="63" t="s">
        <v>138</v>
      </c>
      <c r="F325" s="65">
        <v>24597</v>
      </c>
      <c r="G325" s="66">
        <v>8.2198605114579895E-3</v>
      </c>
      <c r="H325" s="65">
        <v>157</v>
      </c>
      <c r="I325" s="67">
        <v>0.25393939695575002</v>
      </c>
      <c r="J325" s="67">
        <v>2.0873464213400301</v>
      </c>
      <c r="K325" s="65">
        <v>73</v>
      </c>
      <c r="L325" s="65">
        <v>13</v>
      </c>
      <c r="M325" s="66">
        <v>7.0707070707070704E-2</v>
      </c>
      <c r="N325" s="67">
        <v>427.46274409675499</v>
      </c>
      <c r="O325" s="67">
        <v>61.0661062995365</v>
      </c>
      <c r="P325" s="67">
        <v>25.140000298619299</v>
      </c>
      <c r="Q325" s="68">
        <v>5.8812143621407298E-2</v>
      </c>
    </row>
    <row r="326" spans="1:17" x14ac:dyDescent="0.35">
      <c r="A326" s="62" t="s">
        <v>136</v>
      </c>
      <c r="B326" s="63">
        <v>736499</v>
      </c>
      <c r="C326" s="63" t="s">
        <v>140</v>
      </c>
      <c r="D326" s="64">
        <v>42622</v>
      </c>
      <c r="E326" s="63" t="s">
        <v>138</v>
      </c>
      <c r="F326" s="65">
        <v>16167</v>
      </c>
      <c r="G326" s="66">
        <v>9.5699650328200693E-3</v>
      </c>
      <c r="H326" s="65">
        <v>428</v>
      </c>
      <c r="I326" s="67">
        <v>0.25999999886904002</v>
      </c>
      <c r="J326" s="67">
        <v>2.4881908977099698</v>
      </c>
      <c r="K326" s="65">
        <v>71</v>
      </c>
      <c r="L326" s="65">
        <v>17</v>
      </c>
      <c r="M326" s="66">
        <v>6.4102564102564097E-2</v>
      </c>
      <c r="N326" s="67">
        <v>1374.85670006794</v>
      </c>
      <c r="O326" s="67">
        <v>137.48567000679401</v>
      </c>
      <c r="P326" s="67">
        <v>40.559999823570301</v>
      </c>
      <c r="Q326" s="68">
        <v>2.9501256255699999E-2</v>
      </c>
    </row>
    <row r="327" spans="1:17" x14ac:dyDescent="0.35">
      <c r="A327" s="62" t="s">
        <v>136</v>
      </c>
      <c r="B327" s="63">
        <v>736499</v>
      </c>
      <c r="C327" s="63" t="s">
        <v>140</v>
      </c>
      <c r="D327" s="64">
        <v>42623</v>
      </c>
      <c r="E327" s="63" t="s">
        <v>138</v>
      </c>
      <c r="F327" s="65">
        <v>35197</v>
      </c>
      <c r="G327" s="66">
        <v>9.3371115343522104E-3</v>
      </c>
      <c r="H327" s="65">
        <v>155</v>
      </c>
      <c r="I327" s="67">
        <v>0.234179103404135</v>
      </c>
      <c r="J327" s="67">
        <v>2.18655640749901</v>
      </c>
      <c r="K327" s="65">
        <v>75</v>
      </c>
      <c r="L327" s="65">
        <v>13</v>
      </c>
      <c r="M327" s="66">
        <v>9.9502487562189105E-3</v>
      </c>
      <c r="N327" s="67">
        <v>222.462291534179</v>
      </c>
      <c r="O327" s="67">
        <v>111.231145767089</v>
      </c>
      <c r="P327" s="67">
        <v>47.0699997842312</v>
      </c>
      <c r="Q327" s="68">
        <v>0.21158641970115399</v>
      </c>
    </row>
    <row r="328" spans="1:17" x14ac:dyDescent="0.35">
      <c r="A328" s="62" t="s">
        <v>136</v>
      </c>
      <c r="B328" s="63">
        <v>736499</v>
      </c>
      <c r="C328" s="63" t="s">
        <v>140</v>
      </c>
      <c r="D328" s="64">
        <v>42624</v>
      </c>
      <c r="E328" s="63" t="s">
        <v>138</v>
      </c>
      <c r="F328" s="65">
        <v>66688</v>
      </c>
      <c r="G328" s="66">
        <v>7.8528621616036406E-3</v>
      </c>
      <c r="H328" s="65">
        <v>354</v>
      </c>
      <c r="I328" s="67">
        <v>0.317587715622626</v>
      </c>
      <c r="J328" s="67">
        <v>2.49397255500305</v>
      </c>
      <c r="K328" s="65">
        <v>82</v>
      </c>
      <c r="L328" s="65">
        <v>21</v>
      </c>
      <c r="M328" s="66">
        <v>5.2631578947368397E-2</v>
      </c>
      <c r="N328" s="67">
        <v>996.075495703005</v>
      </c>
      <c r="O328" s="67">
        <v>83.006291308583698</v>
      </c>
      <c r="P328" s="67">
        <v>72.409999161958694</v>
      </c>
      <c r="Q328" s="68">
        <v>7.26952921483663E-2</v>
      </c>
    </row>
    <row r="329" spans="1:17" x14ac:dyDescent="0.35">
      <c r="A329" s="62" t="s">
        <v>136</v>
      </c>
      <c r="B329" s="63">
        <v>736499</v>
      </c>
      <c r="C329" s="63" t="s">
        <v>140</v>
      </c>
      <c r="D329" s="64">
        <v>42625</v>
      </c>
      <c r="E329" s="63" t="s">
        <v>138</v>
      </c>
      <c r="F329" s="65">
        <v>10606</v>
      </c>
      <c r="G329" s="66">
        <v>7.70372748064037E-3</v>
      </c>
      <c r="H329" s="65">
        <v>165</v>
      </c>
      <c r="I329" s="67">
        <v>0.30776041063169601</v>
      </c>
      <c r="J329" s="67">
        <v>2.3709023328365699</v>
      </c>
      <c r="K329" s="65">
        <v>93</v>
      </c>
      <c r="L329" s="65">
        <v>19</v>
      </c>
      <c r="M329" s="66">
        <v>5.2083333333333301E-2</v>
      </c>
      <c r="N329" s="67">
        <v>936.19367392755498</v>
      </c>
      <c r="O329" s="67">
        <v>93.619367392755507</v>
      </c>
      <c r="P329" s="67">
        <v>59.089998841285698</v>
      </c>
      <c r="Q329" s="68">
        <v>6.3117280629967396E-2</v>
      </c>
    </row>
    <row r="330" spans="1:17" x14ac:dyDescent="0.35">
      <c r="A330" s="62" t="s">
        <v>136</v>
      </c>
      <c r="B330" s="63">
        <v>736499</v>
      </c>
      <c r="C330" s="63" t="s">
        <v>140</v>
      </c>
      <c r="D330" s="64">
        <v>42626</v>
      </c>
      <c r="E330" s="63" t="s">
        <v>138</v>
      </c>
      <c r="F330" s="65">
        <v>48177</v>
      </c>
      <c r="G330" s="66">
        <v>9.7521847426858595E-3</v>
      </c>
      <c r="H330" s="65">
        <v>293</v>
      </c>
      <c r="I330" s="67">
        <v>0.32268397542305299</v>
      </c>
      <c r="J330" s="67">
        <v>3.14687374182992</v>
      </c>
      <c r="K330" s="65">
        <v>62</v>
      </c>
      <c r="L330" s="65">
        <v>16</v>
      </c>
      <c r="M330" s="66">
        <v>3.4632034632034597E-2</v>
      </c>
      <c r="N330" s="67">
        <v>639.12161465348902</v>
      </c>
      <c r="O330" s="67">
        <v>79.890201831686099</v>
      </c>
      <c r="P330" s="67">
        <v>74.539998322725296</v>
      </c>
      <c r="Q330" s="68">
        <v>0.116628817761293</v>
      </c>
    </row>
    <row r="331" spans="1:17" x14ac:dyDescent="0.35">
      <c r="A331" s="62" t="s">
        <v>136</v>
      </c>
      <c r="B331" s="63">
        <v>736499</v>
      </c>
      <c r="C331" s="63" t="s">
        <v>140</v>
      </c>
      <c r="D331" s="64">
        <v>42627</v>
      </c>
      <c r="E331" s="63" t="s">
        <v>138</v>
      </c>
      <c r="F331" s="65">
        <v>68646</v>
      </c>
      <c r="G331" s="66">
        <v>9.2536010475774803E-3</v>
      </c>
      <c r="H331" s="65">
        <v>254</v>
      </c>
      <c r="I331" s="67">
        <v>0.34014150205085902</v>
      </c>
      <c r="J331" s="67">
        <v>3.1475337597023998</v>
      </c>
      <c r="K331" s="65">
        <v>49</v>
      </c>
      <c r="L331" s="65">
        <v>36</v>
      </c>
      <c r="M331" s="66">
        <v>7.5471698113207503E-2</v>
      </c>
      <c r="N331" s="67">
        <v>1541.97902798873</v>
      </c>
      <c r="O331" s="67">
        <v>96.373689249295893</v>
      </c>
      <c r="P331" s="67">
        <v>72.109998434782</v>
      </c>
      <c r="Q331" s="68">
        <v>4.6764577939064501E-2</v>
      </c>
    </row>
    <row r="332" spans="1:17" x14ac:dyDescent="0.35">
      <c r="A332" s="62" t="s">
        <v>136</v>
      </c>
      <c r="B332" s="63">
        <v>736499</v>
      </c>
      <c r="C332" s="63" t="s">
        <v>140</v>
      </c>
      <c r="D332" s="64">
        <v>42628</v>
      </c>
      <c r="E332" s="63" t="s">
        <v>138</v>
      </c>
      <c r="F332" s="65">
        <v>11025</v>
      </c>
      <c r="G332" s="66">
        <v>8.16281506811538E-3</v>
      </c>
      <c r="H332" s="65">
        <v>409</v>
      </c>
      <c r="I332" s="67">
        <v>0.37297296977123701</v>
      </c>
      <c r="J332" s="67">
        <v>3.0445093776483998</v>
      </c>
      <c r="K332" s="65">
        <v>91</v>
      </c>
      <c r="L332" s="65">
        <v>16</v>
      </c>
      <c r="M332" s="66">
        <v>5.4054054054054099E-2</v>
      </c>
      <c r="N332" s="67">
        <v>637.40187383473904</v>
      </c>
      <c r="O332" s="67">
        <v>79.675234229342394</v>
      </c>
      <c r="P332" s="67">
        <v>55.199999526143102</v>
      </c>
      <c r="Q332" s="68">
        <v>8.6601564557770502E-2</v>
      </c>
    </row>
    <row r="333" spans="1:17" x14ac:dyDescent="0.35">
      <c r="A333" s="62" t="s">
        <v>136</v>
      </c>
      <c r="B333" s="63">
        <v>736499</v>
      </c>
      <c r="C333" s="63" t="s">
        <v>140</v>
      </c>
      <c r="D333" s="64">
        <v>42629</v>
      </c>
      <c r="E333" s="63" t="s">
        <v>138</v>
      </c>
      <c r="F333" s="65">
        <v>7561</v>
      </c>
      <c r="G333" s="66">
        <v>9.3713105076741396E-3</v>
      </c>
      <c r="H333" s="65">
        <v>303</v>
      </c>
      <c r="I333" s="67">
        <v>0.35047243605917799</v>
      </c>
      <c r="J333" s="67">
        <v>3.28438602269153</v>
      </c>
      <c r="K333" s="65">
        <v>23</v>
      </c>
      <c r="L333" s="65">
        <v>31</v>
      </c>
      <c r="M333" s="66">
        <v>3.9370078740157501E-2</v>
      </c>
      <c r="N333" s="67">
        <v>919.92239712806702</v>
      </c>
      <c r="O333" s="67">
        <v>91.992239712806807</v>
      </c>
      <c r="P333" s="67">
        <v>89.019998759031296</v>
      </c>
      <c r="Q333" s="68">
        <v>9.6769030775797404E-2</v>
      </c>
    </row>
    <row r="334" spans="1:17" x14ac:dyDescent="0.35">
      <c r="A334" s="62" t="s">
        <v>136</v>
      </c>
      <c r="B334" s="63">
        <v>736499</v>
      </c>
      <c r="C334" s="63" t="s">
        <v>140</v>
      </c>
      <c r="D334" s="64">
        <v>42630</v>
      </c>
      <c r="E334" s="63" t="s">
        <v>138</v>
      </c>
      <c r="F334" s="65">
        <v>51429</v>
      </c>
      <c r="G334" s="66">
        <v>8.6901161865350907E-3</v>
      </c>
      <c r="H334" s="65">
        <v>186</v>
      </c>
      <c r="I334" s="67">
        <v>0.41908424579616899</v>
      </c>
      <c r="J334" s="67">
        <v>3.6418907879151399</v>
      </c>
      <c r="K334" s="65">
        <v>61</v>
      </c>
      <c r="L334" s="65">
        <v>18</v>
      </c>
      <c r="M334" s="66">
        <v>4.7619047619047603E-2</v>
      </c>
      <c r="N334" s="67">
        <v>1144.8099634426401</v>
      </c>
      <c r="O334" s="67">
        <v>88.062304880202902</v>
      </c>
      <c r="P334" s="67">
        <v>114.40999910235401</v>
      </c>
      <c r="Q334" s="68">
        <v>9.9937983382240803E-2</v>
      </c>
    </row>
    <row r="335" spans="1:17" x14ac:dyDescent="0.35">
      <c r="A335" s="62" t="s">
        <v>136</v>
      </c>
      <c r="B335" s="63">
        <v>736499</v>
      </c>
      <c r="C335" s="63" t="s">
        <v>140</v>
      </c>
      <c r="D335" s="64">
        <v>42631</v>
      </c>
      <c r="E335" s="63" t="s">
        <v>138</v>
      </c>
      <c r="F335" s="65">
        <v>48470</v>
      </c>
      <c r="G335" s="66">
        <v>7.6540605695344299E-3</v>
      </c>
      <c r="H335" s="65">
        <v>421</v>
      </c>
      <c r="I335" s="67">
        <v>0.41952755542721298</v>
      </c>
      <c r="J335" s="67">
        <v>3.2110893198285999</v>
      </c>
      <c r="K335" s="65">
        <v>77</v>
      </c>
      <c r="L335" s="65">
        <v>13</v>
      </c>
      <c r="M335" s="66">
        <v>3.5433070866141697E-2</v>
      </c>
      <c r="N335" s="67">
        <v>1063.2771694615001</v>
      </c>
      <c r="O335" s="67">
        <v>118.14190771794399</v>
      </c>
      <c r="P335" s="67">
        <v>106.55999907851201</v>
      </c>
      <c r="Q335" s="68">
        <v>0.100218458685123</v>
      </c>
    </row>
    <row r="336" spans="1:17" x14ac:dyDescent="0.35">
      <c r="A336" s="62" t="s">
        <v>136</v>
      </c>
      <c r="B336" s="63">
        <v>736499</v>
      </c>
      <c r="C336" s="63" t="s">
        <v>140</v>
      </c>
      <c r="D336" s="64">
        <v>42632</v>
      </c>
      <c r="E336" s="63" t="s">
        <v>138</v>
      </c>
      <c r="F336" s="65">
        <v>49782</v>
      </c>
      <c r="G336" s="66">
        <v>7.41110240148222E-3</v>
      </c>
      <c r="H336" s="65">
        <v>212</v>
      </c>
      <c r="I336" s="67">
        <v>0.414086538187873</v>
      </c>
      <c r="J336" s="67">
        <v>3.0688377375856</v>
      </c>
      <c r="K336" s="65">
        <v>51</v>
      </c>
      <c r="L336" s="65">
        <v>18</v>
      </c>
      <c r="M336" s="66">
        <v>3.3653846153846201E-2</v>
      </c>
      <c r="N336" s="67">
        <v>600.00882450261497</v>
      </c>
      <c r="O336" s="67">
        <v>85.715546357516502</v>
      </c>
      <c r="P336" s="67">
        <v>86.129999943077607</v>
      </c>
      <c r="Q336" s="68">
        <v>0.14354788867393101</v>
      </c>
    </row>
    <row r="337" spans="1:17" x14ac:dyDescent="0.35">
      <c r="A337" s="62" t="s">
        <v>136</v>
      </c>
      <c r="B337" s="63">
        <v>736499</v>
      </c>
      <c r="C337" s="63" t="s">
        <v>140</v>
      </c>
      <c r="D337" s="64">
        <v>42633</v>
      </c>
      <c r="E337" s="63" t="s">
        <v>138</v>
      </c>
      <c r="F337" s="65">
        <v>58593</v>
      </c>
      <c r="G337" s="66">
        <v>8.2809224318658291E-3</v>
      </c>
      <c r="H337" s="65">
        <v>409</v>
      </c>
      <c r="I337" s="67">
        <v>0.413291139033022</v>
      </c>
      <c r="J337" s="67">
        <v>3.4224318641099298</v>
      </c>
      <c r="K337" s="65">
        <v>43</v>
      </c>
      <c r="L337" s="65">
        <v>23</v>
      </c>
      <c r="M337" s="66">
        <v>5.0632911392405097E-2</v>
      </c>
      <c r="N337" s="67">
        <v>1258.7434777255501</v>
      </c>
      <c r="O337" s="67">
        <v>104.895289810463</v>
      </c>
      <c r="P337" s="67">
        <v>97.949999950826196</v>
      </c>
      <c r="Q337" s="68">
        <v>7.7815696116109195E-2</v>
      </c>
    </row>
    <row r="338" spans="1:17" x14ac:dyDescent="0.35">
      <c r="A338" s="62" t="s">
        <v>136</v>
      </c>
      <c r="B338" s="63">
        <v>736499</v>
      </c>
      <c r="C338" s="63" t="s">
        <v>140</v>
      </c>
      <c r="D338" s="64">
        <v>42634</v>
      </c>
      <c r="E338" s="63" t="s">
        <v>138</v>
      </c>
      <c r="F338" s="65">
        <v>58741</v>
      </c>
      <c r="G338" s="66">
        <v>8.5718601314100102E-3</v>
      </c>
      <c r="H338" s="65">
        <v>172</v>
      </c>
      <c r="I338" s="67">
        <v>0.39766520048421899</v>
      </c>
      <c r="J338" s="67">
        <v>3.4087304776798502</v>
      </c>
      <c r="K338" s="65">
        <v>44</v>
      </c>
      <c r="L338" s="65">
        <v>24</v>
      </c>
      <c r="M338" s="66">
        <v>4.8458149779735699E-2</v>
      </c>
      <c r="N338" s="67">
        <v>1001.76381438232</v>
      </c>
      <c r="O338" s="67">
        <v>91.069437671119999</v>
      </c>
      <c r="P338" s="67">
        <v>90.270000509917693</v>
      </c>
      <c r="Q338" s="68">
        <v>9.0111061323948402E-2</v>
      </c>
    </row>
    <row r="339" spans="1:17" x14ac:dyDescent="0.35">
      <c r="A339" s="62" t="s">
        <v>136</v>
      </c>
      <c r="B339" s="63">
        <v>736499</v>
      </c>
      <c r="C339" s="63" t="s">
        <v>140</v>
      </c>
      <c r="D339" s="64">
        <v>42635</v>
      </c>
      <c r="E339" s="63" t="s">
        <v>138</v>
      </c>
      <c r="F339" s="65">
        <v>39057</v>
      </c>
      <c r="G339" s="66">
        <v>8.4866257886785697E-3</v>
      </c>
      <c r="H339" s="65">
        <v>579</v>
      </c>
      <c r="I339" s="67">
        <v>0.42319371765820801</v>
      </c>
      <c r="J339" s="67">
        <v>3.5914867178849001</v>
      </c>
      <c r="K339" s="65">
        <v>87</v>
      </c>
      <c r="L339" s="65">
        <v>15</v>
      </c>
      <c r="M339" s="66">
        <v>5.7591623036649199E-2</v>
      </c>
      <c r="N339" s="67">
        <v>2757.2096175266001</v>
      </c>
      <c r="O339" s="67">
        <v>250.65541977514599</v>
      </c>
      <c r="P339" s="67">
        <v>80.830000072717695</v>
      </c>
      <c r="Q339" s="68">
        <v>2.93158704941801E-2</v>
      </c>
    </row>
    <row r="340" spans="1:17" x14ac:dyDescent="0.35">
      <c r="A340" s="62" t="s">
        <v>136</v>
      </c>
      <c r="B340" s="63">
        <v>736499</v>
      </c>
      <c r="C340" s="63" t="s">
        <v>140</v>
      </c>
      <c r="D340" s="64">
        <v>42636</v>
      </c>
      <c r="E340" s="63" t="s">
        <v>138</v>
      </c>
      <c r="F340" s="65">
        <v>36357</v>
      </c>
      <c r="G340" s="66">
        <v>8.7355381558957609E-3</v>
      </c>
      <c r="H340" s="65">
        <v>214</v>
      </c>
      <c r="I340" s="67">
        <v>0.42297658807657201</v>
      </c>
      <c r="J340" s="67">
        <v>3.6949281241934999</v>
      </c>
      <c r="K340" s="65">
        <v>47</v>
      </c>
      <c r="L340" s="65">
        <v>16</v>
      </c>
      <c r="M340" s="66">
        <v>3.0100334448160501E-2</v>
      </c>
      <c r="N340" s="67">
        <v>909.20715170548397</v>
      </c>
      <c r="O340" s="67">
        <v>101.023016856165</v>
      </c>
      <c r="P340" s="67">
        <v>126.46999983489501</v>
      </c>
      <c r="Q340" s="68">
        <v>0.13909921363647801</v>
      </c>
    </row>
    <row r="341" spans="1:17" x14ac:dyDescent="0.35">
      <c r="A341" s="62" t="s">
        <v>136</v>
      </c>
      <c r="B341" s="63">
        <v>736499</v>
      </c>
      <c r="C341" s="63" t="s">
        <v>140</v>
      </c>
      <c r="D341" s="64">
        <v>42637</v>
      </c>
      <c r="E341" s="63" t="s">
        <v>138</v>
      </c>
      <c r="F341" s="65">
        <v>10392</v>
      </c>
      <c r="G341" s="66">
        <v>7.0997885724726597E-3</v>
      </c>
      <c r="H341" s="65">
        <v>556</v>
      </c>
      <c r="I341" s="67">
        <v>0.406875001102248</v>
      </c>
      <c r="J341" s="67">
        <v>2.8887264832505402</v>
      </c>
      <c r="K341" s="65">
        <v>91</v>
      </c>
      <c r="L341" s="65">
        <v>20</v>
      </c>
      <c r="M341" s="66">
        <v>3.6764705882352901E-2</v>
      </c>
      <c r="N341" s="67">
        <v>1091.0133390748799</v>
      </c>
      <c r="O341" s="67">
        <v>109.101333907488</v>
      </c>
      <c r="P341" s="67">
        <v>110.67000029981099</v>
      </c>
      <c r="Q341" s="68">
        <v>0.101437806794969</v>
      </c>
    </row>
    <row r="342" spans="1:17" x14ac:dyDescent="0.35">
      <c r="A342" s="62" t="s">
        <v>136</v>
      </c>
      <c r="B342" s="63">
        <v>736499</v>
      </c>
      <c r="C342" s="63" t="s">
        <v>140</v>
      </c>
      <c r="D342" s="64">
        <v>42638</v>
      </c>
      <c r="E342" s="63" t="s">
        <v>138</v>
      </c>
      <c r="F342" s="65">
        <v>52935</v>
      </c>
      <c r="G342" s="66">
        <v>6.5279375719073602E-3</v>
      </c>
      <c r="H342" s="65">
        <v>183</v>
      </c>
      <c r="I342" s="67">
        <v>0.49831416183847099</v>
      </c>
      <c r="J342" s="67">
        <v>3.2529637396788802</v>
      </c>
      <c r="K342" s="65">
        <v>91</v>
      </c>
      <c r="L342" s="65">
        <v>23</v>
      </c>
      <c r="M342" s="66">
        <v>4.2145593869731802E-2</v>
      </c>
      <c r="N342" s="67">
        <v>874.94486738043997</v>
      </c>
      <c r="O342" s="67">
        <v>79.540442489130896</v>
      </c>
      <c r="P342" s="67">
        <v>130.05999623984101</v>
      </c>
      <c r="Q342" s="68">
        <v>0.14864936190692399</v>
      </c>
    </row>
    <row r="343" spans="1:17" x14ac:dyDescent="0.35">
      <c r="A343" s="62" t="s">
        <v>136</v>
      </c>
      <c r="B343" s="63">
        <v>736499</v>
      </c>
      <c r="C343" s="63" t="s">
        <v>140</v>
      </c>
      <c r="D343" s="64">
        <v>42639</v>
      </c>
      <c r="E343" s="63" t="s">
        <v>138</v>
      </c>
      <c r="F343" s="65">
        <v>41156</v>
      </c>
      <c r="G343" s="66">
        <v>7.15499753275947E-3</v>
      </c>
      <c r="H343" s="65">
        <v>240</v>
      </c>
      <c r="I343" s="67">
        <v>0.47735630889276898</v>
      </c>
      <c r="J343" s="67">
        <v>3.4154832123749301</v>
      </c>
      <c r="K343" s="65">
        <v>79</v>
      </c>
      <c r="L343" s="65">
        <v>18</v>
      </c>
      <c r="M343" s="66">
        <v>1.5325670498084301E-2</v>
      </c>
      <c r="N343" s="67">
        <v>315.32762962965</v>
      </c>
      <c r="O343" s="67">
        <v>78.831907407412601</v>
      </c>
      <c r="P343" s="67">
        <v>124.589996621013</v>
      </c>
      <c r="Q343" s="68">
        <v>0.39511284427356602</v>
      </c>
    </row>
    <row r="344" spans="1:17" x14ac:dyDescent="0.35">
      <c r="A344" s="62" t="s">
        <v>136</v>
      </c>
      <c r="B344" s="63">
        <v>736499</v>
      </c>
      <c r="C344" s="63" t="s">
        <v>140</v>
      </c>
      <c r="D344" s="64">
        <v>42640</v>
      </c>
      <c r="E344" s="63" t="s">
        <v>138</v>
      </c>
      <c r="F344" s="65">
        <v>4659</v>
      </c>
      <c r="G344" s="66">
        <v>7.5081364998549902E-3</v>
      </c>
      <c r="H344" s="65">
        <v>382</v>
      </c>
      <c r="I344" s="67">
        <v>0.49055792205835103</v>
      </c>
      <c r="J344" s="67">
        <v>3.68317583989933</v>
      </c>
      <c r="K344" s="65">
        <v>24</v>
      </c>
      <c r="L344" s="65">
        <v>20</v>
      </c>
      <c r="M344" s="66">
        <v>4.2918454935622297E-2</v>
      </c>
      <c r="N344" s="67">
        <v>496.20776803460501</v>
      </c>
      <c r="O344" s="67">
        <v>49.620776803460501</v>
      </c>
      <c r="P344" s="67">
        <v>114.29999583959599</v>
      </c>
      <c r="Q344" s="68">
        <v>0.23034705057584801</v>
      </c>
    </row>
    <row r="345" spans="1:17" x14ac:dyDescent="0.35">
      <c r="A345" s="62" t="s">
        <v>136</v>
      </c>
      <c r="B345" s="63">
        <v>736499</v>
      </c>
      <c r="C345" s="63" t="s">
        <v>140</v>
      </c>
      <c r="D345" s="64">
        <v>42641</v>
      </c>
      <c r="E345" s="63" t="s">
        <v>138</v>
      </c>
      <c r="F345" s="65">
        <v>2031</v>
      </c>
      <c r="G345" s="66">
        <v>7.0520553029600102E-3</v>
      </c>
      <c r="H345" s="65">
        <v>296</v>
      </c>
      <c r="I345" s="67">
        <v>0.43171052811177202</v>
      </c>
      <c r="J345" s="67">
        <v>3.0444465191142802</v>
      </c>
      <c r="K345" s="65">
        <v>52</v>
      </c>
      <c r="L345" s="65">
        <v>19</v>
      </c>
      <c r="M345" s="66">
        <v>5.2631578947368397E-2</v>
      </c>
      <c r="N345" s="67">
        <v>954.80200537656299</v>
      </c>
      <c r="O345" s="67">
        <v>119.35025067207</v>
      </c>
      <c r="P345" s="67">
        <v>65.620000272989301</v>
      </c>
      <c r="Q345" s="68">
        <v>6.8726290794822495E-2</v>
      </c>
    </row>
    <row r="346" spans="1:17" x14ac:dyDescent="0.35">
      <c r="A346" s="62" t="s">
        <v>136</v>
      </c>
      <c r="B346" s="63">
        <v>736499</v>
      </c>
      <c r="C346" s="63" t="s">
        <v>140</v>
      </c>
      <c r="D346" s="64">
        <v>42642</v>
      </c>
      <c r="E346" s="63" t="s">
        <v>138</v>
      </c>
      <c r="F346" s="65">
        <v>3541</v>
      </c>
      <c r="G346" s="66">
        <v>7.0277474857627503E-3</v>
      </c>
      <c r="H346" s="65">
        <v>436</v>
      </c>
      <c r="I346" s="67">
        <v>0.41491379730146499</v>
      </c>
      <c r="J346" s="67">
        <v>2.9159093957936499</v>
      </c>
      <c r="K346" s="65">
        <v>27</v>
      </c>
      <c r="L346" s="65">
        <v>16</v>
      </c>
      <c r="M346" s="66">
        <v>2.5862068965517199E-2</v>
      </c>
      <c r="N346" s="67">
        <v>269.33593087247198</v>
      </c>
      <c r="O346" s="67">
        <v>89.778643624157496</v>
      </c>
      <c r="P346" s="67">
        <v>48.130000486969898</v>
      </c>
      <c r="Q346" s="68">
        <v>0.17869877342789101</v>
      </c>
    </row>
    <row r="347" spans="1:17" x14ac:dyDescent="0.35">
      <c r="A347" s="62" t="s">
        <v>136</v>
      </c>
      <c r="B347" s="63">
        <v>736499</v>
      </c>
      <c r="C347" s="63" t="s">
        <v>140</v>
      </c>
      <c r="D347" s="64">
        <v>42643</v>
      </c>
      <c r="E347" s="63" t="s">
        <v>138</v>
      </c>
      <c r="F347" s="65">
        <v>60575</v>
      </c>
      <c r="G347" s="66">
        <v>7.9097359544027003E-3</v>
      </c>
      <c r="H347" s="65">
        <v>558</v>
      </c>
      <c r="I347" s="67">
        <v>0.40551470767925801</v>
      </c>
      <c r="J347" s="67">
        <v>3.20751426336972</v>
      </c>
      <c r="K347" s="65">
        <v>33</v>
      </c>
      <c r="L347" s="65">
        <v>25</v>
      </c>
      <c r="M347" s="66">
        <v>4.4117647058823498E-2</v>
      </c>
      <c r="N347" s="67">
        <v>466.44325030944401</v>
      </c>
      <c r="O347" s="67">
        <v>77.740541718240706</v>
      </c>
      <c r="P347" s="67">
        <v>55.150000244379001</v>
      </c>
      <c r="Q347" s="68">
        <v>0.11823517696481201</v>
      </c>
    </row>
    <row r="348" spans="1:17" x14ac:dyDescent="0.35">
      <c r="A348" s="62" t="s">
        <v>136</v>
      </c>
      <c r="B348" s="63">
        <v>736499</v>
      </c>
      <c r="C348" s="63" t="s">
        <v>140</v>
      </c>
      <c r="D348" s="64">
        <v>42644</v>
      </c>
      <c r="E348" s="63" t="s">
        <v>138</v>
      </c>
      <c r="F348" s="65">
        <v>46198</v>
      </c>
      <c r="G348" s="66">
        <v>7.9539462119880503E-3</v>
      </c>
      <c r="H348" s="65">
        <v>223</v>
      </c>
      <c r="I348" s="67">
        <v>0.41861878837669803</v>
      </c>
      <c r="J348" s="67">
        <v>3.3296713260758599</v>
      </c>
      <c r="K348" s="65">
        <v>75</v>
      </c>
      <c r="L348" s="65">
        <v>27</v>
      </c>
      <c r="M348" s="66">
        <v>4.9723756906077297E-2</v>
      </c>
      <c r="N348" s="67">
        <v>934.87098723512997</v>
      </c>
      <c r="O348" s="67">
        <v>103.874554137237</v>
      </c>
      <c r="P348" s="67">
        <v>75.770000696182294</v>
      </c>
      <c r="Q348" s="68">
        <v>8.1048617114828997E-2</v>
      </c>
    </row>
    <row r="349" spans="1:17" x14ac:dyDescent="0.35">
      <c r="A349" s="62" t="s">
        <v>136</v>
      </c>
      <c r="B349" s="63">
        <v>736499</v>
      </c>
      <c r="C349" s="63" t="s">
        <v>140</v>
      </c>
      <c r="D349" s="64">
        <v>42645</v>
      </c>
      <c r="E349" s="63" t="s">
        <v>138</v>
      </c>
      <c r="F349" s="65">
        <v>56424</v>
      </c>
      <c r="G349" s="66">
        <v>8.0272822665267592E-3</v>
      </c>
      <c r="H349" s="65">
        <v>320</v>
      </c>
      <c r="I349" s="67">
        <v>0.40928104695151801</v>
      </c>
      <c r="J349" s="67">
        <v>3.2854144902194302</v>
      </c>
      <c r="K349" s="65">
        <v>18</v>
      </c>
      <c r="L349" s="65">
        <v>10</v>
      </c>
      <c r="M349" s="66">
        <v>1.30718954248366E-2</v>
      </c>
      <c r="N349" s="67">
        <v>77.677625950758994</v>
      </c>
      <c r="O349" s="67">
        <v>38.838812975379497</v>
      </c>
      <c r="P349" s="67">
        <v>62.620000183582299</v>
      </c>
      <c r="Q349" s="68">
        <v>0.80615234331798502</v>
      </c>
    </row>
    <row r="350" spans="1:17" x14ac:dyDescent="0.35">
      <c r="A350" s="62" t="s">
        <v>136</v>
      </c>
      <c r="B350" s="63">
        <v>736499</v>
      </c>
      <c r="C350" s="63" t="s">
        <v>140</v>
      </c>
      <c r="D350" s="64">
        <v>42646</v>
      </c>
      <c r="E350" s="63" t="s">
        <v>138</v>
      </c>
      <c r="F350" s="65">
        <v>48125</v>
      </c>
      <c r="G350" s="66">
        <v>9.3979915149562301E-3</v>
      </c>
      <c r="H350" s="65">
        <v>364</v>
      </c>
      <c r="I350" s="67">
        <v>0.42108571316514698</v>
      </c>
      <c r="J350" s="67">
        <v>3.9573599593953399</v>
      </c>
      <c r="K350" s="65">
        <v>78</v>
      </c>
      <c r="L350" s="65">
        <v>22</v>
      </c>
      <c r="M350" s="66">
        <v>5.7142857142857099E-2</v>
      </c>
      <c r="N350" s="67">
        <v>707.67055260667405</v>
      </c>
      <c r="O350" s="67">
        <v>70.767055260667405</v>
      </c>
      <c r="P350" s="67">
        <v>73.689999803900704</v>
      </c>
      <c r="Q350" s="68">
        <v>0.10413037469549501</v>
      </c>
    </row>
    <row r="351" spans="1:17" x14ac:dyDescent="0.35">
      <c r="A351" s="62" t="s">
        <v>136</v>
      </c>
      <c r="B351" s="63">
        <v>736499</v>
      </c>
      <c r="C351" s="63" t="s">
        <v>140</v>
      </c>
      <c r="D351" s="64">
        <v>42647</v>
      </c>
      <c r="E351" s="63" t="s">
        <v>138</v>
      </c>
      <c r="F351" s="65">
        <v>48235</v>
      </c>
      <c r="G351" s="66">
        <v>8.6001220662486801E-3</v>
      </c>
      <c r="H351" s="65">
        <v>341</v>
      </c>
      <c r="I351" s="67">
        <v>0.43451612178356402</v>
      </c>
      <c r="J351" s="67">
        <v>3.7368916870916302</v>
      </c>
      <c r="K351" s="65">
        <v>34</v>
      </c>
      <c r="L351" s="65">
        <v>17</v>
      </c>
      <c r="M351" s="66">
        <v>6.4516129032258104E-2</v>
      </c>
      <c r="N351" s="67">
        <v>1528.41107842778</v>
      </c>
      <c r="O351" s="67">
        <v>152.841107842778</v>
      </c>
      <c r="P351" s="67">
        <v>67.349998876452403</v>
      </c>
      <c r="Q351" s="68">
        <v>4.4065369472284198E-2</v>
      </c>
    </row>
    <row r="352" spans="1:17" x14ac:dyDescent="0.35">
      <c r="A352" s="62" t="s">
        <v>136</v>
      </c>
      <c r="B352" s="63">
        <v>736499</v>
      </c>
      <c r="C352" s="63" t="s">
        <v>140</v>
      </c>
      <c r="D352" s="64">
        <v>42648</v>
      </c>
      <c r="E352" s="63" t="s">
        <v>138</v>
      </c>
      <c r="F352" s="65">
        <v>60561</v>
      </c>
      <c r="G352" s="66">
        <v>7.9763498438197196E-3</v>
      </c>
      <c r="H352" s="65">
        <v>583</v>
      </c>
      <c r="I352" s="67">
        <v>0.46209789270704399</v>
      </c>
      <c r="J352" s="67">
        <v>3.6858544543232599</v>
      </c>
      <c r="K352" s="65">
        <v>25</v>
      </c>
      <c r="L352" s="65">
        <v>35</v>
      </c>
      <c r="M352" s="66">
        <v>0.10489510489510501</v>
      </c>
      <c r="N352" s="67">
        <v>1754.10919958056</v>
      </c>
      <c r="O352" s="67">
        <v>116.940613305371</v>
      </c>
      <c r="P352" s="67">
        <v>66.079998657107396</v>
      </c>
      <c r="Q352" s="68">
        <v>3.7671542155362003E-2</v>
      </c>
    </row>
    <row r="353" spans="1:17" x14ac:dyDescent="0.35">
      <c r="A353" s="62" t="s">
        <v>136</v>
      </c>
      <c r="B353" s="63">
        <v>736499</v>
      </c>
      <c r="C353" s="63" t="s">
        <v>140</v>
      </c>
      <c r="D353" s="64">
        <v>42649</v>
      </c>
      <c r="E353" s="63" t="s">
        <v>138</v>
      </c>
      <c r="F353" s="65">
        <v>7569</v>
      </c>
      <c r="G353" s="66">
        <v>9.1983391887575892E-3</v>
      </c>
      <c r="H353" s="65">
        <v>531</v>
      </c>
      <c r="I353" s="67">
        <v>0.44861109761728202</v>
      </c>
      <c r="J353" s="67">
        <v>4.1264770397246</v>
      </c>
      <c r="K353" s="65">
        <v>75</v>
      </c>
      <c r="L353" s="65">
        <v>24</v>
      </c>
      <c r="M353" s="66">
        <v>4.8611111111111098E-2</v>
      </c>
      <c r="N353" s="67">
        <v>782.03428588009604</v>
      </c>
      <c r="O353" s="67">
        <v>111.71918369715701</v>
      </c>
      <c r="P353" s="67">
        <v>64.599998056888595</v>
      </c>
      <c r="Q353" s="68">
        <v>8.2605071444135203E-2</v>
      </c>
    </row>
    <row r="354" spans="1:17" x14ac:dyDescent="0.35">
      <c r="A354" s="62" t="s">
        <v>136</v>
      </c>
      <c r="B354" s="63">
        <v>736499</v>
      </c>
      <c r="C354" s="63" t="s">
        <v>140</v>
      </c>
      <c r="D354" s="64">
        <v>42650</v>
      </c>
      <c r="E354" s="63" t="s">
        <v>138</v>
      </c>
      <c r="F354" s="65">
        <v>53079</v>
      </c>
      <c r="G354" s="66">
        <v>8.3301417081577903E-3</v>
      </c>
      <c r="H354" s="65">
        <v>208</v>
      </c>
      <c r="I354" s="67">
        <v>0.43390803801259797</v>
      </c>
      <c r="J354" s="67">
        <v>3.6145154449536601</v>
      </c>
      <c r="K354" s="65">
        <v>86</v>
      </c>
      <c r="L354" s="65">
        <v>22</v>
      </c>
      <c r="M354" s="66">
        <v>1.1494252873563199E-2</v>
      </c>
      <c r="N354" s="67">
        <v>426.25485228413402</v>
      </c>
      <c r="O354" s="67">
        <v>213.12742614206701</v>
      </c>
      <c r="P354" s="67">
        <v>75.499998614191995</v>
      </c>
      <c r="Q354" s="68">
        <v>0.17712408013566699</v>
      </c>
    </row>
    <row r="355" spans="1:17" x14ac:dyDescent="0.35">
      <c r="A355" s="62" t="s">
        <v>136</v>
      </c>
      <c r="B355" s="63">
        <v>736499</v>
      </c>
      <c r="C355" s="63" t="s">
        <v>140</v>
      </c>
      <c r="D355" s="64">
        <v>42651</v>
      </c>
      <c r="E355" s="63" t="s">
        <v>138</v>
      </c>
      <c r="F355" s="65">
        <v>55519</v>
      </c>
      <c r="G355" s="66">
        <v>6.5601825442099301E-3</v>
      </c>
      <c r="H355" s="65">
        <v>467</v>
      </c>
      <c r="I355" s="67">
        <v>0.464565209180549</v>
      </c>
      <c r="J355" s="67">
        <v>3.0476325759134699</v>
      </c>
      <c r="K355" s="65">
        <v>65</v>
      </c>
      <c r="L355" s="65">
        <v>15</v>
      </c>
      <c r="M355" s="66">
        <v>5.7971014492753603E-2</v>
      </c>
      <c r="N355" s="67">
        <v>1288.9713860097499</v>
      </c>
      <c r="O355" s="67">
        <v>161.121423251218</v>
      </c>
      <c r="P355" s="67">
        <v>64.109998866915703</v>
      </c>
      <c r="Q355" s="68">
        <v>4.9737332855293401E-2</v>
      </c>
    </row>
    <row r="356" spans="1:17" x14ac:dyDescent="0.35">
      <c r="A356" s="62" t="s">
        <v>136</v>
      </c>
      <c r="B356" s="63">
        <v>736499</v>
      </c>
      <c r="C356" s="63" t="s">
        <v>140</v>
      </c>
      <c r="D356" s="64">
        <v>42652</v>
      </c>
      <c r="E356" s="63" t="s">
        <v>138</v>
      </c>
      <c r="F356" s="65">
        <v>8929</v>
      </c>
      <c r="G356" s="66">
        <v>8.4826534502478092E-3</v>
      </c>
      <c r="H356" s="65">
        <v>559</v>
      </c>
      <c r="I356" s="67">
        <v>0.47601122032390603</v>
      </c>
      <c r="J356" s="67">
        <v>4.0378382204372496</v>
      </c>
      <c r="K356" s="65">
        <v>56</v>
      </c>
      <c r="L356" s="65">
        <v>15</v>
      </c>
      <c r="M356" s="66">
        <v>3.9325842696629199E-2</v>
      </c>
      <c r="N356" s="67">
        <v>300.945569871381</v>
      </c>
      <c r="O356" s="67">
        <v>42.992224267340198</v>
      </c>
      <c r="P356" s="67">
        <v>84.729997217655196</v>
      </c>
      <c r="Q356" s="68">
        <v>0.281545919595584</v>
      </c>
    </row>
    <row r="357" spans="1:17" x14ac:dyDescent="0.35">
      <c r="A357" s="62" t="s">
        <v>136</v>
      </c>
      <c r="B357" s="63">
        <v>736499</v>
      </c>
      <c r="C357" s="63" t="s">
        <v>140</v>
      </c>
      <c r="D357" s="64">
        <v>42653</v>
      </c>
      <c r="E357" s="63" t="s">
        <v>138</v>
      </c>
      <c r="F357" s="65">
        <v>4555</v>
      </c>
      <c r="G357" s="66">
        <v>6.8293495460981096E-3</v>
      </c>
      <c r="H357" s="65">
        <v>397</v>
      </c>
      <c r="I357" s="67">
        <v>0.49640244327303801</v>
      </c>
      <c r="J357" s="67">
        <v>3.3901058006487199</v>
      </c>
      <c r="K357" s="65">
        <v>96</v>
      </c>
      <c r="L357" s="65">
        <v>17</v>
      </c>
      <c r="M357" s="66">
        <v>6.0975609756097601E-2</v>
      </c>
      <c r="N357" s="67">
        <v>1394.22058342792</v>
      </c>
      <c r="O357" s="67">
        <v>139.42205834279201</v>
      </c>
      <c r="P357" s="67">
        <v>81.410000696778297</v>
      </c>
      <c r="Q357" s="68">
        <v>5.8391047775681701E-2</v>
      </c>
    </row>
    <row r="358" spans="1:17" x14ac:dyDescent="0.35">
      <c r="A358" s="62" t="s">
        <v>136</v>
      </c>
      <c r="B358" s="63">
        <v>736499</v>
      </c>
      <c r="C358" s="63" t="s">
        <v>140</v>
      </c>
      <c r="D358" s="64">
        <v>42654</v>
      </c>
      <c r="E358" s="63" t="s">
        <v>138</v>
      </c>
      <c r="F358" s="65">
        <v>54239</v>
      </c>
      <c r="G358" s="66">
        <v>7.1969696969696999E-3</v>
      </c>
      <c r="H358" s="65">
        <v>522</v>
      </c>
      <c r="I358" s="67">
        <v>0.55727273682087797</v>
      </c>
      <c r="J358" s="67">
        <v>4.0106749998472297</v>
      </c>
      <c r="K358" s="65">
        <v>72</v>
      </c>
      <c r="L358" s="65">
        <v>19</v>
      </c>
      <c r="M358" s="66">
        <v>4.3062200956937802E-2</v>
      </c>
      <c r="N358" s="67">
        <v>735.86072884671205</v>
      </c>
      <c r="O358" s="67">
        <v>81.762303205190193</v>
      </c>
      <c r="P358" s="67">
        <v>116.470001995564</v>
      </c>
      <c r="Q358" s="68">
        <v>0.158277235664013</v>
      </c>
    </row>
    <row r="359" spans="1:17" x14ac:dyDescent="0.35">
      <c r="A359" s="62" t="s">
        <v>136</v>
      </c>
      <c r="B359" s="63">
        <v>736499</v>
      </c>
      <c r="C359" s="63" t="s">
        <v>140</v>
      </c>
      <c r="D359" s="64">
        <v>42655</v>
      </c>
      <c r="E359" s="63" t="s">
        <v>138</v>
      </c>
      <c r="F359" s="65">
        <v>32594</v>
      </c>
      <c r="G359" s="66">
        <v>7.9749462874622208E-3</v>
      </c>
      <c r="H359" s="65">
        <v>369</v>
      </c>
      <c r="I359" s="67">
        <v>0.57150685773592602</v>
      </c>
      <c r="J359" s="67">
        <v>4.5577364933603199</v>
      </c>
      <c r="K359" s="65">
        <v>19</v>
      </c>
      <c r="L359" s="65">
        <v>17</v>
      </c>
      <c r="M359" s="66">
        <v>4.1095890410958902E-2</v>
      </c>
      <c r="N359" s="67">
        <v>697.59632766605</v>
      </c>
      <c r="O359" s="67">
        <v>77.510703074005505</v>
      </c>
      <c r="P359" s="67">
        <v>125.16000184416799</v>
      </c>
      <c r="Q359" s="68">
        <v>0.17941608474762999</v>
      </c>
    </row>
    <row r="360" spans="1:17" x14ac:dyDescent="0.35">
      <c r="A360" s="62" t="s">
        <v>136</v>
      </c>
      <c r="B360" s="63">
        <v>736499</v>
      </c>
      <c r="C360" s="63" t="s">
        <v>140</v>
      </c>
      <c r="D360" s="64">
        <v>42656</v>
      </c>
      <c r="E360" s="63" t="s">
        <v>138</v>
      </c>
      <c r="F360" s="65">
        <v>12404</v>
      </c>
      <c r="G360" s="66">
        <v>8.3581243802238296E-3</v>
      </c>
      <c r="H360" s="65">
        <v>308</v>
      </c>
      <c r="I360" s="67">
        <v>0.55977403023148697</v>
      </c>
      <c r="J360" s="67">
        <v>4.6786609694939401</v>
      </c>
      <c r="K360" s="65">
        <v>39</v>
      </c>
      <c r="L360" s="65">
        <v>14</v>
      </c>
      <c r="M360" s="66">
        <v>3.3898305084745797E-2</v>
      </c>
      <c r="N360" s="67">
        <v>517.80664950303697</v>
      </c>
      <c r="O360" s="67">
        <v>86.301108250506203</v>
      </c>
      <c r="P360" s="67">
        <v>99.080003350973101</v>
      </c>
      <c r="Q360" s="68">
        <v>0.19134556005811201</v>
      </c>
    </row>
    <row r="361" spans="1:17" x14ac:dyDescent="0.35">
      <c r="A361" s="62" t="s">
        <v>136</v>
      </c>
      <c r="B361" s="63">
        <v>736499</v>
      </c>
      <c r="C361" s="63" t="s">
        <v>140</v>
      </c>
      <c r="D361" s="64">
        <v>42657</v>
      </c>
      <c r="E361" s="63" t="s">
        <v>138</v>
      </c>
      <c r="F361" s="65">
        <v>26208</v>
      </c>
      <c r="G361" s="66">
        <v>7.2171116595617403E-3</v>
      </c>
      <c r="H361" s="65">
        <v>403</v>
      </c>
      <c r="I361" s="67">
        <v>0.55015545172394897</v>
      </c>
      <c r="J361" s="67">
        <v>3.9705333252083599</v>
      </c>
      <c r="K361" s="65">
        <v>95</v>
      </c>
      <c r="L361" s="65">
        <v>25</v>
      </c>
      <c r="M361" s="66">
        <v>5.6994818652849701E-2</v>
      </c>
      <c r="N361" s="67">
        <v>1214.6076156546101</v>
      </c>
      <c r="O361" s="67">
        <v>110.418874150419</v>
      </c>
      <c r="P361" s="67">
        <v>106.18000218272201</v>
      </c>
      <c r="Q361" s="68">
        <v>8.7419180329687499E-2</v>
      </c>
    </row>
    <row r="362" spans="1:17" x14ac:dyDescent="0.35">
      <c r="A362" s="62" t="s">
        <v>136</v>
      </c>
      <c r="B362" s="63">
        <v>736499</v>
      </c>
      <c r="C362" s="63" t="s">
        <v>140</v>
      </c>
      <c r="D362" s="64">
        <v>42658</v>
      </c>
      <c r="E362" s="63" t="s">
        <v>138</v>
      </c>
      <c r="F362" s="65">
        <v>54810</v>
      </c>
      <c r="G362" s="66">
        <v>6.7298754415318802E-3</v>
      </c>
      <c r="H362" s="65">
        <v>205</v>
      </c>
      <c r="I362" s="67">
        <v>0.45441989081999201</v>
      </c>
      <c r="J362" s="67">
        <v>3.0581892633730599</v>
      </c>
      <c r="K362" s="65">
        <v>83</v>
      </c>
      <c r="L362" s="65">
        <v>25</v>
      </c>
      <c r="M362" s="66">
        <v>4.4198895027624301E-2</v>
      </c>
      <c r="N362" s="67">
        <v>2095.8818956161399</v>
      </c>
      <c r="O362" s="67">
        <v>261.98523695201698</v>
      </c>
      <c r="P362" s="67">
        <v>82.250000238418593</v>
      </c>
      <c r="Q362" s="68">
        <v>3.9243623608017801E-2</v>
      </c>
    </row>
    <row r="363" spans="1:17" x14ac:dyDescent="0.35">
      <c r="A363" s="62" t="s">
        <v>136</v>
      </c>
      <c r="B363" s="63">
        <v>736499</v>
      </c>
      <c r="C363" s="63" t="s">
        <v>140</v>
      </c>
      <c r="D363" s="64">
        <v>42659</v>
      </c>
      <c r="E363" s="63" t="s">
        <v>138</v>
      </c>
      <c r="F363" s="65">
        <v>26156</v>
      </c>
      <c r="G363" s="66">
        <v>5.8680603309952803E-3</v>
      </c>
      <c r="H363" s="65">
        <v>395</v>
      </c>
      <c r="I363" s="67">
        <v>0.41843750304542499</v>
      </c>
      <c r="J363" s="67">
        <v>2.4554165126215701</v>
      </c>
      <c r="K363" s="65">
        <v>8</v>
      </c>
      <c r="L363" s="65">
        <v>23</v>
      </c>
      <c r="M363" s="66">
        <v>7.8125E-2</v>
      </c>
      <c r="N363" s="67">
        <v>690.01279731823297</v>
      </c>
      <c r="O363" s="67">
        <v>69.001279731823303</v>
      </c>
      <c r="P363" s="67">
        <v>53.560000389814398</v>
      </c>
      <c r="Q363" s="68">
        <v>7.7621749332733803E-2</v>
      </c>
    </row>
    <row r="364" spans="1:17" x14ac:dyDescent="0.35">
      <c r="A364" s="62" t="s">
        <v>136</v>
      </c>
      <c r="B364" s="63">
        <v>736499</v>
      </c>
      <c r="C364" s="63" t="s">
        <v>140</v>
      </c>
      <c r="D364" s="64">
        <v>42660</v>
      </c>
      <c r="E364" s="63" t="s">
        <v>138</v>
      </c>
      <c r="F364" s="65">
        <v>42956</v>
      </c>
      <c r="G364" s="66">
        <v>7.1540743325772104E-3</v>
      </c>
      <c r="H364" s="65">
        <v>548</v>
      </c>
      <c r="I364" s="67">
        <v>0.54786586080019095</v>
      </c>
      <c r="J364" s="67">
        <v>3.9194730924459602</v>
      </c>
      <c r="K364" s="65">
        <v>49</v>
      </c>
      <c r="L364" s="65">
        <v>8</v>
      </c>
      <c r="M364" s="66">
        <v>2.4390243902439001E-2</v>
      </c>
      <c r="N364" s="67">
        <v>193.221983702286</v>
      </c>
      <c r="O364" s="67">
        <v>48.305495925571599</v>
      </c>
      <c r="P364" s="67">
        <v>89.850001171231298</v>
      </c>
      <c r="Q364" s="68">
        <v>0.46500920573132498</v>
      </c>
    </row>
    <row r="365" spans="1:17" x14ac:dyDescent="0.35">
      <c r="A365" s="62" t="s">
        <v>136</v>
      </c>
      <c r="B365" s="63">
        <v>736499</v>
      </c>
      <c r="C365" s="63" t="s">
        <v>140</v>
      </c>
      <c r="D365" s="64">
        <v>42661</v>
      </c>
      <c r="E365" s="63" t="s">
        <v>138</v>
      </c>
      <c r="F365" s="65">
        <v>14265</v>
      </c>
      <c r="G365" s="66">
        <v>5.9817198640953204E-3</v>
      </c>
      <c r="H365" s="65">
        <v>301</v>
      </c>
      <c r="I365" s="67">
        <v>0.53903999829292304</v>
      </c>
      <c r="J365" s="67">
        <v>3.2243862653306898</v>
      </c>
      <c r="K365" s="65">
        <v>21</v>
      </c>
      <c r="L365" s="65">
        <v>15</v>
      </c>
      <c r="M365" s="66">
        <v>0.08</v>
      </c>
      <c r="N365" s="67">
        <v>1064.8441685514399</v>
      </c>
      <c r="O365" s="67">
        <v>106.484416855144</v>
      </c>
      <c r="P365" s="67">
        <v>67.3799997866154</v>
      </c>
      <c r="Q365" s="68">
        <v>6.3276864142737005E-2</v>
      </c>
    </row>
    <row r="366" spans="1:17" x14ac:dyDescent="0.35">
      <c r="A366" s="62" t="s">
        <v>136</v>
      </c>
      <c r="B366" s="63">
        <v>736499</v>
      </c>
      <c r="C366" s="63" t="s">
        <v>140</v>
      </c>
      <c r="D366" s="64">
        <v>42662</v>
      </c>
      <c r="E366" s="63" t="s">
        <v>138</v>
      </c>
      <c r="F366" s="65">
        <v>18871</v>
      </c>
      <c r="G366" s="66">
        <v>7.51137672021492E-3</v>
      </c>
      <c r="H366" s="65">
        <v>443</v>
      </c>
      <c r="I366" s="67">
        <v>0.51540145506388901</v>
      </c>
      <c r="J366" s="67">
        <v>3.8713744911318</v>
      </c>
      <c r="K366" s="65">
        <v>54</v>
      </c>
      <c r="L366" s="65">
        <v>17</v>
      </c>
      <c r="M366" s="66">
        <v>7.2992700729927001E-2</v>
      </c>
      <c r="N366" s="67">
        <v>766.71702316516098</v>
      </c>
      <c r="O366" s="67">
        <v>76.671702316516104</v>
      </c>
      <c r="P366" s="67">
        <v>70.609999343752904</v>
      </c>
      <c r="Q366" s="68">
        <v>9.2093950193332996E-2</v>
      </c>
    </row>
    <row r="367" spans="1:17" x14ac:dyDescent="0.35">
      <c r="A367" s="62" t="s">
        <v>136</v>
      </c>
      <c r="B367" s="63">
        <v>736499</v>
      </c>
      <c r="C367" s="63" t="s">
        <v>140</v>
      </c>
      <c r="D367" s="64">
        <v>42663</v>
      </c>
      <c r="E367" s="63" t="s">
        <v>138</v>
      </c>
      <c r="F367" s="65">
        <v>58745</v>
      </c>
      <c r="G367" s="66">
        <v>8.8148148148148205E-3</v>
      </c>
      <c r="H367" s="65">
        <v>499</v>
      </c>
      <c r="I367" s="67">
        <v>0.50420166977814296</v>
      </c>
      <c r="J367" s="67">
        <v>4.4444443484147396</v>
      </c>
      <c r="K367" s="65">
        <v>18</v>
      </c>
      <c r="L367" s="65">
        <v>17</v>
      </c>
      <c r="M367" s="66">
        <v>5.8823529411764698E-2</v>
      </c>
      <c r="N367" s="67">
        <v>426.48025012429298</v>
      </c>
      <c r="O367" s="67">
        <v>60.925750017756101</v>
      </c>
      <c r="P367" s="67">
        <v>59.999998703598997</v>
      </c>
      <c r="Q367" s="68">
        <v>0.14068646481545799</v>
      </c>
    </row>
    <row r="368" spans="1:17" x14ac:dyDescent="0.35">
      <c r="A368" s="62" t="s">
        <v>136</v>
      </c>
      <c r="B368" s="63">
        <v>736499</v>
      </c>
      <c r="C368" s="63" t="s">
        <v>140</v>
      </c>
      <c r="D368" s="64">
        <v>42664</v>
      </c>
      <c r="E368" s="63" t="s">
        <v>138</v>
      </c>
      <c r="F368" s="65">
        <v>2124</v>
      </c>
      <c r="G368" s="66">
        <v>7.34983079526227E-3</v>
      </c>
      <c r="H368" s="65">
        <v>458</v>
      </c>
      <c r="I368" s="67">
        <v>0.49345323389811502</v>
      </c>
      <c r="J368" s="67">
        <v>3.62679777452612</v>
      </c>
      <c r="K368" s="65">
        <v>77</v>
      </c>
      <c r="L368" s="65">
        <v>21</v>
      </c>
      <c r="M368" s="66">
        <v>4.3165467625899297E-2</v>
      </c>
      <c r="N368" s="67">
        <v>493.44917370178302</v>
      </c>
      <c r="O368" s="67">
        <v>82.241528950297194</v>
      </c>
      <c r="P368" s="67">
        <v>68.589999511838002</v>
      </c>
      <c r="Q368" s="68">
        <v>0.13900114371919201</v>
      </c>
    </row>
    <row r="369" spans="1:17" x14ac:dyDescent="0.35">
      <c r="A369" s="62" t="s">
        <v>136</v>
      </c>
      <c r="B369" s="63">
        <v>736499</v>
      </c>
      <c r="C369" s="63" t="s">
        <v>140</v>
      </c>
      <c r="D369" s="64">
        <v>42665</v>
      </c>
      <c r="E369" s="63" t="s">
        <v>138</v>
      </c>
      <c r="F369" s="65">
        <v>62273</v>
      </c>
      <c r="G369" s="66">
        <v>6.3813356094785199E-3</v>
      </c>
      <c r="H369" s="65">
        <v>581</v>
      </c>
      <c r="I369" s="67">
        <v>0.52777069446387603</v>
      </c>
      <c r="J369" s="67">
        <v>3.36788192622154</v>
      </c>
      <c r="K369" s="65">
        <v>90</v>
      </c>
      <c r="L369" s="65">
        <v>19</v>
      </c>
      <c r="M369" s="66">
        <v>3.1847133757961797E-2</v>
      </c>
      <c r="N369" s="67">
        <v>327.47970363958098</v>
      </c>
      <c r="O369" s="67">
        <v>65.495940727916206</v>
      </c>
      <c r="P369" s="67">
        <v>82.859999030828504</v>
      </c>
      <c r="Q369" s="68">
        <v>0.25302331139893403</v>
      </c>
    </row>
    <row r="370" spans="1:17" x14ac:dyDescent="0.35">
      <c r="A370" s="62" t="s">
        <v>136</v>
      </c>
      <c r="B370" s="63">
        <v>736499</v>
      </c>
      <c r="C370" s="63" t="s">
        <v>140</v>
      </c>
      <c r="D370" s="64">
        <v>42666</v>
      </c>
      <c r="E370" s="63" t="s">
        <v>138</v>
      </c>
      <c r="F370" s="65">
        <v>65205</v>
      </c>
      <c r="G370" s="66">
        <v>6.89871433051113E-3</v>
      </c>
      <c r="H370" s="65">
        <v>267</v>
      </c>
      <c r="I370" s="67">
        <v>0.509480514696666</v>
      </c>
      <c r="J370" s="67">
        <v>3.5147605278540799</v>
      </c>
      <c r="K370" s="65">
        <v>76</v>
      </c>
      <c r="L370" s="65">
        <v>18</v>
      </c>
      <c r="M370" s="66">
        <v>6.4935064935064901E-2</v>
      </c>
      <c r="N370" s="67">
        <v>1557.69131047939</v>
      </c>
      <c r="O370" s="67">
        <v>155.769131047939</v>
      </c>
      <c r="P370" s="67">
        <v>78.459999263286605</v>
      </c>
      <c r="Q370" s="68">
        <v>5.0369414488895099E-2</v>
      </c>
    </row>
    <row r="371" spans="1:17" x14ac:dyDescent="0.35">
      <c r="A371" s="62" t="s">
        <v>136</v>
      </c>
      <c r="B371" s="63">
        <v>736499</v>
      </c>
      <c r="C371" s="63" t="s">
        <v>140</v>
      </c>
      <c r="D371" s="64">
        <v>42667</v>
      </c>
      <c r="E371" s="63" t="s">
        <v>138</v>
      </c>
      <c r="F371" s="65">
        <v>39380</v>
      </c>
      <c r="G371" s="66">
        <v>6.9859439441124502E-3</v>
      </c>
      <c r="H371" s="65">
        <v>276</v>
      </c>
      <c r="I371" s="67">
        <v>0.50331325003181604</v>
      </c>
      <c r="J371" s="67">
        <v>3.51611815105132</v>
      </c>
      <c r="K371" s="65">
        <v>49</v>
      </c>
      <c r="L371" s="65">
        <v>15</v>
      </c>
      <c r="M371" s="66">
        <v>3.6144578313252997E-2</v>
      </c>
      <c r="N371" s="67">
        <v>664.10393713219298</v>
      </c>
      <c r="O371" s="67">
        <v>110.68398952203199</v>
      </c>
      <c r="P371" s="67">
        <v>83.549999505281406</v>
      </c>
      <c r="Q371" s="68">
        <v>0.12580861945507599</v>
      </c>
    </row>
    <row r="372" spans="1:17" x14ac:dyDescent="0.35">
      <c r="A372" s="62" t="s">
        <v>136</v>
      </c>
      <c r="B372" s="63">
        <v>736499</v>
      </c>
      <c r="C372" s="63" t="s">
        <v>140</v>
      </c>
      <c r="D372" s="64">
        <v>42668</v>
      </c>
      <c r="E372" s="63" t="s">
        <v>138</v>
      </c>
      <c r="F372" s="65">
        <v>65670</v>
      </c>
      <c r="G372" s="66">
        <v>7.1207561564870896E-3</v>
      </c>
      <c r="H372" s="65">
        <v>176</v>
      </c>
      <c r="I372" s="67">
        <v>0.48541666283494</v>
      </c>
      <c r="J372" s="67">
        <v>3.4565336903433201</v>
      </c>
      <c r="K372" s="65">
        <v>78</v>
      </c>
      <c r="L372" s="65">
        <v>16</v>
      </c>
      <c r="M372" s="66">
        <v>4.1666666666666699E-2</v>
      </c>
      <c r="N372" s="67">
        <v>1164.9469791599799</v>
      </c>
      <c r="O372" s="67">
        <v>166.42099702285401</v>
      </c>
      <c r="P372" s="67">
        <v>81.549999356269794</v>
      </c>
      <c r="Q372" s="68">
        <v>7.0003185393960193E-2</v>
      </c>
    </row>
    <row r="373" spans="1:17" x14ac:dyDescent="0.35">
      <c r="A373" s="62" t="s">
        <v>136</v>
      </c>
      <c r="B373" s="63">
        <v>736499</v>
      </c>
      <c r="C373" s="63" t="s">
        <v>140</v>
      </c>
      <c r="D373" s="64">
        <v>42669</v>
      </c>
      <c r="E373" s="63" t="s">
        <v>138</v>
      </c>
      <c r="F373" s="65">
        <v>6421</v>
      </c>
      <c r="G373" s="66">
        <v>6.8936703572174598E-3</v>
      </c>
      <c r="H373" s="65">
        <v>539</v>
      </c>
      <c r="I373" s="67">
        <v>0.46521211546478802</v>
      </c>
      <c r="J373" s="67">
        <v>3.2070189701980398</v>
      </c>
      <c r="K373" s="65">
        <v>95</v>
      </c>
      <c r="L373" s="65">
        <v>23</v>
      </c>
      <c r="M373" s="66">
        <v>7.8787878787878796E-2</v>
      </c>
      <c r="N373" s="67">
        <v>1216.33672933353</v>
      </c>
      <c r="O373" s="67">
        <v>93.564363794886603</v>
      </c>
      <c r="P373" s="67">
        <v>76.759999051690102</v>
      </c>
      <c r="Q373" s="68">
        <v>6.3107523764204296E-2</v>
      </c>
    </row>
    <row r="374" spans="1:17" x14ac:dyDescent="0.35">
      <c r="A374" s="62" t="s">
        <v>136</v>
      </c>
      <c r="B374" s="63">
        <v>736499</v>
      </c>
      <c r="C374" s="63" t="s">
        <v>140</v>
      </c>
      <c r="D374" s="64">
        <v>42670</v>
      </c>
      <c r="E374" s="63" t="s">
        <v>138</v>
      </c>
      <c r="F374" s="65">
        <v>16487</v>
      </c>
      <c r="G374" s="66">
        <v>9.1066782307025092E-3</v>
      </c>
      <c r="H374" s="65">
        <v>597</v>
      </c>
      <c r="I374" s="67">
        <v>0.49804761736165898</v>
      </c>
      <c r="J374" s="67">
        <v>4.5355593948806803</v>
      </c>
      <c r="K374" s="65">
        <v>52</v>
      </c>
      <c r="L374" s="65">
        <v>17</v>
      </c>
      <c r="M374" s="66">
        <v>1.9047619047619001E-2</v>
      </c>
      <c r="N374" s="67">
        <v>226.758570585119</v>
      </c>
      <c r="O374" s="67">
        <v>56.6896426462799</v>
      </c>
      <c r="P374" s="67">
        <v>104.589999645948</v>
      </c>
      <c r="Q374" s="68">
        <v>0.461239455585155</v>
      </c>
    </row>
    <row r="375" spans="1:17" x14ac:dyDescent="0.35">
      <c r="A375" s="62" t="s">
        <v>136</v>
      </c>
      <c r="B375" s="63">
        <v>736499</v>
      </c>
      <c r="C375" s="63" t="s">
        <v>140</v>
      </c>
      <c r="D375" s="64">
        <v>42671</v>
      </c>
      <c r="E375" s="63" t="s">
        <v>138</v>
      </c>
      <c r="F375" s="65">
        <v>10847</v>
      </c>
      <c r="G375" s="66">
        <v>8.2171577062190495E-3</v>
      </c>
      <c r="H375" s="65">
        <v>547</v>
      </c>
      <c r="I375" s="67">
        <v>0.54457264298047803</v>
      </c>
      <c r="J375" s="67">
        <v>4.4748392898631097</v>
      </c>
      <c r="K375" s="65">
        <v>23</v>
      </c>
      <c r="L375" s="65">
        <v>41</v>
      </c>
      <c r="M375" s="66">
        <v>7.2649572649572697E-2</v>
      </c>
      <c r="N375" s="67">
        <v>3487.70133511006</v>
      </c>
      <c r="O375" s="67">
        <v>205.15890206529801</v>
      </c>
      <c r="P375" s="67">
        <v>127.42999845743201</v>
      </c>
      <c r="Q375" s="68">
        <v>3.65369583612613E-2</v>
      </c>
    </row>
    <row r="376" spans="1:17" x14ac:dyDescent="0.35">
      <c r="A376" s="62" t="s">
        <v>136</v>
      </c>
      <c r="B376" s="63">
        <v>736499</v>
      </c>
      <c r="C376" s="63" t="s">
        <v>140</v>
      </c>
      <c r="D376" s="64">
        <v>42672</v>
      </c>
      <c r="E376" s="63" t="s">
        <v>138</v>
      </c>
      <c r="F376" s="65">
        <v>21683</v>
      </c>
      <c r="G376" s="66">
        <v>7.8981246303190603E-3</v>
      </c>
      <c r="H376" s="65">
        <v>185</v>
      </c>
      <c r="I376" s="67">
        <v>0.53656386580761295</v>
      </c>
      <c r="J376" s="67">
        <v>4.2378482842743201</v>
      </c>
      <c r="K376" s="65">
        <v>60</v>
      </c>
      <c r="L376" s="65">
        <v>40</v>
      </c>
      <c r="M376" s="66">
        <v>5.2863436123347998E-2</v>
      </c>
      <c r="N376" s="67">
        <v>1510.9098602327299</v>
      </c>
      <c r="O376" s="67">
        <v>125.90915501939401</v>
      </c>
      <c r="P376" s="67">
        <v>121.799997538328</v>
      </c>
      <c r="Q376" s="68">
        <v>8.0613675735471804E-2</v>
      </c>
    </row>
    <row r="377" spans="1:17" x14ac:dyDescent="0.35">
      <c r="A377" s="62" t="s">
        <v>136</v>
      </c>
      <c r="B377" s="63">
        <v>736499</v>
      </c>
      <c r="C377" s="63" t="s">
        <v>140</v>
      </c>
      <c r="D377" s="64">
        <v>42673</v>
      </c>
      <c r="E377" s="63" t="s">
        <v>138</v>
      </c>
      <c r="F377" s="65">
        <v>32644</v>
      </c>
      <c r="G377" s="66">
        <v>7.6198340903119296E-3</v>
      </c>
      <c r="H377" s="65">
        <v>307</v>
      </c>
      <c r="I377" s="67">
        <v>0.53448275531747702</v>
      </c>
      <c r="J377" s="67">
        <v>4.0726699196519602</v>
      </c>
      <c r="K377" s="65">
        <v>78</v>
      </c>
      <c r="L377" s="65">
        <v>10</v>
      </c>
      <c r="M377" s="66">
        <v>2.4630541871921201E-2</v>
      </c>
      <c r="N377" s="67">
        <v>593.06049987426195</v>
      </c>
      <c r="O377" s="67">
        <v>118.612099974852</v>
      </c>
      <c r="P377" s="67">
        <v>108.499999329448</v>
      </c>
      <c r="Q377" s="68">
        <v>0.18294929328871401</v>
      </c>
    </row>
    <row r="378" spans="1:17" x14ac:dyDescent="0.35">
      <c r="A378" s="62" t="s">
        <v>136</v>
      </c>
      <c r="B378" s="63">
        <v>736499</v>
      </c>
      <c r="C378" s="63" t="s">
        <v>140</v>
      </c>
      <c r="D378" s="64">
        <v>42674</v>
      </c>
      <c r="E378" s="63" t="s">
        <v>138</v>
      </c>
      <c r="F378" s="65">
        <v>31604</v>
      </c>
      <c r="G378" s="66">
        <v>7.4149521287431202E-3</v>
      </c>
      <c r="H378" s="65">
        <v>368</v>
      </c>
      <c r="I378" s="67">
        <v>0.54082416939538902</v>
      </c>
      <c r="J378" s="67">
        <v>4.0101853261340699</v>
      </c>
      <c r="K378" s="65">
        <v>78</v>
      </c>
      <c r="L378" s="65">
        <v>29</v>
      </c>
      <c r="M378" s="66">
        <v>4.3956043956044001E-2</v>
      </c>
      <c r="N378" s="67">
        <v>866.42340157469403</v>
      </c>
      <c r="O378" s="67">
        <v>108.30292519683699</v>
      </c>
      <c r="P378" s="67">
        <v>98.429998829960795</v>
      </c>
      <c r="Q378" s="68">
        <v>0.11360496340596</v>
      </c>
    </row>
    <row r="379" spans="1:17" x14ac:dyDescent="0.35">
      <c r="A379" s="62" t="s">
        <v>136</v>
      </c>
      <c r="B379" s="63">
        <v>736499</v>
      </c>
      <c r="C379" s="63" t="s">
        <v>140</v>
      </c>
      <c r="D379" s="64">
        <v>42675</v>
      </c>
      <c r="E379" s="63" t="s">
        <v>138</v>
      </c>
      <c r="F379" s="65">
        <v>56616</v>
      </c>
      <c r="G379" s="66">
        <v>8.2884730411005702E-3</v>
      </c>
      <c r="H379" s="65">
        <v>545</v>
      </c>
      <c r="I379" s="67">
        <v>0.50742267248864004</v>
      </c>
      <c r="J379" s="67">
        <v>4.2057591413653004</v>
      </c>
      <c r="K379" s="65">
        <v>43</v>
      </c>
      <c r="L379" s="65">
        <v>16</v>
      </c>
      <c r="M379" s="66">
        <v>1.54639175257732E-2</v>
      </c>
      <c r="N379" s="67">
        <v>314.11276136703702</v>
      </c>
      <c r="O379" s="67">
        <v>104.704253789012</v>
      </c>
      <c r="P379" s="67">
        <v>98.439998462796197</v>
      </c>
      <c r="Q379" s="68">
        <v>0.31339063728063599</v>
      </c>
    </row>
    <row r="380" spans="1:17" x14ac:dyDescent="0.35">
      <c r="A380" s="62" t="s">
        <v>136</v>
      </c>
      <c r="B380" s="63">
        <v>736499</v>
      </c>
      <c r="C380" s="63" t="s">
        <v>140</v>
      </c>
      <c r="D380" s="64">
        <v>42676</v>
      </c>
      <c r="E380" s="63" t="s">
        <v>138</v>
      </c>
      <c r="F380" s="65">
        <v>64199</v>
      </c>
      <c r="G380" s="66">
        <v>7.9684725650686402E-3</v>
      </c>
      <c r="H380" s="65">
        <v>488</v>
      </c>
      <c r="I380" s="67">
        <v>0.46054347337264101</v>
      </c>
      <c r="J380" s="67">
        <v>3.66982803259131</v>
      </c>
      <c r="K380" s="65">
        <v>97</v>
      </c>
      <c r="L380" s="65">
        <v>24</v>
      </c>
      <c r="M380" s="66">
        <v>5.9782608695652197E-2</v>
      </c>
      <c r="N380" s="67">
        <v>1522.07939394711</v>
      </c>
      <c r="O380" s="67">
        <v>138.37085399519199</v>
      </c>
      <c r="P380" s="67">
        <v>84.739999100565896</v>
      </c>
      <c r="Q380" s="68">
        <v>5.5673836356732398E-2</v>
      </c>
    </row>
    <row r="381" spans="1:17" x14ac:dyDescent="0.35">
      <c r="A381" s="62" t="s">
        <v>136</v>
      </c>
      <c r="B381" s="63">
        <v>736499</v>
      </c>
      <c r="C381" s="63" t="s">
        <v>140</v>
      </c>
      <c r="D381" s="64">
        <v>42677</v>
      </c>
      <c r="E381" s="63" t="s">
        <v>138</v>
      </c>
      <c r="F381" s="65">
        <v>59713</v>
      </c>
      <c r="G381" s="66">
        <v>7.8198465726305403E-3</v>
      </c>
      <c r="H381" s="65">
        <v>357</v>
      </c>
      <c r="I381" s="67">
        <v>0.46392404448382502</v>
      </c>
      <c r="J381" s="67">
        <v>3.6278148492177298</v>
      </c>
      <c r="K381" s="65">
        <v>66</v>
      </c>
      <c r="L381" s="65">
        <v>12</v>
      </c>
      <c r="M381" s="66">
        <v>5.6962025316455701E-2</v>
      </c>
      <c r="N381" s="67">
        <v>497.96684254349299</v>
      </c>
      <c r="O381" s="67">
        <v>55.329649171499199</v>
      </c>
      <c r="P381" s="67">
        <v>73.299999028444304</v>
      </c>
      <c r="Q381" s="68">
        <v>0.147198553731099</v>
      </c>
    </row>
    <row r="382" spans="1:17" x14ac:dyDescent="0.35">
      <c r="A382" s="62" t="s">
        <v>136</v>
      </c>
      <c r="B382" s="63">
        <v>736499</v>
      </c>
      <c r="C382" s="63" t="s">
        <v>140</v>
      </c>
      <c r="D382" s="64">
        <v>42678</v>
      </c>
      <c r="E382" s="63" t="s">
        <v>138</v>
      </c>
      <c r="F382" s="65">
        <v>7033</v>
      </c>
      <c r="G382" s="66">
        <v>6.3220813057971604E-3</v>
      </c>
      <c r="H382" s="65">
        <v>557</v>
      </c>
      <c r="I382" s="67">
        <v>0.47424241774009901</v>
      </c>
      <c r="J382" s="67">
        <v>2.9981991236107302</v>
      </c>
      <c r="K382" s="65">
        <v>75</v>
      </c>
      <c r="L382" s="65">
        <v>19</v>
      </c>
      <c r="M382" s="66">
        <v>1.8181818181818198E-2</v>
      </c>
      <c r="N382" s="67">
        <v>147.970156772434</v>
      </c>
      <c r="O382" s="67">
        <v>49.323385590811398</v>
      </c>
      <c r="P382" s="67">
        <v>78.249998927116394</v>
      </c>
      <c r="Q382" s="68">
        <v>0.52882284261858503</v>
      </c>
    </row>
    <row r="383" spans="1:17" x14ac:dyDescent="0.35">
      <c r="A383" s="62" t="s">
        <v>136</v>
      </c>
      <c r="B383" s="63">
        <v>658393</v>
      </c>
      <c r="C383" s="63" t="s">
        <v>141</v>
      </c>
      <c r="D383" s="64">
        <v>42552</v>
      </c>
      <c r="E383" s="63" t="s">
        <v>138</v>
      </c>
      <c r="F383" s="65">
        <v>63759</v>
      </c>
      <c r="G383" s="66">
        <v>9.7601715813454698E-3</v>
      </c>
      <c r="H383" s="65">
        <v>259</v>
      </c>
      <c r="I383" s="67">
        <v>0.211470898704816</v>
      </c>
      <c r="J383" s="67">
        <v>2.0639922558203301</v>
      </c>
      <c r="K383" s="65">
        <v>36</v>
      </c>
      <c r="L383" s="65">
        <v>41</v>
      </c>
      <c r="M383" s="66">
        <v>5.8227848101265797E-3</v>
      </c>
      <c r="N383" s="67">
        <v>2946.8407038635</v>
      </c>
      <c r="O383" s="67">
        <v>128.12350886363001</v>
      </c>
      <c r="P383" s="67">
        <v>835.31004988402105</v>
      </c>
      <c r="Q383" s="68">
        <v>0.28345951947415299</v>
      </c>
    </row>
    <row r="384" spans="1:17" x14ac:dyDescent="0.35">
      <c r="A384" s="62" t="s">
        <v>136</v>
      </c>
      <c r="B384" s="63">
        <v>658393</v>
      </c>
      <c r="C384" s="63" t="s">
        <v>141</v>
      </c>
      <c r="D384" s="64">
        <v>42553</v>
      </c>
      <c r="E384" s="63" t="s">
        <v>138</v>
      </c>
      <c r="F384" s="65">
        <v>6797</v>
      </c>
      <c r="G384" s="66">
        <v>8.7242159653152206E-3</v>
      </c>
      <c r="H384" s="65">
        <v>578</v>
      </c>
      <c r="I384" s="67">
        <v>0.20625967871377199</v>
      </c>
      <c r="J384" s="67">
        <v>1.79945398203547</v>
      </c>
      <c r="K384" s="65">
        <v>82</v>
      </c>
      <c r="L384" s="65">
        <v>35</v>
      </c>
      <c r="M384" s="66">
        <v>5.80110497237569E-3</v>
      </c>
      <c r="N384" s="67">
        <v>1435.7334156417201</v>
      </c>
      <c r="O384" s="67">
        <v>68.368257887701006</v>
      </c>
      <c r="P384" s="67">
        <v>746.66003694385302</v>
      </c>
      <c r="Q384" s="68">
        <v>0.52005478789397896</v>
      </c>
    </row>
    <row r="385" spans="1:17" x14ac:dyDescent="0.35">
      <c r="A385" s="62" t="s">
        <v>136</v>
      </c>
      <c r="B385" s="63">
        <v>658393</v>
      </c>
      <c r="C385" s="63" t="s">
        <v>141</v>
      </c>
      <c r="D385" s="64">
        <v>42554</v>
      </c>
      <c r="E385" s="63" t="s">
        <v>138</v>
      </c>
      <c r="F385" s="65">
        <v>8358</v>
      </c>
      <c r="G385" s="66">
        <v>8.6760765682401993E-3</v>
      </c>
      <c r="H385" s="65">
        <v>261</v>
      </c>
      <c r="I385" s="67">
        <v>0.193403382351238</v>
      </c>
      <c r="J385" s="67">
        <v>1.6779825538359801</v>
      </c>
      <c r="K385" s="65">
        <v>15</v>
      </c>
      <c r="L385" s="65">
        <v>27</v>
      </c>
      <c r="M385" s="66">
        <v>4.1388092964024202E-3</v>
      </c>
      <c r="N385" s="67">
        <v>1493.7764861134699</v>
      </c>
      <c r="O385" s="67">
        <v>114.90588354719</v>
      </c>
      <c r="P385" s="67">
        <v>607.48002396523998</v>
      </c>
      <c r="Q385" s="68">
        <v>0.40667397673784</v>
      </c>
    </row>
    <row r="386" spans="1:17" x14ac:dyDescent="0.35">
      <c r="A386" s="62" t="s">
        <v>136</v>
      </c>
      <c r="B386" s="63">
        <v>658393</v>
      </c>
      <c r="C386" s="63" t="s">
        <v>141</v>
      </c>
      <c r="D386" s="64">
        <v>42555</v>
      </c>
      <c r="E386" s="63" t="s">
        <v>138</v>
      </c>
      <c r="F386" s="65">
        <v>54947</v>
      </c>
      <c r="G386" s="66">
        <v>9.0411641550524093E-3</v>
      </c>
      <c r="H386" s="65">
        <v>164</v>
      </c>
      <c r="I386" s="67">
        <v>0.19317466894974</v>
      </c>
      <c r="J386" s="67">
        <v>1.7465238925725</v>
      </c>
      <c r="K386" s="65">
        <v>62</v>
      </c>
      <c r="L386" s="65">
        <v>24</v>
      </c>
      <c r="M386" s="66">
        <v>4.6528274874731599E-3</v>
      </c>
      <c r="N386" s="67">
        <v>1675.03676446227</v>
      </c>
      <c r="O386" s="67">
        <v>128.848981881713</v>
      </c>
      <c r="P386" s="67">
        <v>539.73002504557405</v>
      </c>
      <c r="Q386" s="68">
        <v>0.32221980824333901</v>
      </c>
    </row>
    <row r="387" spans="1:17" x14ac:dyDescent="0.35">
      <c r="A387" s="62" t="s">
        <v>136</v>
      </c>
      <c r="B387" s="63">
        <v>658393</v>
      </c>
      <c r="C387" s="63" t="s">
        <v>141</v>
      </c>
      <c r="D387" s="64">
        <v>42556</v>
      </c>
      <c r="E387" s="63" t="s">
        <v>138</v>
      </c>
      <c r="F387" s="65">
        <v>55815</v>
      </c>
      <c r="G387" s="66">
        <v>1.01152240854387E-2</v>
      </c>
      <c r="H387" s="65">
        <v>329</v>
      </c>
      <c r="I387" s="67">
        <v>0.20254187417061001</v>
      </c>
      <c r="J387" s="67">
        <v>2.0487564439204502</v>
      </c>
      <c r="K387" s="65">
        <v>77</v>
      </c>
      <c r="L387" s="65">
        <v>28</v>
      </c>
      <c r="M387" s="66">
        <v>6.8699012451696002E-3</v>
      </c>
      <c r="N387" s="67">
        <v>1131.25594919993</v>
      </c>
      <c r="O387" s="67">
        <v>70.703496824995398</v>
      </c>
      <c r="P387" s="67">
        <v>471.72002494335197</v>
      </c>
      <c r="Q387" s="68">
        <v>0.41698788437486001</v>
      </c>
    </row>
    <row r="388" spans="1:17" x14ac:dyDescent="0.35">
      <c r="A388" s="62" t="s">
        <v>136</v>
      </c>
      <c r="B388" s="63">
        <v>658393</v>
      </c>
      <c r="C388" s="63" t="s">
        <v>141</v>
      </c>
      <c r="D388" s="64">
        <v>42557</v>
      </c>
      <c r="E388" s="63" t="s">
        <v>138</v>
      </c>
      <c r="F388" s="65">
        <v>10522</v>
      </c>
      <c r="G388" s="66">
        <v>9.6599219892735191E-3</v>
      </c>
      <c r="H388" s="65">
        <v>241</v>
      </c>
      <c r="I388" s="67">
        <v>0.20489661001214801</v>
      </c>
      <c r="J388" s="67">
        <v>1.9792852685839499</v>
      </c>
      <c r="K388" s="65">
        <v>11</v>
      </c>
      <c r="L388" s="65">
        <v>21</v>
      </c>
      <c r="M388" s="66">
        <v>4.9071153172099502E-3</v>
      </c>
      <c r="N388" s="67">
        <v>2026.2771106568</v>
      </c>
      <c r="O388" s="67">
        <v>144.734079332628</v>
      </c>
      <c r="P388" s="67">
        <v>584.57002836465801</v>
      </c>
      <c r="Q388" s="68">
        <v>0.28849461176372698</v>
      </c>
    </row>
    <row r="389" spans="1:17" x14ac:dyDescent="0.35">
      <c r="A389" s="62" t="s">
        <v>136</v>
      </c>
      <c r="B389" s="63">
        <v>658393</v>
      </c>
      <c r="C389" s="63" t="s">
        <v>141</v>
      </c>
      <c r="D389" s="64">
        <v>42558</v>
      </c>
      <c r="E389" s="63" t="s">
        <v>138</v>
      </c>
      <c r="F389" s="65">
        <v>68333</v>
      </c>
      <c r="G389" s="66">
        <v>1.11050622015905E-2</v>
      </c>
      <c r="H389" s="65">
        <v>184</v>
      </c>
      <c r="I389" s="67">
        <v>0.202159668037279</v>
      </c>
      <c r="J389" s="67">
        <v>2.24499568820687</v>
      </c>
      <c r="K389" s="65">
        <v>63</v>
      </c>
      <c r="L389" s="65">
        <v>22</v>
      </c>
      <c r="M389" s="66">
        <v>4.9685326266975796E-3</v>
      </c>
      <c r="N389" s="67">
        <v>2081.0787699815901</v>
      </c>
      <c r="O389" s="67">
        <v>138.73858466543899</v>
      </c>
      <c r="P389" s="67">
        <v>610.32003780454397</v>
      </c>
      <c r="Q389" s="68">
        <v>0.293270993202215</v>
      </c>
    </row>
    <row r="390" spans="1:17" x14ac:dyDescent="0.35">
      <c r="A390" s="62" t="s">
        <v>136</v>
      </c>
      <c r="B390" s="63">
        <v>658393</v>
      </c>
      <c r="C390" s="63" t="s">
        <v>141</v>
      </c>
      <c r="D390" s="64">
        <v>42559</v>
      </c>
      <c r="E390" s="63" t="s">
        <v>138</v>
      </c>
      <c r="F390" s="65">
        <v>9271</v>
      </c>
      <c r="G390" s="66">
        <v>1.00769966688567E-2</v>
      </c>
      <c r="H390" s="65">
        <v>580</v>
      </c>
      <c r="I390" s="67">
        <v>0.20526452269857901</v>
      </c>
      <c r="J390" s="67">
        <v>2.0684499114680399</v>
      </c>
      <c r="K390" s="65">
        <v>35</v>
      </c>
      <c r="L390" s="65">
        <v>21</v>
      </c>
      <c r="M390" s="66">
        <v>3.4315127251930201E-3</v>
      </c>
      <c r="N390" s="67">
        <v>1408.33261895277</v>
      </c>
      <c r="O390" s="67">
        <v>117.361051579397</v>
      </c>
      <c r="P390" s="67">
        <v>717.81003587692999</v>
      </c>
      <c r="Q390" s="68">
        <v>0.50968785797966698</v>
      </c>
    </row>
    <row r="391" spans="1:17" x14ac:dyDescent="0.35">
      <c r="A391" s="62" t="s">
        <v>136</v>
      </c>
      <c r="B391" s="63">
        <v>658393</v>
      </c>
      <c r="C391" s="63" t="s">
        <v>141</v>
      </c>
      <c r="D391" s="64">
        <v>42560</v>
      </c>
      <c r="E391" s="63" t="s">
        <v>138</v>
      </c>
      <c r="F391" s="65">
        <v>7172</v>
      </c>
      <c r="G391" s="66">
        <v>9.4859539602028895E-3</v>
      </c>
      <c r="H391" s="65">
        <v>197</v>
      </c>
      <c r="I391" s="67">
        <v>0.20884605455623301</v>
      </c>
      <c r="J391" s="67">
        <v>1.98110405829045</v>
      </c>
      <c r="K391" s="65">
        <v>55</v>
      </c>
      <c r="L391" s="65">
        <v>27</v>
      </c>
      <c r="M391" s="66">
        <v>4.2844901456726703E-3</v>
      </c>
      <c r="N391" s="67">
        <v>1124.81631716632</v>
      </c>
      <c r="O391" s="67">
        <v>74.987754477754507</v>
      </c>
      <c r="P391" s="67">
        <v>731.17003700137104</v>
      </c>
      <c r="Q391" s="68">
        <v>0.65003505536207395</v>
      </c>
    </row>
    <row r="392" spans="1:17" x14ac:dyDescent="0.35">
      <c r="A392" s="62" t="s">
        <v>136</v>
      </c>
      <c r="B392" s="63">
        <v>658393</v>
      </c>
      <c r="C392" s="63" t="s">
        <v>141</v>
      </c>
      <c r="D392" s="64">
        <v>42561</v>
      </c>
      <c r="E392" s="63" t="s">
        <v>138</v>
      </c>
      <c r="F392" s="65">
        <v>39945</v>
      </c>
      <c r="G392" s="66">
        <v>1.02603552406013E-2</v>
      </c>
      <c r="H392" s="65">
        <v>570</v>
      </c>
      <c r="I392" s="67">
        <v>0.21510179763680201</v>
      </c>
      <c r="J392" s="67">
        <v>2.2070208566455101</v>
      </c>
      <c r="K392" s="65">
        <v>20</v>
      </c>
      <c r="L392" s="65">
        <v>28</v>
      </c>
      <c r="M392" s="66">
        <v>4.9652432969215501E-3</v>
      </c>
      <c r="N392" s="67">
        <v>2366.1077134868301</v>
      </c>
      <c r="O392" s="67">
        <v>118.305385674341</v>
      </c>
      <c r="P392" s="67">
        <v>866.43004088103805</v>
      </c>
      <c r="Q392" s="68">
        <v>0.36618368468281498</v>
      </c>
    </row>
    <row r="393" spans="1:17" x14ac:dyDescent="0.35">
      <c r="A393" s="62" t="s">
        <v>136</v>
      </c>
      <c r="B393" s="63">
        <v>658393</v>
      </c>
      <c r="C393" s="63" t="s">
        <v>141</v>
      </c>
      <c r="D393" s="64">
        <v>42562</v>
      </c>
      <c r="E393" s="63" t="s">
        <v>138</v>
      </c>
      <c r="F393" s="65">
        <v>33746</v>
      </c>
      <c r="G393" s="66">
        <v>9.8999577587543606E-3</v>
      </c>
      <c r="H393" s="65">
        <v>423</v>
      </c>
      <c r="I393" s="67">
        <v>0.21376182371712699</v>
      </c>
      <c r="J393" s="67">
        <v>2.1162330252338601</v>
      </c>
      <c r="K393" s="65">
        <v>69</v>
      </c>
      <c r="L393" s="65">
        <v>36</v>
      </c>
      <c r="M393" s="66">
        <v>4.5908722657304899E-3</v>
      </c>
      <c r="N393" s="67">
        <v>1758.4493209914001</v>
      </c>
      <c r="O393" s="67">
        <v>103.438195352436</v>
      </c>
      <c r="P393" s="67">
        <v>791.56003322452295</v>
      </c>
      <c r="Q393" s="68">
        <v>0.450146628495523</v>
      </c>
    </row>
    <row r="394" spans="1:17" x14ac:dyDescent="0.35">
      <c r="A394" s="62" t="s">
        <v>136</v>
      </c>
      <c r="B394" s="63">
        <v>658393</v>
      </c>
      <c r="C394" s="63" t="s">
        <v>141</v>
      </c>
      <c r="D394" s="64">
        <v>42563</v>
      </c>
      <c r="E394" s="63" t="s">
        <v>138</v>
      </c>
      <c r="F394" s="65">
        <v>63388</v>
      </c>
      <c r="G394" s="66">
        <v>1.10064656653991E-2</v>
      </c>
      <c r="H394" s="65">
        <v>370</v>
      </c>
      <c r="I394" s="67">
        <v>0.17733699324823099</v>
      </c>
      <c r="J394" s="67">
        <v>1.9518535273917601</v>
      </c>
      <c r="K394" s="65">
        <v>99</v>
      </c>
      <c r="L394" s="65">
        <v>19</v>
      </c>
      <c r="M394" s="66">
        <v>2.9585798816567999E-3</v>
      </c>
      <c r="N394" s="67">
        <v>654.20519894495999</v>
      </c>
      <c r="O394" s="67">
        <v>72.689466549439899</v>
      </c>
      <c r="P394" s="67">
        <v>539.45913346111797</v>
      </c>
      <c r="Q394" s="68">
        <v>0.82460233322985899</v>
      </c>
    </row>
    <row r="395" spans="1:17" x14ac:dyDescent="0.35">
      <c r="A395" s="62" t="s">
        <v>136</v>
      </c>
      <c r="B395" s="63">
        <v>658393</v>
      </c>
      <c r="C395" s="63" t="s">
        <v>141</v>
      </c>
      <c r="D395" s="64">
        <v>42564</v>
      </c>
      <c r="E395" s="63" t="s">
        <v>138</v>
      </c>
      <c r="F395" s="65">
        <v>33228</v>
      </c>
      <c r="G395" s="66">
        <v>1.18962265443403E-2</v>
      </c>
      <c r="H395" s="65">
        <v>278</v>
      </c>
      <c r="I395" s="67">
        <v>0.153910945521778</v>
      </c>
      <c r="J395" s="67">
        <v>1.8309594755806899</v>
      </c>
      <c r="K395" s="65">
        <v>76</v>
      </c>
      <c r="L395" s="65">
        <v>24</v>
      </c>
      <c r="M395" s="66">
        <v>4.9904030710172702E-3</v>
      </c>
      <c r="N395" s="67">
        <v>1236.9694818178</v>
      </c>
      <c r="O395" s="67">
        <v>95.151498601369397</v>
      </c>
      <c r="P395" s="67">
        <v>400.93801308423298</v>
      </c>
      <c r="Q395" s="68">
        <v>0.32412926832683903</v>
      </c>
    </row>
    <row r="396" spans="1:17" x14ac:dyDescent="0.35">
      <c r="A396" s="62" t="s">
        <v>136</v>
      </c>
      <c r="B396" s="63">
        <v>658393</v>
      </c>
      <c r="C396" s="63" t="s">
        <v>141</v>
      </c>
      <c r="D396" s="64">
        <v>42565</v>
      </c>
      <c r="E396" s="63" t="s">
        <v>138</v>
      </c>
      <c r="F396" s="65">
        <v>27766</v>
      </c>
      <c r="G396" s="66">
        <v>1.2684036248691299E-2</v>
      </c>
      <c r="H396" s="65">
        <v>492</v>
      </c>
      <c r="I396" s="67">
        <v>0.15400474284014901</v>
      </c>
      <c r="J396" s="67">
        <v>1.9534017406548301</v>
      </c>
      <c r="K396" s="65">
        <v>56</v>
      </c>
      <c r="L396" s="65">
        <v>20</v>
      </c>
      <c r="M396" s="66">
        <v>5.5292259083728297E-3</v>
      </c>
      <c r="N396" s="67">
        <v>1217.1319992378001</v>
      </c>
      <c r="O396" s="67">
        <v>86.937999945557294</v>
      </c>
      <c r="P396" s="67">
        <v>389.94000887125702</v>
      </c>
      <c r="Q396" s="68">
        <v>0.32037610474085598</v>
      </c>
    </row>
    <row r="397" spans="1:17" x14ac:dyDescent="0.35">
      <c r="A397" s="62" t="s">
        <v>136</v>
      </c>
      <c r="B397" s="63">
        <v>658393</v>
      </c>
      <c r="C397" s="63" t="s">
        <v>141</v>
      </c>
      <c r="D397" s="64">
        <v>42566</v>
      </c>
      <c r="E397" s="63" t="s">
        <v>138</v>
      </c>
      <c r="F397" s="65">
        <v>64481</v>
      </c>
      <c r="G397" s="66">
        <v>1.18666160962233E-2</v>
      </c>
      <c r="H397" s="65">
        <v>429</v>
      </c>
      <c r="I397" s="67">
        <v>0.14988244229942699</v>
      </c>
      <c r="J397" s="67">
        <v>1.77859740233165</v>
      </c>
      <c r="K397" s="65">
        <v>73</v>
      </c>
      <c r="L397" s="65">
        <v>27</v>
      </c>
      <c r="M397" s="66">
        <v>4.0411462160176298E-3</v>
      </c>
      <c r="N397" s="67">
        <v>1119.1114158079699</v>
      </c>
      <c r="O397" s="67">
        <v>101.737401437088</v>
      </c>
      <c r="P397" s="67">
        <v>407.980007939041</v>
      </c>
      <c r="Q397" s="68">
        <v>0.36455709608188502</v>
      </c>
    </row>
    <row r="398" spans="1:17" x14ac:dyDescent="0.35">
      <c r="A398" s="62" t="s">
        <v>136</v>
      </c>
      <c r="B398" s="63">
        <v>658393</v>
      </c>
      <c r="C398" s="63" t="s">
        <v>141</v>
      </c>
      <c r="D398" s="64">
        <v>42567</v>
      </c>
      <c r="E398" s="63" t="s">
        <v>138</v>
      </c>
      <c r="F398" s="65">
        <v>325</v>
      </c>
      <c r="G398" s="66">
        <v>1.18318002039193E-2</v>
      </c>
      <c r="H398" s="65">
        <v>209</v>
      </c>
      <c r="I398" s="67">
        <v>0.140222541956146</v>
      </c>
      <c r="J398" s="67">
        <v>1.65908510051081</v>
      </c>
      <c r="K398" s="65">
        <v>92</v>
      </c>
      <c r="L398" s="65">
        <v>26</v>
      </c>
      <c r="M398" s="66">
        <v>5.6818181818181802E-3</v>
      </c>
      <c r="N398" s="67">
        <v>1676.8519671685201</v>
      </c>
      <c r="O398" s="67">
        <v>139.73766393071</v>
      </c>
      <c r="P398" s="67">
        <v>296.150008611381</v>
      </c>
      <c r="Q398" s="68">
        <v>0.176610705303612</v>
      </c>
    </row>
    <row r="399" spans="1:17" x14ac:dyDescent="0.35">
      <c r="A399" s="62" t="s">
        <v>136</v>
      </c>
      <c r="B399" s="63">
        <v>658393</v>
      </c>
      <c r="C399" s="63" t="s">
        <v>141</v>
      </c>
      <c r="D399" s="64">
        <v>42568</v>
      </c>
      <c r="E399" s="63" t="s">
        <v>138</v>
      </c>
      <c r="F399" s="65">
        <v>1144</v>
      </c>
      <c r="G399" s="66">
        <v>1.2129153349682601E-2</v>
      </c>
      <c r="H399" s="65">
        <v>574</v>
      </c>
      <c r="I399" s="67">
        <v>0.12204672060635</v>
      </c>
      <c r="J399" s="67">
        <v>1.4803233900602799</v>
      </c>
      <c r="K399" s="65">
        <v>59</v>
      </c>
      <c r="L399" s="65">
        <v>18</v>
      </c>
      <c r="M399" s="66">
        <v>6.5693430656934299E-3</v>
      </c>
      <c r="N399" s="67">
        <v>986.12671663421304</v>
      </c>
      <c r="O399" s="67">
        <v>109.569635181579</v>
      </c>
      <c r="P399" s="67">
        <v>167.20400723069901</v>
      </c>
      <c r="Q399" s="68">
        <v>0.16955630996530499</v>
      </c>
    </row>
    <row r="400" spans="1:17" x14ac:dyDescent="0.35">
      <c r="A400" s="62" t="s">
        <v>136</v>
      </c>
      <c r="B400" s="63">
        <v>658393</v>
      </c>
      <c r="C400" s="63" t="s">
        <v>141</v>
      </c>
      <c r="D400" s="64">
        <v>42569</v>
      </c>
      <c r="E400" s="63" t="s">
        <v>138</v>
      </c>
      <c r="F400" s="65">
        <v>9179</v>
      </c>
      <c r="G400" s="66">
        <v>1.35198401370254E-2</v>
      </c>
      <c r="H400" s="65">
        <v>472</v>
      </c>
      <c r="I400" s="67">
        <v>0.11956081746423</v>
      </c>
      <c r="J400" s="67">
        <v>1.6164431387684599</v>
      </c>
      <c r="K400" s="65">
        <v>67</v>
      </c>
      <c r="L400" s="65">
        <v>19</v>
      </c>
      <c r="M400" s="66">
        <v>2.53378378378378E-3</v>
      </c>
      <c r="N400" s="67">
        <v>115.56746543602701</v>
      </c>
      <c r="O400" s="67">
        <v>38.522488478675598</v>
      </c>
      <c r="P400" s="67">
        <v>141.56000787764799</v>
      </c>
      <c r="Q400" s="68">
        <v>1.2249122825663199</v>
      </c>
    </row>
    <row r="401" spans="1:17" x14ac:dyDescent="0.35">
      <c r="A401" s="62" t="s">
        <v>136</v>
      </c>
      <c r="B401" s="63">
        <v>658393</v>
      </c>
      <c r="C401" s="63" t="s">
        <v>141</v>
      </c>
      <c r="D401" s="64">
        <v>42570</v>
      </c>
      <c r="E401" s="63" t="s">
        <v>138</v>
      </c>
      <c r="F401" s="65">
        <v>49218</v>
      </c>
      <c r="G401" s="66">
        <v>1.5586968024794E-2</v>
      </c>
      <c r="H401" s="65">
        <v>598</v>
      </c>
      <c r="I401" s="67">
        <v>0.118496609134482</v>
      </c>
      <c r="J401" s="67">
        <v>1.8470028576256901</v>
      </c>
      <c r="K401" s="65">
        <v>23</v>
      </c>
      <c r="L401" s="65">
        <v>17</v>
      </c>
      <c r="M401" s="66">
        <v>8.7293889427740093E-3</v>
      </c>
      <c r="N401" s="67">
        <v>1291.9007778703501</v>
      </c>
      <c r="O401" s="67">
        <v>143.544530874484</v>
      </c>
      <c r="P401" s="67">
        <v>122.170004017651</v>
      </c>
      <c r="Q401" s="68">
        <v>9.4566089060681105E-2</v>
      </c>
    </row>
    <row r="402" spans="1:17" x14ac:dyDescent="0.35">
      <c r="A402" s="62" t="s">
        <v>136</v>
      </c>
      <c r="B402" s="63">
        <v>658393</v>
      </c>
      <c r="C402" s="63" t="s">
        <v>141</v>
      </c>
      <c r="D402" s="64">
        <v>42571</v>
      </c>
      <c r="E402" s="63" t="s">
        <v>138</v>
      </c>
      <c r="F402" s="65">
        <v>14072</v>
      </c>
      <c r="G402" s="66">
        <v>1.6363308704270999E-2</v>
      </c>
      <c r="H402" s="65">
        <v>233</v>
      </c>
      <c r="I402" s="67">
        <v>0.12639868370203999</v>
      </c>
      <c r="J402" s="67">
        <v>2.06830068122999</v>
      </c>
      <c r="K402" s="65">
        <v>74</v>
      </c>
      <c r="L402" s="65">
        <v>23</v>
      </c>
      <c r="M402" s="66">
        <v>8.8105726872246704E-3</v>
      </c>
      <c r="N402" s="67">
        <v>613.88192649575501</v>
      </c>
      <c r="O402" s="67">
        <v>76.735240811969405</v>
      </c>
      <c r="P402" s="67">
        <v>114.770004801452</v>
      </c>
      <c r="Q402" s="68">
        <v>0.186957784303242</v>
      </c>
    </row>
    <row r="403" spans="1:17" x14ac:dyDescent="0.35">
      <c r="A403" s="62" t="s">
        <v>136</v>
      </c>
      <c r="B403" s="63">
        <v>658393</v>
      </c>
      <c r="C403" s="63" t="s">
        <v>141</v>
      </c>
      <c r="D403" s="64">
        <v>42572</v>
      </c>
      <c r="E403" s="63" t="s">
        <v>138</v>
      </c>
      <c r="F403" s="65">
        <v>3525</v>
      </c>
      <c r="G403" s="66">
        <v>1.8070365877019299E-2</v>
      </c>
      <c r="H403" s="65">
        <v>367</v>
      </c>
      <c r="I403" s="67">
        <v>0.128645471140339</v>
      </c>
      <c r="J403" s="67">
        <v>2.32467073192745</v>
      </c>
      <c r="K403" s="65">
        <v>41</v>
      </c>
      <c r="L403" s="65">
        <v>17</v>
      </c>
      <c r="M403" s="66">
        <v>9.4228504122496996E-3</v>
      </c>
      <c r="N403" s="67">
        <v>628.14417576993901</v>
      </c>
      <c r="O403" s="67">
        <v>78.518021971242305</v>
      </c>
      <c r="P403" s="67">
        <v>109.220004998147</v>
      </c>
      <c r="Q403" s="68">
        <v>0.17387728679370901</v>
      </c>
    </row>
    <row r="404" spans="1:17" x14ac:dyDescent="0.35">
      <c r="A404" s="62" t="s">
        <v>136</v>
      </c>
      <c r="B404" s="63">
        <v>658393</v>
      </c>
      <c r="C404" s="63" t="s">
        <v>141</v>
      </c>
      <c r="D404" s="64">
        <v>42573</v>
      </c>
      <c r="E404" s="63" t="s">
        <v>138</v>
      </c>
      <c r="F404" s="65">
        <v>30413</v>
      </c>
      <c r="G404" s="66">
        <v>1.66033999009738E-2</v>
      </c>
      <c r="H404" s="65">
        <v>497</v>
      </c>
      <c r="I404" s="67">
        <v>0.119155074453081</v>
      </c>
      <c r="J404" s="67">
        <v>1.97837935137481</v>
      </c>
      <c r="K404" s="65">
        <v>66</v>
      </c>
      <c r="L404" s="65">
        <v>22</v>
      </c>
      <c r="M404" s="66">
        <v>6.9582504970178904E-3</v>
      </c>
      <c r="N404" s="67">
        <v>891.52046036767695</v>
      </c>
      <c r="O404" s="67">
        <v>127.360065766811</v>
      </c>
      <c r="P404" s="67">
        <v>119.87000489979999</v>
      </c>
      <c r="Q404" s="68">
        <v>0.13445569701267801</v>
      </c>
    </row>
    <row r="405" spans="1:17" x14ac:dyDescent="0.35">
      <c r="A405" s="62" t="s">
        <v>136</v>
      </c>
      <c r="B405" s="63">
        <v>658393</v>
      </c>
      <c r="C405" s="63" t="s">
        <v>141</v>
      </c>
      <c r="D405" s="64">
        <v>42574</v>
      </c>
      <c r="E405" s="63" t="s">
        <v>138</v>
      </c>
      <c r="F405" s="65">
        <v>274</v>
      </c>
      <c r="G405" s="66">
        <v>1.68847615027438E-2</v>
      </c>
      <c r="H405" s="65">
        <v>357</v>
      </c>
      <c r="I405" s="67">
        <v>0.116340004533529</v>
      </c>
      <c r="J405" s="67">
        <v>1.96437322977677</v>
      </c>
      <c r="K405" s="65">
        <v>9</v>
      </c>
      <c r="L405" s="65">
        <v>17</v>
      </c>
      <c r="M405" s="66">
        <v>3.0000000000000001E-3</v>
      </c>
      <c r="N405" s="67">
        <v>279.62659489099701</v>
      </c>
      <c r="O405" s="67">
        <v>93.208864963665704</v>
      </c>
      <c r="P405" s="67">
        <v>116.340004533529</v>
      </c>
      <c r="Q405" s="68">
        <v>0.41605486266025798</v>
      </c>
    </row>
    <row r="406" spans="1:17" x14ac:dyDescent="0.35">
      <c r="A406" s="62" t="s">
        <v>136</v>
      </c>
      <c r="B406" s="63">
        <v>658393</v>
      </c>
      <c r="C406" s="63" t="s">
        <v>141</v>
      </c>
      <c r="D406" s="64">
        <v>42575</v>
      </c>
      <c r="E406" s="63" t="s">
        <v>138</v>
      </c>
      <c r="F406" s="65">
        <v>25495</v>
      </c>
      <c r="G406" s="66">
        <v>1.65963201245748E-2</v>
      </c>
      <c r="H406" s="65">
        <v>244</v>
      </c>
      <c r="I406" s="67">
        <v>9.8580248331950004E-2</v>
      </c>
      <c r="J406" s="67">
        <v>1.63606935927713</v>
      </c>
      <c r="K406" s="65">
        <v>86</v>
      </c>
      <c r="L406" s="65">
        <v>17</v>
      </c>
      <c r="M406" s="66">
        <v>6.17283950617284E-3</v>
      </c>
      <c r="N406" s="67">
        <v>335.89764879510102</v>
      </c>
      <c r="O406" s="67">
        <v>67.179529759020198</v>
      </c>
      <c r="P406" s="67">
        <v>79.8500011488795</v>
      </c>
      <c r="Q406" s="68">
        <v>0.237721226794262</v>
      </c>
    </row>
    <row r="407" spans="1:17" x14ac:dyDescent="0.35">
      <c r="A407" s="62" t="s">
        <v>136</v>
      </c>
      <c r="B407" s="63">
        <v>658393</v>
      </c>
      <c r="C407" s="63" t="s">
        <v>141</v>
      </c>
      <c r="D407" s="64">
        <v>42576</v>
      </c>
      <c r="E407" s="63" t="s">
        <v>138</v>
      </c>
      <c r="F407" s="65">
        <v>42015</v>
      </c>
      <c r="G407" s="66">
        <v>1.5764526640992E-2</v>
      </c>
      <c r="H407" s="65">
        <v>369</v>
      </c>
      <c r="I407" s="67">
        <v>9.5073825220933703E-2</v>
      </c>
      <c r="J407" s="67">
        <v>1.49879385055643</v>
      </c>
      <c r="K407" s="65">
        <v>50</v>
      </c>
      <c r="L407" s="65">
        <v>11</v>
      </c>
      <c r="M407" s="66">
        <v>2.6845637583892599E-3</v>
      </c>
      <c r="N407" s="67">
        <v>265.88296836676898</v>
      </c>
      <c r="O407" s="67">
        <v>132.941484183385</v>
      </c>
      <c r="P407" s="67">
        <v>70.829999789595604</v>
      </c>
      <c r="Q407" s="68">
        <v>0.26639540029465097</v>
      </c>
    </row>
    <row r="408" spans="1:17" x14ac:dyDescent="0.35">
      <c r="A408" s="62" t="s">
        <v>136</v>
      </c>
      <c r="B408" s="63">
        <v>658393</v>
      </c>
      <c r="C408" s="63" t="s">
        <v>141</v>
      </c>
      <c r="D408" s="64">
        <v>42577</v>
      </c>
      <c r="E408" s="63" t="s">
        <v>138</v>
      </c>
      <c r="F408" s="65">
        <v>57841</v>
      </c>
      <c r="G408" s="66">
        <v>1.58602836620848E-2</v>
      </c>
      <c r="H408" s="65">
        <v>236</v>
      </c>
      <c r="I408" s="67">
        <v>9.9850574358441399E-2</v>
      </c>
      <c r="J408" s="67">
        <v>1.5836584331469701</v>
      </c>
      <c r="K408" s="65">
        <v>91</v>
      </c>
      <c r="L408" s="65">
        <v>13</v>
      </c>
      <c r="M408" s="66">
        <v>1.03448275862069E-2</v>
      </c>
      <c r="N408" s="67">
        <v>973.59323843686298</v>
      </c>
      <c r="O408" s="67">
        <v>108.17702649298499</v>
      </c>
      <c r="P408" s="67">
        <v>86.869999691844001</v>
      </c>
      <c r="Q408" s="68">
        <v>8.9226173993686195E-2</v>
      </c>
    </row>
    <row r="409" spans="1:17" x14ac:dyDescent="0.35">
      <c r="A409" s="62" t="s">
        <v>136</v>
      </c>
      <c r="B409" s="63">
        <v>658393</v>
      </c>
      <c r="C409" s="63" t="s">
        <v>141</v>
      </c>
      <c r="D409" s="64">
        <v>42578</v>
      </c>
      <c r="E409" s="63" t="s">
        <v>138</v>
      </c>
      <c r="F409" s="65">
        <v>17101</v>
      </c>
      <c r="G409" s="66">
        <v>1.46626557799742E-2</v>
      </c>
      <c r="H409" s="65">
        <v>161</v>
      </c>
      <c r="I409" s="67">
        <v>9.9953105291056901E-2</v>
      </c>
      <c r="J409" s="67">
        <v>1.4655779770222901</v>
      </c>
      <c r="K409" s="65">
        <v>71</v>
      </c>
      <c r="L409" s="65">
        <v>11</v>
      </c>
      <c r="M409" s="66">
        <v>4.6893317702227403E-3</v>
      </c>
      <c r="N409" s="67">
        <v>659.04573619762402</v>
      </c>
      <c r="O409" s="67">
        <v>164.76143404940601</v>
      </c>
      <c r="P409" s="67">
        <v>85.259998813271494</v>
      </c>
      <c r="Q409" s="68">
        <v>0.129368864906373</v>
      </c>
    </row>
    <row r="410" spans="1:17" x14ac:dyDescent="0.35">
      <c r="A410" s="62" t="s">
        <v>136</v>
      </c>
      <c r="B410" s="63">
        <v>658393</v>
      </c>
      <c r="C410" s="63" t="s">
        <v>141</v>
      </c>
      <c r="D410" s="64">
        <v>42579</v>
      </c>
      <c r="E410" s="63" t="s">
        <v>138</v>
      </c>
      <c r="F410" s="65">
        <v>7830</v>
      </c>
      <c r="G410" s="66">
        <v>1.59595843619037E-2</v>
      </c>
      <c r="H410" s="65">
        <v>323</v>
      </c>
      <c r="I410" s="67">
        <v>0.100743405726388</v>
      </c>
      <c r="J410" s="67">
        <v>1.6078228825957701</v>
      </c>
      <c r="K410" s="65">
        <v>32</v>
      </c>
      <c r="L410" s="65">
        <v>12</v>
      </c>
      <c r="M410" s="66">
        <v>8.3932853717026395E-3</v>
      </c>
      <c r="N410" s="67">
        <v>633.63298733836803</v>
      </c>
      <c r="O410" s="67">
        <v>90.518998191195394</v>
      </c>
      <c r="P410" s="67">
        <v>84.0200003758073</v>
      </c>
      <c r="Q410" s="68">
        <v>0.13260042020340601</v>
      </c>
    </row>
    <row r="411" spans="1:17" x14ac:dyDescent="0.35">
      <c r="A411" s="62" t="s">
        <v>136</v>
      </c>
      <c r="B411" s="63">
        <v>658393</v>
      </c>
      <c r="C411" s="63" t="s">
        <v>141</v>
      </c>
      <c r="D411" s="64">
        <v>42580</v>
      </c>
      <c r="E411" s="63" t="s">
        <v>138</v>
      </c>
      <c r="F411" s="65">
        <v>10679</v>
      </c>
      <c r="G411" s="66">
        <v>1.5786581405805099E-2</v>
      </c>
      <c r="H411" s="65">
        <v>572</v>
      </c>
      <c r="I411" s="67">
        <v>0.100168775114769</v>
      </c>
      <c r="J411" s="67">
        <v>1.5813225226690799</v>
      </c>
      <c r="K411" s="65">
        <v>94</v>
      </c>
      <c r="L411" s="65">
        <v>9</v>
      </c>
      <c r="M411" s="66">
        <v>3.1645569620253199E-3</v>
      </c>
      <c r="N411" s="67">
        <v>319.344801420122</v>
      </c>
      <c r="O411" s="67">
        <v>106.448267140041</v>
      </c>
      <c r="P411" s="67">
        <v>94.959998808801203</v>
      </c>
      <c r="Q411" s="68">
        <v>0.29735883717697997</v>
      </c>
    </row>
    <row r="412" spans="1:17" x14ac:dyDescent="0.35">
      <c r="A412" s="62" t="s">
        <v>136</v>
      </c>
      <c r="B412" s="63">
        <v>658393</v>
      </c>
      <c r="C412" s="63" t="s">
        <v>141</v>
      </c>
      <c r="D412" s="64">
        <v>42581</v>
      </c>
      <c r="E412" s="63" t="s">
        <v>138</v>
      </c>
      <c r="F412" s="65">
        <v>13162</v>
      </c>
      <c r="G412" s="66">
        <v>1.37131998411708E-2</v>
      </c>
      <c r="H412" s="65">
        <v>483</v>
      </c>
      <c r="I412" s="67">
        <v>0.10900724214629801</v>
      </c>
      <c r="J412" s="67">
        <v>1.4948380956870799</v>
      </c>
      <c r="K412" s="65">
        <v>23</v>
      </c>
      <c r="L412" s="65">
        <v>11</v>
      </c>
      <c r="M412" s="66">
        <v>5.1706308169596699E-3</v>
      </c>
      <c r="N412" s="67">
        <v>468.06120792124801</v>
      </c>
      <c r="O412" s="67">
        <v>93.612241584249603</v>
      </c>
      <c r="P412" s="67">
        <v>105.41000315546999</v>
      </c>
      <c r="Q412" s="68">
        <v>0.225205595703213</v>
      </c>
    </row>
    <row r="413" spans="1:17" x14ac:dyDescent="0.35">
      <c r="A413" s="62" t="s">
        <v>136</v>
      </c>
      <c r="B413" s="63">
        <v>658393</v>
      </c>
      <c r="C413" s="63" t="s">
        <v>141</v>
      </c>
      <c r="D413" s="64">
        <v>42582</v>
      </c>
      <c r="E413" s="63" t="s">
        <v>138</v>
      </c>
      <c r="F413" s="65">
        <v>29373</v>
      </c>
      <c r="G413" s="66">
        <v>1.39024742234979E-2</v>
      </c>
      <c r="H413" s="65">
        <v>212</v>
      </c>
      <c r="I413" s="67">
        <v>0.11042676192322699</v>
      </c>
      <c r="J413" s="67">
        <v>1.535205211222</v>
      </c>
      <c r="K413" s="65">
        <v>64</v>
      </c>
      <c r="L413" s="65">
        <v>9</v>
      </c>
      <c r="M413" s="66">
        <v>3.4602076124567501E-3</v>
      </c>
      <c r="N413" s="67">
        <v>634.84311588118203</v>
      </c>
      <c r="O413" s="67">
        <v>211.61437196039401</v>
      </c>
      <c r="P413" s="67">
        <v>95.740002587437601</v>
      </c>
      <c r="Q413" s="68">
        <v>0.15080891671093799</v>
      </c>
    </row>
    <row r="414" spans="1:17" x14ac:dyDescent="0.35">
      <c r="A414" s="62" t="s">
        <v>136</v>
      </c>
      <c r="B414" s="63">
        <v>658393</v>
      </c>
      <c r="C414" s="63" t="s">
        <v>141</v>
      </c>
      <c r="D414" s="64">
        <v>42583</v>
      </c>
      <c r="E414" s="63" t="s">
        <v>138</v>
      </c>
      <c r="F414" s="65">
        <v>12240</v>
      </c>
      <c r="G414" s="66">
        <v>1.5699057351775202E-2</v>
      </c>
      <c r="H414" s="65">
        <v>351</v>
      </c>
      <c r="I414" s="67">
        <v>0.111672282812638</v>
      </c>
      <c r="J414" s="67">
        <v>1.7531495724792601</v>
      </c>
      <c r="K414" s="65">
        <v>34</v>
      </c>
      <c r="L414" s="65">
        <v>12</v>
      </c>
      <c r="M414" s="66">
        <v>5.6116722783389403E-3</v>
      </c>
      <c r="N414" s="67">
        <v>284.23003768855102</v>
      </c>
      <c r="O414" s="67">
        <v>56.8460075377102</v>
      </c>
      <c r="P414" s="67">
        <v>99.500003986060605</v>
      </c>
      <c r="Q414" s="68">
        <v>0.35006857401570302</v>
      </c>
    </row>
    <row r="415" spans="1:17" x14ac:dyDescent="0.35">
      <c r="A415" s="62" t="s">
        <v>136</v>
      </c>
      <c r="B415" s="63">
        <v>658393</v>
      </c>
      <c r="C415" s="63" t="s">
        <v>141</v>
      </c>
      <c r="D415" s="64">
        <v>42584</v>
      </c>
      <c r="E415" s="63" t="s">
        <v>138</v>
      </c>
      <c r="F415" s="65">
        <v>35999</v>
      </c>
      <c r="G415" s="66">
        <v>1.33958965866225E-2</v>
      </c>
      <c r="H415" s="65">
        <v>468</v>
      </c>
      <c r="I415" s="67">
        <v>0.110384618750886</v>
      </c>
      <c r="J415" s="67">
        <v>1.4787009375406199</v>
      </c>
      <c r="K415" s="65">
        <v>41</v>
      </c>
      <c r="L415" s="65">
        <v>9</v>
      </c>
      <c r="M415" s="66">
        <v>8.2417582417582402E-3</v>
      </c>
      <c r="N415" s="67">
        <v>600.87947644823896</v>
      </c>
      <c r="O415" s="67">
        <v>100.14657940804</v>
      </c>
      <c r="P415" s="67">
        <v>80.360002450644998</v>
      </c>
      <c r="Q415" s="68">
        <v>0.13373730606618101</v>
      </c>
    </row>
    <row r="416" spans="1:17" x14ac:dyDescent="0.35">
      <c r="A416" s="62" t="s">
        <v>136</v>
      </c>
      <c r="B416" s="63">
        <v>658393</v>
      </c>
      <c r="C416" s="63" t="s">
        <v>141</v>
      </c>
      <c r="D416" s="64">
        <v>42585</v>
      </c>
      <c r="E416" s="63" t="s">
        <v>138</v>
      </c>
      <c r="F416" s="65">
        <v>53815</v>
      </c>
      <c r="G416" s="66">
        <v>1.50650098354364E-2</v>
      </c>
      <c r="H416" s="65">
        <v>157</v>
      </c>
      <c r="I416" s="67">
        <v>0.112452232688191</v>
      </c>
      <c r="J416" s="67">
        <v>1.69409399146437</v>
      </c>
      <c r="K416" s="65">
        <v>72</v>
      </c>
      <c r="L416" s="65">
        <v>5</v>
      </c>
      <c r="M416" s="66">
        <v>4.7770700636942699E-3</v>
      </c>
      <c r="N416" s="67">
        <v>251.37954671787099</v>
      </c>
      <c r="O416" s="67">
        <v>83.793182239290203</v>
      </c>
      <c r="P416" s="67">
        <v>70.620002128183799</v>
      </c>
      <c r="Q416" s="68">
        <v>0.28092978545880798</v>
      </c>
    </row>
    <row r="417" spans="1:17" x14ac:dyDescent="0.35">
      <c r="A417" s="62" t="s">
        <v>136</v>
      </c>
      <c r="B417" s="63">
        <v>658393</v>
      </c>
      <c r="C417" s="63" t="s">
        <v>141</v>
      </c>
      <c r="D417" s="64">
        <v>42586</v>
      </c>
      <c r="E417" s="63" t="s">
        <v>138</v>
      </c>
      <c r="F417" s="65">
        <v>65148</v>
      </c>
      <c r="G417" s="66">
        <v>1.7173491640416799E-2</v>
      </c>
      <c r="H417" s="65">
        <v>594</v>
      </c>
      <c r="I417" s="67">
        <v>0.111375665249438</v>
      </c>
      <c r="J417" s="67">
        <v>1.9127090561070701</v>
      </c>
      <c r="K417" s="65">
        <v>8</v>
      </c>
      <c r="L417" s="65">
        <v>7</v>
      </c>
      <c r="M417" s="66">
        <v>3.5273368606701899E-3</v>
      </c>
      <c r="N417" s="67">
        <v>155.026724799417</v>
      </c>
      <c r="O417" s="67">
        <v>77.513362399708299</v>
      </c>
      <c r="P417" s="67">
        <v>63.150002196431203</v>
      </c>
      <c r="Q417" s="68">
        <v>0.407349134661386</v>
      </c>
    </row>
    <row r="418" spans="1:17" x14ac:dyDescent="0.35">
      <c r="A418" s="62" t="s">
        <v>136</v>
      </c>
      <c r="B418" s="63">
        <v>658393</v>
      </c>
      <c r="C418" s="63" t="s">
        <v>141</v>
      </c>
      <c r="D418" s="64">
        <v>42587</v>
      </c>
      <c r="E418" s="63" t="s">
        <v>138</v>
      </c>
      <c r="F418" s="65">
        <v>8354</v>
      </c>
      <c r="G418" s="66">
        <v>1.58489943042677E-2</v>
      </c>
      <c r="H418" s="65">
        <v>552</v>
      </c>
      <c r="I418" s="67">
        <v>0.111979171038709</v>
      </c>
      <c r="J418" s="67">
        <v>1.7747572439891099</v>
      </c>
      <c r="K418" s="65">
        <v>57</v>
      </c>
      <c r="L418" s="65">
        <v>15</v>
      </c>
      <c r="M418" s="66">
        <v>5.2083333333333296E-3</v>
      </c>
      <c r="N418" s="67">
        <v>129.93619655366399</v>
      </c>
      <c r="O418" s="67">
        <v>43.312065517888001</v>
      </c>
      <c r="P418" s="67">
        <v>64.500002518296199</v>
      </c>
      <c r="Q418" s="68">
        <v>0.49639749530191601</v>
      </c>
    </row>
    <row r="419" spans="1:17" x14ac:dyDescent="0.35">
      <c r="A419" s="62" t="s">
        <v>136</v>
      </c>
      <c r="B419" s="63">
        <v>658393</v>
      </c>
      <c r="C419" s="63" t="s">
        <v>141</v>
      </c>
      <c r="D419" s="64">
        <v>42588</v>
      </c>
      <c r="E419" s="63" t="s">
        <v>138</v>
      </c>
      <c r="F419" s="65">
        <v>23861</v>
      </c>
      <c r="G419" s="66">
        <v>1.7177314211212501E-2</v>
      </c>
      <c r="H419" s="65">
        <v>279</v>
      </c>
      <c r="I419" s="67">
        <v>0.110246681228308</v>
      </c>
      <c r="J419" s="67">
        <v>1.8937418842020399</v>
      </c>
      <c r="K419" s="65">
        <v>97</v>
      </c>
      <c r="L419" s="65">
        <v>8</v>
      </c>
      <c r="M419" s="66">
        <v>3.79506641366224E-3</v>
      </c>
      <c r="N419" s="67">
        <v>287.592684447632</v>
      </c>
      <c r="O419" s="67">
        <v>143.796342223816</v>
      </c>
      <c r="P419" s="67">
        <v>58.100001007318497</v>
      </c>
      <c r="Q419" s="68">
        <v>0.202021832088354</v>
      </c>
    </row>
    <row r="420" spans="1:17" x14ac:dyDescent="0.35">
      <c r="A420" s="62" t="s">
        <v>136</v>
      </c>
      <c r="B420" s="63">
        <v>658393</v>
      </c>
      <c r="C420" s="63" t="s">
        <v>141</v>
      </c>
      <c r="D420" s="64">
        <v>42589</v>
      </c>
      <c r="E420" s="63" t="s">
        <v>138</v>
      </c>
      <c r="F420" s="65">
        <v>31365</v>
      </c>
      <c r="G420" s="66">
        <v>1.4973585921464401E-2</v>
      </c>
      <c r="H420" s="65">
        <v>380</v>
      </c>
      <c r="I420" s="67">
        <v>0.112044947318147</v>
      </c>
      <c r="J420" s="67">
        <v>1.67771464573422</v>
      </c>
      <c r="K420" s="65">
        <v>98</v>
      </c>
      <c r="L420" s="65">
        <v>8</v>
      </c>
      <c r="M420" s="66">
        <v>6.7415730337078697E-3</v>
      </c>
      <c r="N420" s="67">
        <v>120.451802692653</v>
      </c>
      <c r="O420" s="67">
        <v>40.1506008975512</v>
      </c>
      <c r="P420" s="67">
        <v>49.860001556575298</v>
      </c>
      <c r="Q420" s="68">
        <v>0.41394151388334799</v>
      </c>
    </row>
    <row r="421" spans="1:17" x14ac:dyDescent="0.35">
      <c r="A421" s="62" t="s">
        <v>136</v>
      </c>
      <c r="B421" s="63">
        <v>658393</v>
      </c>
      <c r="C421" s="63" t="s">
        <v>141</v>
      </c>
      <c r="D421" s="64">
        <v>42590</v>
      </c>
      <c r="E421" s="63" t="s">
        <v>138</v>
      </c>
      <c r="F421" s="65">
        <v>2905</v>
      </c>
      <c r="G421" s="66">
        <v>1.3324098809406E-2</v>
      </c>
      <c r="H421" s="65">
        <v>554</v>
      </c>
      <c r="I421" s="67">
        <v>0.11084158762846801</v>
      </c>
      <c r="J421" s="67">
        <v>1.4768642657531501</v>
      </c>
      <c r="K421" s="65">
        <v>62</v>
      </c>
      <c r="L421" s="65">
        <v>12</v>
      </c>
      <c r="M421" s="66">
        <v>7.4257425742574297E-3</v>
      </c>
      <c r="N421" s="67">
        <v>522.24521535000804</v>
      </c>
      <c r="O421" s="67">
        <v>174.081738450003</v>
      </c>
      <c r="P421" s="67">
        <v>44.780001401901202</v>
      </c>
      <c r="Q421" s="68">
        <v>8.5745163547146605E-2</v>
      </c>
    </row>
    <row r="422" spans="1:17" x14ac:dyDescent="0.35">
      <c r="A422" s="62" t="s">
        <v>136</v>
      </c>
      <c r="B422" s="63">
        <v>658393</v>
      </c>
      <c r="C422" s="63" t="s">
        <v>141</v>
      </c>
      <c r="D422" s="64">
        <v>42591</v>
      </c>
      <c r="E422" s="63" t="s">
        <v>138</v>
      </c>
      <c r="F422" s="65">
        <v>41609</v>
      </c>
      <c r="G422" s="66">
        <v>1.51064589032949E-2</v>
      </c>
      <c r="H422" s="65">
        <v>389</v>
      </c>
      <c r="I422" s="67">
        <v>0.111706040076071</v>
      </c>
      <c r="J422" s="67">
        <v>1.6874827036589699</v>
      </c>
      <c r="K422" s="65">
        <v>71</v>
      </c>
      <c r="L422" s="65">
        <v>6</v>
      </c>
      <c r="M422" s="66">
        <v>1.0498687664042E-2</v>
      </c>
      <c r="N422" s="67">
        <v>708.09623006500703</v>
      </c>
      <c r="O422" s="67">
        <v>177.02405751625199</v>
      </c>
      <c r="P422" s="67">
        <v>42.560001268982901</v>
      </c>
      <c r="Q422" s="68">
        <v>6.0104826804508897E-2</v>
      </c>
    </row>
    <row r="423" spans="1:17" x14ac:dyDescent="0.35">
      <c r="A423" s="62" t="s">
        <v>136</v>
      </c>
      <c r="B423" s="63">
        <v>658393</v>
      </c>
      <c r="C423" s="63" t="s">
        <v>141</v>
      </c>
      <c r="D423" s="64">
        <v>42592</v>
      </c>
      <c r="E423" s="63" t="s">
        <v>138</v>
      </c>
      <c r="F423" s="65">
        <v>43200</v>
      </c>
      <c r="G423" s="66">
        <v>1.5931212081532899E-2</v>
      </c>
      <c r="H423" s="65">
        <v>252</v>
      </c>
      <c r="I423" s="67">
        <v>0.111643839739773</v>
      </c>
      <c r="J423" s="67">
        <v>1.778621688491</v>
      </c>
      <c r="K423" s="65">
        <v>34</v>
      </c>
      <c r="L423" s="65">
        <v>8</v>
      </c>
      <c r="M423" s="66">
        <v>8.21917808219178E-3</v>
      </c>
      <c r="N423" s="67">
        <v>464.08862774897102</v>
      </c>
      <c r="O423" s="67">
        <v>154.69620924965699</v>
      </c>
      <c r="P423" s="67">
        <v>40.750001505017302</v>
      </c>
      <c r="Q423" s="68">
        <v>8.7806507353287794E-2</v>
      </c>
    </row>
    <row r="424" spans="1:17" x14ac:dyDescent="0.35">
      <c r="A424" s="62" t="s">
        <v>136</v>
      </c>
      <c r="B424" s="63">
        <v>658393</v>
      </c>
      <c r="C424" s="63" t="s">
        <v>141</v>
      </c>
      <c r="D424" s="64">
        <v>42593</v>
      </c>
      <c r="E424" s="63" t="s">
        <v>138</v>
      </c>
      <c r="F424" s="65">
        <v>65666</v>
      </c>
      <c r="G424" s="66">
        <v>1.69464847848898E-2</v>
      </c>
      <c r="H424" s="65">
        <v>269</v>
      </c>
      <c r="I424" s="67">
        <v>0.11040247932953</v>
      </c>
      <c r="J424" s="67">
        <v>1.8709339361719901</v>
      </c>
      <c r="K424" s="65">
        <v>30</v>
      </c>
      <c r="L424" s="65">
        <v>5</v>
      </c>
      <c r="M424" s="66">
        <v>6.1919504643962904E-3</v>
      </c>
      <c r="N424" s="67">
        <v>111.87273996783701</v>
      </c>
      <c r="O424" s="67">
        <v>55.936369983918503</v>
      </c>
      <c r="P424" s="67">
        <v>35.660000823438203</v>
      </c>
      <c r="Q424" s="68">
        <v>0.31875505001209697</v>
      </c>
    </row>
    <row r="425" spans="1:17" x14ac:dyDescent="0.35">
      <c r="A425" s="62" t="s">
        <v>136</v>
      </c>
      <c r="B425" s="63">
        <v>658393</v>
      </c>
      <c r="C425" s="63" t="s">
        <v>141</v>
      </c>
      <c r="D425" s="64">
        <v>42594</v>
      </c>
      <c r="E425" s="63" t="s">
        <v>138</v>
      </c>
      <c r="F425" s="65">
        <v>40960</v>
      </c>
      <c r="G425" s="66">
        <v>1.60775701321841E-2</v>
      </c>
      <c r="H425" s="65">
        <v>256</v>
      </c>
      <c r="I425" s="67">
        <v>0.112061859348539</v>
      </c>
      <c r="J425" s="67">
        <v>1.8016824028191001</v>
      </c>
      <c r="K425" s="65">
        <v>70</v>
      </c>
      <c r="L425" s="65">
        <v>8</v>
      </c>
      <c r="M425" s="66">
        <v>7.7319587628866E-3</v>
      </c>
      <c r="N425" s="67">
        <v>285.00603486554598</v>
      </c>
      <c r="O425" s="67">
        <v>95.002011621848794</v>
      </c>
      <c r="P425" s="67">
        <v>43.480001427233198</v>
      </c>
      <c r="Q425" s="68">
        <v>0.15255817810224701</v>
      </c>
    </row>
    <row r="426" spans="1:17" x14ac:dyDescent="0.35">
      <c r="A426" s="62" t="s">
        <v>136</v>
      </c>
      <c r="B426" s="63">
        <v>658393</v>
      </c>
      <c r="C426" s="63" t="s">
        <v>141</v>
      </c>
      <c r="D426" s="64">
        <v>42595</v>
      </c>
      <c r="E426" s="63" t="s">
        <v>138</v>
      </c>
      <c r="F426" s="65">
        <v>25780</v>
      </c>
      <c r="G426" s="66">
        <v>1.3192946847646801E-2</v>
      </c>
      <c r="H426" s="65">
        <v>436</v>
      </c>
      <c r="I426" s="67">
        <v>0.11146635021298</v>
      </c>
      <c r="J426" s="67">
        <v>1.4705696336610301</v>
      </c>
      <c r="K426" s="65">
        <v>93</v>
      </c>
      <c r="L426" s="65">
        <v>7</v>
      </c>
      <c r="M426" s="66">
        <v>9.6153846153846194E-3</v>
      </c>
      <c r="N426" s="67">
        <v>322.64184532422098</v>
      </c>
      <c r="O426" s="67">
        <v>80.660461331055203</v>
      </c>
      <c r="P426" s="67">
        <v>46.370001688599601</v>
      </c>
      <c r="Q426" s="68">
        <v>0.14371973865325099</v>
      </c>
    </row>
    <row r="427" spans="1:17" x14ac:dyDescent="0.35">
      <c r="A427" s="62" t="s">
        <v>136</v>
      </c>
      <c r="B427" s="63">
        <v>658393</v>
      </c>
      <c r="C427" s="63" t="s">
        <v>141</v>
      </c>
      <c r="D427" s="64">
        <v>42596</v>
      </c>
      <c r="E427" s="63" t="s">
        <v>138</v>
      </c>
      <c r="F427" s="65">
        <v>40702</v>
      </c>
      <c r="G427" s="66">
        <v>1.38655046053283E-2</v>
      </c>
      <c r="H427" s="65">
        <v>342</v>
      </c>
      <c r="I427" s="67">
        <v>0.11038095397608599</v>
      </c>
      <c r="J427" s="67">
        <v>1.5304876256959601</v>
      </c>
      <c r="K427" s="65">
        <v>24</v>
      </c>
      <c r="L427" s="65">
        <v>6</v>
      </c>
      <c r="M427" s="66">
        <v>4.7619047619047597E-3</v>
      </c>
      <c r="N427" s="67">
        <v>137.006375147857</v>
      </c>
      <c r="O427" s="67">
        <v>68.5031875739284</v>
      </c>
      <c r="P427" s="67">
        <v>46.3600006699562</v>
      </c>
      <c r="Q427" s="68">
        <v>0.33837841939781699</v>
      </c>
    </row>
    <row r="428" spans="1:17" x14ac:dyDescent="0.35">
      <c r="A428" s="62" t="s">
        <v>136</v>
      </c>
      <c r="B428" s="63">
        <v>658393</v>
      </c>
      <c r="C428" s="63" t="s">
        <v>141</v>
      </c>
      <c r="D428" s="64">
        <v>42597</v>
      </c>
      <c r="E428" s="63" t="s">
        <v>138</v>
      </c>
      <c r="F428" s="65">
        <v>9160</v>
      </c>
      <c r="G428" s="66">
        <v>1.4726664187430299E-2</v>
      </c>
      <c r="H428" s="65">
        <v>162</v>
      </c>
      <c r="I428" s="67">
        <v>0.11025252783990901</v>
      </c>
      <c r="J428" s="67">
        <v>1.62365195331364</v>
      </c>
      <c r="K428" s="65">
        <v>38</v>
      </c>
      <c r="L428" s="65">
        <v>9</v>
      </c>
      <c r="M428" s="66">
        <v>7.5757575757575803E-3</v>
      </c>
      <c r="N428" s="67">
        <v>367.046039789828</v>
      </c>
      <c r="O428" s="67">
        <v>122.348679929943</v>
      </c>
      <c r="P428" s="67">
        <v>43.660001024603801</v>
      </c>
      <c r="Q428" s="68">
        <v>0.118949658330611</v>
      </c>
    </row>
    <row r="429" spans="1:17" x14ac:dyDescent="0.35">
      <c r="A429" s="62" t="s">
        <v>136</v>
      </c>
      <c r="B429" s="63">
        <v>658393</v>
      </c>
      <c r="C429" s="63" t="s">
        <v>141</v>
      </c>
      <c r="D429" s="64">
        <v>42598</v>
      </c>
      <c r="E429" s="63" t="s">
        <v>138</v>
      </c>
      <c r="F429" s="65">
        <v>68016</v>
      </c>
      <c r="G429" s="66">
        <v>1.5467289719626199E-2</v>
      </c>
      <c r="H429" s="65">
        <v>446</v>
      </c>
      <c r="I429" s="67">
        <v>0.108761333536886</v>
      </c>
      <c r="J429" s="67">
        <v>1.6822430561079</v>
      </c>
      <c r="K429" s="65">
        <v>69</v>
      </c>
      <c r="L429" s="65">
        <v>8</v>
      </c>
      <c r="M429" s="66">
        <v>1.2084592145015101E-2</v>
      </c>
      <c r="N429" s="67">
        <v>204.906019594653</v>
      </c>
      <c r="O429" s="67">
        <v>51.2265048986633</v>
      </c>
      <c r="P429" s="67">
        <v>36.000001400709202</v>
      </c>
      <c r="Q429" s="68">
        <v>0.17569030657042001</v>
      </c>
    </row>
    <row r="430" spans="1:17" x14ac:dyDescent="0.35">
      <c r="A430" s="62" t="s">
        <v>136</v>
      </c>
      <c r="B430" s="63">
        <v>658393</v>
      </c>
      <c r="C430" s="63" t="s">
        <v>141</v>
      </c>
      <c r="D430" s="64">
        <v>42599</v>
      </c>
      <c r="E430" s="63" t="s">
        <v>138</v>
      </c>
      <c r="F430" s="65">
        <v>61092</v>
      </c>
      <c r="G430" s="66">
        <v>1.65293126053568E-2</v>
      </c>
      <c r="H430" s="65">
        <v>411</v>
      </c>
      <c r="I430" s="67">
        <v>0.10189802060299499</v>
      </c>
      <c r="J430" s="67">
        <v>1.68430423641399</v>
      </c>
      <c r="K430" s="65">
        <v>24</v>
      </c>
      <c r="L430" s="65">
        <v>3</v>
      </c>
      <c r="M430" s="66">
        <v>0</v>
      </c>
      <c r="N430" s="67">
        <v>0</v>
      </c>
      <c r="O430" s="67">
        <v>0</v>
      </c>
      <c r="P430" s="67">
        <v>35.970001272857203</v>
      </c>
      <c r="Q430" s="68">
        <v>0</v>
      </c>
    </row>
    <row r="431" spans="1:17" x14ac:dyDescent="0.35">
      <c r="A431" s="62" t="s">
        <v>136</v>
      </c>
      <c r="B431" s="63">
        <v>658393</v>
      </c>
      <c r="C431" s="63" t="s">
        <v>141</v>
      </c>
      <c r="D431" s="64">
        <v>42600</v>
      </c>
      <c r="E431" s="63" t="s">
        <v>138</v>
      </c>
      <c r="F431" s="65">
        <v>64047</v>
      </c>
      <c r="G431" s="66">
        <v>1.6329378925331501E-2</v>
      </c>
      <c r="H431" s="65">
        <v>323</v>
      </c>
      <c r="I431" s="67">
        <v>9.78917429844538E-2</v>
      </c>
      <c r="J431" s="67">
        <v>1.5985113648543099</v>
      </c>
      <c r="K431" s="65">
        <v>64</v>
      </c>
      <c r="L431" s="65">
        <v>5</v>
      </c>
      <c r="M431" s="66">
        <v>2.84900284900285E-3</v>
      </c>
      <c r="N431" s="67">
        <v>236.118301520534</v>
      </c>
      <c r="O431" s="67">
        <v>236.118301520534</v>
      </c>
      <c r="P431" s="67">
        <v>34.360001787543297</v>
      </c>
      <c r="Q431" s="68">
        <v>0.145520281851406</v>
      </c>
    </row>
    <row r="432" spans="1:17" x14ac:dyDescent="0.35">
      <c r="A432" s="62" t="s">
        <v>136</v>
      </c>
      <c r="B432" s="63">
        <v>658393</v>
      </c>
      <c r="C432" s="63" t="s">
        <v>141</v>
      </c>
      <c r="D432" s="64">
        <v>42601</v>
      </c>
      <c r="E432" s="63" t="s">
        <v>138</v>
      </c>
      <c r="F432" s="65">
        <v>30631</v>
      </c>
      <c r="G432" s="66">
        <v>1.55722901829829E-2</v>
      </c>
      <c r="H432" s="65">
        <v>185</v>
      </c>
      <c r="I432" s="67">
        <v>9.8446394718319397E-2</v>
      </c>
      <c r="J432" s="67">
        <v>1.5330358260221499</v>
      </c>
      <c r="K432" s="65">
        <v>46</v>
      </c>
      <c r="L432" s="65">
        <v>5</v>
      </c>
      <c r="M432" s="66">
        <v>4.3763676148796497E-3</v>
      </c>
      <c r="N432" s="67">
        <v>60.269013214242896</v>
      </c>
      <c r="O432" s="67">
        <v>30.134506607121502</v>
      </c>
      <c r="P432" s="67">
        <v>44.990002386272003</v>
      </c>
      <c r="Q432" s="68">
        <v>0.74648646106652705</v>
      </c>
    </row>
    <row r="433" spans="1:17" x14ac:dyDescent="0.35">
      <c r="A433" s="62" t="s">
        <v>136</v>
      </c>
      <c r="B433" s="63">
        <v>658393</v>
      </c>
      <c r="C433" s="63" t="s">
        <v>141</v>
      </c>
      <c r="D433" s="64">
        <v>42602</v>
      </c>
      <c r="E433" s="63" t="s">
        <v>138</v>
      </c>
      <c r="F433" s="65">
        <v>46038</v>
      </c>
      <c r="G433" s="66">
        <v>1.3550210596320099E-2</v>
      </c>
      <c r="H433" s="65">
        <v>587</v>
      </c>
      <c r="I433" s="67">
        <v>0.100756649087909</v>
      </c>
      <c r="J433" s="67">
        <v>1.3652738141206899</v>
      </c>
      <c r="K433" s="65">
        <v>41</v>
      </c>
      <c r="L433" s="65">
        <v>6</v>
      </c>
      <c r="M433" s="66">
        <v>4.0899795501022499E-3</v>
      </c>
      <c r="N433" s="67">
        <v>314.45076474240602</v>
      </c>
      <c r="O433" s="67">
        <v>157.22538237120301</v>
      </c>
      <c r="P433" s="67">
        <v>49.270001403987401</v>
      </c>
      <c r="Q433" s="68">
        <v>0.156685901032388</v>
      </c>
    </row>
    <row r="434" spans="1:17" x14ac:dyDescent="0.35">
      <c r="A434" s="62" t="s">
        <v>136</v>
      </c>
      <c r="B434" s="63">
        <v>658393</v>
      </c>
      <c r="C434" s="63" t="s">
        <v>141</v>
      </c>
      <c r="D434" s="64">
        <v>42603</v>
      </c>
      <c r="E434" s="63" t="s">
        <v>138</v>
      </c>
      <c r="F434" s="65">
        <v>45946</v>
      </c>
      <c r="G434" s="66">
        <v>1.2216094407875199E-2</v>
      </c>
      <c r="H434" s="65">
        <v>378</v>
      </c>
      <c r="I434" s="67">
        <v>0.104733009180687</v>
      </c>
      <c r="J434" s="67">
        <v>1.2794283277721401</v>
      </c>
      <c r="K434" s="65">
        <v>46</v>
      </c>
      <c r="L434" s="65">
        <v>8</v>
      </c>
      <c r="M434" s="66">
        <v>1.2135922330097099E-2</v>
      </c>
      <c r="N434" s="67">
        <v>424.55597075126701</v>
      </c>
      <c r="O434" s="67">
        <v>84.911194150253394</v>
      </c>
      <c r="P434" s="67">
        <v>43.149999782442997</v>
      </c>
      <c r="Q434" s="68">
        <v>0.101635597554046</v>
      </c>
    </row>
    <row r="435" spans="1:17" x14ac:dyDescent="0.35">
      <c r="A435" s="62" t="s">
        <v>136</v>
      </c>
      <c r="B435" s="63">
        <v>658393</v>
      </c>
      <c r="C435" s="63" t="s">
        <v>141</v>
      </c>
      <c r="D435" s="64">
        <v>42604</v>
      </c>
      <c r="E435" s="63" t="s">
        <v>138</v>
      </c>
      <c r="F435" s="65">
        <v>4749</v>
      </c>
      <c r="G435" s="66">
        <v>1.3371026894865501E-2</v>
      </c>
      <c r="H435" s="65">
        <v>282</v>
      </c>
      <c r="I435" s="67">
        <v>0.10434285855719</v>
      </c>
      <c r="J435" s="67">
        <v>1.39517116805534</v>
      </c>
      <c r="K435" s="65">
        <v>41</v>
      </c>
      <c r="L435" s="65">
        <v>8</v>
      </c>
      <c r="M435" s="66">
        <v>5.7142857142857099E-3</v>
      </c>
      <c r="N435" s="67">
        <v>257.54440815454097</v>
      </c>
      <c r="O435" s="67">
        <v>128.772204077271</v>
      </c>
      <c r="P435" s="67">
        <v>36.520000495016603</v>
      </c>
      <c r="Q435" s="68">
        <v>0.14180078983932901</v>
      </c>
    </row>
    <row r="436" spans="1:17" x14ac:dyDescent="0.35">
      <c r="A436" s="62" t="s">
        <v>136</v>
      </c>
      <c r="B436" s="63">
        <v>658393</v>
      </c>
      <c r="C436" s="63" t="s">
        <v>141</v>
      </c>
      <c r="D436" s="64">
        <v>42605</v>
      </c>
      <c r="E436" s="63" t="s">
        <v>138</v>
      </c>
      <c r="F436" s="65">
        <v>66455</v>
      </c>
      <c r="G436" s="66">
        <v>1.54216185625354E-2</v>
      </c>
      <c r="H436" s="65">
        <v>510</v>
      </c>
      <c r="I436" s="67">
        <v>0.10562691245148299</v>
      </c>
      <c r="J436" s="67">
        <v>1.6289379537650901</v>
      </c>
      <c r="K436" s="65">
        <v>49</v>
      </c>
      <c r="L436" s="65">
        <v>5</v>
      </c>
      <c r="M436" s="66">
        <v>6.1162079510703399E-3</v>
      </c>
      <c r="N436" s="67">
        <v>102.517673487827</v>
      </c>
      <c r="O436" s="67">
        <v>51.258836743913498</v>
      </c>
      <c r="P436" s="67">
        <v>34.540000371635003</v>
      </c>
      <c r="Q436" s="68">
        <v>0.33691752062376101</v>
      </c>
    </row>
    <row r="437" spans="1:17" x14ac:dyDescent="0.35">
      <c r="A437" s="62" t="s">
        <v>136</v>
      </c>
      <c r="B437" s="63">
        <v>658393</v>
      </c>
      <c r="C437" s="63" t="s">
        <v>141</v>
      </c>
      <c r="D437" s="64">
        <v>42606</v>
      </c>
      <c r="E437" s="63" t="s">
        <v>138</v>
      </c>
      <c r="F437" s="65">
        <v>15725</v>
      </c>
      <c r="G437" s="66">
        <v>1.34623655913979E-2</v>
      </c>
      <c r="H437" s="65">
        <v>482</v>
      </c>
      <c r="I437" s="67">
        <v>0.108913741553553</v>
      </c>
      <c r="J437" s="67">
        <v>1.46623660672096</v>
      </c>
      <c r="K437" s="65">
        <v>34</v>
      </c>
      <c r="L437" s="65">
        <v>4</v>
      </c>
      <c r="M437" s="66">
        <v>9.5846645367412102E-3</v>
      </c>
      <c r="N437" s="67">
        <v>1070.87430840506</v>
      </c>
      <c r="O437" s="67">
        <v>356.95810280168502</v>
      </c>
      <c r="P437" s="67">
        <v>34.0900011062622</v>
      </c>
      <c r="Q437" s="68">
        <v>3.1833802378764098E-2</v>
      </c>
    </row>
    <row r="438" spans="1:17" x14ac:dyDescent="0.35">
      <c r="A438" s="62" t="s">
        <v>136</v>
      </c>
      <c r="B438" s="63">
        <v>658393</v>
      </c>
      <c r="C438" s="63" t="s">
        <v>141</v>
      </c>
      <c r="D438" s="64">
        <v>42607</v>
      </c>
      <c r="E438" s="63" t="s">
        <v>138</v>
      </c>
      <c r="F438" s="65">
        <v>19535</v>
      </c>
      <c r="G438" s="66">
        <v>1.3070220399795E-2</v>
      </c>
      <c r="H438" s="65">
        <v>428</v>
      </c>
      <c r="I438" s="67">
        <v>0.108745100363797</v>
      </c>
      <c r="J438" s="67">
        <v>1.4213224291526501</v>
      </c>
      <c r="K438" s="65">
        <v>88</v>
      </c>
      <c r="L438" s="65">
        <v>9</v>
      </c>
      <c r="M438" s="66">
        <v>1.5686274509803901E-2</v>
      </c>
      <c r="N438" s="67">
        <v>606.48387784607598</v>
      </c>
      <c r="O438" s="67">
        <v>151.620969461519</v>
      </c>
      <c r="P438" s="67">
        <v>27.730000592768199</v>
      </c>
      <c r="Q438" s="68">
        <v>4.5722568407343497E-2</v>
      </c>
    </row>
    <row r="439" spans="1:17" x14ac:dyDescent="0.35">
      <c r="A439" s="62" t="s">
        <v>136</v>
      </c>
      <c r="B439" s="63">
        <v>658393</v>
      </c>
      <c r="C439" s="63" t="s">
        <v>141</v>
      </c>
      <c r="D439" s="64">
        <v>42608</v>
      </c>
      <c r="E439" s="63" t="s">
        <v>138</v>
      </c>
      <c r="F439" s="65">
        <v>62371</v>
      </c>
      <c r="G439" s="66">
        <v>1.5538702497733099E-2</v>
      </c>
      <c r="H439" s="65">
        <v>219</v>
      </c>
      <c r="I439" s="67">
        <v>0.106578250818291</v>
      </c>
      <c r="J439" s="67">
        <v>1.65608773219419</v>
      </c>
      <c r="K439" s="65">
        <v>44</v>
      </c>
      <c r="L439" s="65">
        <v>7</v>
      </c>
      <c r="M439" s="66">
        <v>2.6525198938992002E-3</v>
      </c>
      <c r="N439" s="67">
        <v>67.9858583153312</v>
      </c>
      <c r="O439" s="67">
        <v>67.9858583153312</v>
      </c>
      <c r="P439" s="67">
        <v>40.1800005584955</v>
      </c>
      <c r="Q439" s="68">
        <v>0.59100527012740101</v>
      </c>
    </row>
    <row r="440" spans="1:17" x14ac:dyDescent="0.35">
      <c r="A440" s="62" t="s">
        <v>136</v>
      </c>
      <c r="B440" s="63">
        <v>658393</v>
      </c>
      <c r="C440" s="63" t="s">
        <v>141</v>
      </c>
      <c r="D440" s="64">
        <v>42609</v>
      </c>
      <c r="E440" s="63" t="s">
        <v>138</v>
      </c>
      <c r="F440" s="65">
        <v>14236</v>
      </c>
      <c r="G440" s="66">
        <v>1.3258024148544E-2</v>
      </c>
      <c r="H440" s="65">
        <v>374</v>
      </c>
      <c r="I440" s="67">
        <v>0.10625000134566601</v>
      </c>
      <c r="J440" s="67">
        <v>1.40866508362367</v>
      </c>
      <c r="K440" s="65">
        <v>95</v>
      </c>
      <c r="L440" s="65">
        <v>6</v>
      </c>
      <c r="M440" s="66">
        <v>7.6530612244898001E-3</v>
      </c>
      <c r="N440" s="67">
        <v>379.11708981112201</v>
      </c>
      <c r="O440" s="67">
        <v>126.372363270374</v>
      </c>
      <c r="P440" s="67">
        <v>41.650000527501099</v>
      </c>
      <c r="Q440" s="68">
        <v>0.109860519736136</v>
      </c>
    </row>
    <row r="441" spans="1:17" x14ac:dyDescent="0.35">
      <c r="A441" s="62" t="s">
        <v>136</v>
      </c>
      <c r="B441" s="63">
        <v>658393</v>
      </c>
      <c r="C441" s="63" t="s">
        <v>141</v>
      </c>
      <c r="D441" s="64">
        <v>42610</v>
      </c>
      <c r="E441" s="63" t="s">
        <v>138</v>
      </c>
      <c r="F441" s="65">
        <v>63435</v>
      </c>
      <c r="G441" s="66">
        <v>1.19947745536598E-2</v>
      </c>
      <c r="H441" s="65">
        <v>314</v>
      </c>
      <c r="I441" s="67">
        <v>0.106831684831542</v>
      </c>
      <c r="J441" s="67">
        <v>1.2814219747419799</v>
      </c>
      <c r="K441" s="65">
        <v>73</v>
      </c>
      <c r="L441" s="65">
        <v>3</v>
      </c>
      <c r="M441" s="66">
        <v>6.6006600660065999E-3</v>
      </c>
      <c r="N441" s="67">
        <v>102.431453041094</v>
      </c>
      <c r="O441" s="67">
        <v>51.215726520546902</v>
      </c>
      <c r="P441" s="67">
        <v>32.3700005039573</v>
      </c>
      <c r="Q441" s="68">
        <v>0.31601621907062999</v>
      </c>
    </row>
    <row r="442" spans="1:17" x14ac:dyDescent="0.35">
      <c r="A442" s="62" t="s">
        <v>136</v>
      </c>
      <c r="B442" s="63">
        <v>658393</v>
      </c>
      <c r="C442" s="63" t="s">
        <v>141</v>
      </c>
      <c r="D442" s="64">
        <v>42611</v>
      </c>
      <c r="E442" s="63" t="s">
        <v>138</v>
      </c>
      <c r="F442" s="65">
        <v>41631</v>
      </c>
      <c r="G442" s="66">
        <v>1.30049907107209E-2</v>
      </c>
      <c r="H442" s="65">
        <v>495</v>
      </c>
      <c r="I442" s="67">
        <v>0.108515409090105</v>
      </c>
      <c r="J442" s="67">
        <v>1.4112418871868899</v>
      </c>
      <c r="K442" s="65">
        <v>29</v>
      </c>
      <c r="L442" s="65">
        <v>4</v>
      </c>
      <c r="M442" s="66">
        <v>5.60224089635854E-3</v>
      </c>
      <c r="N442" s="67">
        <v>259.053274195119</v>
      </c>
      <c r="O442" s="67">
        <v>129.52663709756001</v>
      </c>
      <c r="P442" s="67">
        <v>38.740001045167404</v>
      </c>
      <c r="Q442" s="68">
        <v>0.149544533515482</v>
      </c>
    </row>
    <row r="443" spans="1:17" x14ac:dyDescent="0.35">
      <c r="A443" s="62" t="s">
        <v>136</v>
      </c>
      <c r="B443" s="63">
        <v>658393</v>
      </c>
      <c r="C443" s="63" t="s">
        <v>141</v>
      </c>
      <c r="D443" s="64">
        <v>42612</v>
      </c>
      <c r="E443" s="63" t="s">
        <v>138</v>
      </c>
      <c r="F443" s="65">
        <v>49757</v>
      </c>
      <c r="G443" s="66">
        <v>1.33606969341598E-2</v>
      </c>
      <c r="H443" s="65">
        <v>532</v>
      </c>
      <c r="I443" s="67">
        <v>0.10802508063824599</v>
      </c>
      <c r="J443" s="67">
        <v>1.4432903636957799</v>
      </c>
      <c r="K443" s="65">
        <v>43</v>
      </c>
      <c r="L443" s="65">
        <v>4</v>
      </c>
      <c r="M443" s="66">
        <v>3.1347962382445101E-3</v>
      </c>
      <c r="N443" s="67">
        <v>44.749095987134801</v>
      </c>
      <c r="O443" s="67">
        <v>44.749095987134801</v>
      </c>
      <c r="P443" s="67">
        <v>34.460000723600402</v>
      </c>
      <c r="Q443" s="68">
        <v>0.77007143861649296</v>
      </c>
    </row>
    <row r="444" spans="1:17" x14ac:dyDescent="0.35">
      <c r="A444" s="62" t="s">
        <v>136</v>
      </c>
      <c r="B444" s="63">
        <v>658393</v>
      </c>
      <c r="C444" s="63" t="s">
        <v>141</v>
      </c>
      <c r="D444" s="64">
        <v>42613</v>
      </c>
      <c r="E444" s="63" t="s">
        <v>138</v>
      </c>
      <c r="F444" s="65">
        <v>24705</v>
      </c>
      <c r="G444" s="66">
        <v>1.36525446935023E-2</v>
      </c>
      <c r="H444" s="65">
        <v>221</v>
      </c>
      <c r="I444" s="67">
        <v>0.106733527386769</v>
      </c>
      <c r="J444" s="67">
        <v>1.4571842529430199</v>
      </c>
      <c r="K444" s="65">
        <v>89</v>
      </c>
      <c r="L444" s="65">
        <v>5</v>
      </c>
      <c r="M444" s="66">
        <v>8.5959885386819503E-3</v>
      </c>
      <c r="N444" s="67">
        <v>470.29661338768</v>
      </c>
      <c r="O444" s="67">
        <v>156.76553779589301</v>
      </c>
      <c r="P444" s="67">
        <v>37.250001057982402</v>
      </c>
      <c r="Q444" s="68">
        <v>7.9205335521470396E-2</v>
      </c>
    </row>
    <row r="445" spans="1:17" x14ac:dyDescent="0.35">
      <c r="A445" s="62" t="s">
        <v>136</v>
      </c>
      <c r="B445" s="63">
        <v>658393</v>
      </c>
      <c r="C445" s="63" t="s">
        <v>141</v>
      </c>
      <c r="D445" s="64">
        <v>42614</v>
      </c>
      <c r="E445" s="63" t="s">
        <v>138</v>
      </c>
      <c r="F445" s="65">
        <v>60951</v>
      </c>
      <c r="G445" s="66">
        <v>1.39794168096055E-2</v>
      </c>
      <c r="H445" s="65">
        <v>357</v>
      </c>
      <c r="I445" s="67">
        <v>0.111779142034017</v>
      </c>
      <c r="J445" s="67">
        <v>1.5626072171136201</v>
      </c>
      <c r="K445" s="65">
        <v>79</v>
      </c>
      <c r="L445" s="65">
        <v>0</v>
      </c>
      <c r="M445" s="66">
        <v>0</v>
      </c>
      <c r="N445" s="67">
        <v>0</v>
      </c>
      <c r="O445" s="67">
        <v>0</v>
      </c>
      <c r="P445" s="67">
        <v>36.440000303089597</v>
      </c>
      <c r="Q445" s="68">
        <v>0</v>
      </c>
    </row>
    <row r="446" spans="1:17" x14ac:dyDescent="0.35">
      <c r="A446" s="62" t="s">
        <v>136</v>
      </c>
      <c r="B446" s="63">
        <v>658393</v>
      </c>
      <c r="C446" s="63" t="s">
        <v>141</v>
      </c>
      <c r="D446" s="64">
        <v>42615</v>
      </c>
      <c r="E446" s="63" t="s">
        <v>138</v>
      </c>
      <c r="F446" s="65">
        <v>7906</v>
      </c>
      <c r="G446" s="66">
        <v>1.3989437974329401E-2</v>
      </c>
      <c r="H446" s="65">
        <v>377</v>
      </c>
      <c r="I446" s="67">
        <v>0.111525002494454</v>
      </c>
      <c r="J446" s="67">
        <v>1.5601721049831001</v>
      </c>
      <c r="K446" s="65">
        <v>43</v>
      </c>
      <c r="L446" s="65">
        <v>10</v>
      </c>
      <c r="M446" s="66">
        <v>5.0000000000000001E-3</v>
      </c>
      <c r="N446" s="67">
        <v>119.807745205766</v>
      </c>
      <c r="O446" s="67">
        <v>59.903872602883098</v>
      </c>
      <c r="P446" s="67">
        <v>44.610000997781803</v>
      </c>
      <c r="Q446" s="68">
        <v>0.37234655339824102</v>
      </c>
    </row>
    <row r="447" spans="1:17" x14ac:dyDescent="0.35">
      <c r="A447" s="62" t="s">
        <v>136</v>
      </c>
      <c r="B447" s="63">
        <v>658393</v>
      </c>
      <c r="C447" s="63" t="s">
        <v>141</v>
      </c>
      <c r="D447" s="64">
        <v>42616</v>
      </c>
      <c r="E447" s="63" t="s">
        <v>138</v>
      </c>
      <c r="F447" s="65">
        <v>65073</v>
      </c>
      <c r="G447" s="66">
        <v>1.3339824732229799E-2</v>
      </c>
      <c r="H447" s="65">
        <v>267</v>
      </c>
      <c r="I447" s="67">
        <v>0.111143555501227</v>
      </c>
      <c r="J447" s="67">
        <v>1.48263555050322</v>
      </c>
      <c r="K447" s="65">
        <v>75</v>
      </c>
      <c r="L447" s="65">
        <v>7</v>
      </c>
      <c r="M447" s="66">
        <v>4.8661800486617997E-3</v>
      </c>
      <c r="N447" s="67">
        <v>63.409472239354997</v>
      </c>
      <c r="O447" s="67">
        <v>31.704736119677499</v>
      </c>
      <c r="P447" s="67">
        <v>45.680001311004197</v>
      </c>
      <c r="Q447" s="68">
        <v>0.72039712203523099</v>
      </c>
    </row>
    <row r="448" spans="1:17" x14ac:dyDescent="0.35">
      <c r="A448" s="62" t="s">
        <v>136</v>
      </c>
      <c r="B448" s="63">
        <v>658393</v>
      </c>
      <c r="C448" s="63" t="s">
        <v>141</v>
      </c>
      <c r="D448" s="64">
        <v>42617</v>
      </c>
      <c r="E448" s="63" t="s">
        <v>138</v>
      </c>
      <c r="F448" s="65">
        <v>24989</v>
      </c>
      <c r="G448" s="66">
        <v>1.4851485148514899E-2</v>
      </c>
      <c r="H448" s="65">
        <v>207</v>
      </c>
      <c r="I448" s="67">
        <v>0.111214474305626</v>
      </c>
      <c r="J448" s="67">
        <v>1.6517001134498901</v>
      </c>
      <c r="K448" s="65">
        <v>69</v>
      </c>
      <c r="L448" s="65">
        <v>4</v>
      </c>
      <c r="M448" s="66">
        <v>5.1679586563307496E-3</v>
      </c>
      <c r="N448" s="67">
        <v>440.426853474974</v>
      </c>
      <c r="O448" s="67">
        <v>220.213426737487</v>
      </c>
      <c r="P448" s="67">
        <v>43.040001556277304</v>
      </c>
      <c r="Q448" s="68">
        <v>9.7723381798114795E-2</v>
      </c>
    </row>
    <row r="449" spans="1:17" x14ac:dyDescent="0.35">
      <c r="A449" s="62" t="s">
        <v>136</v>
      </c>
      <c r="B449" s="63">
        <v>658393</v>
      </c>
      <c r="C449" s="63" t="s">
        <v>141</v>
      </c>
      <c r="D449" s="64">
        <v>42618</v>
      </c>
      <c r="E449" s="63" t="s">
        <v>138</v>
      </c>
      <c r="F449" s="65">
        <v>17708</v>
      </c>
      <c r="G449" s="66">
        <v>1.2281315605318401E-2</v>
      </c>
      <c r="H449" s="65">
        <v>218</v>
      </c>
      <c r="I449" s="67">
        <v>0.110313395765262</v>
      </c>
      <c r="J449" s="67">
        <v>1.3547936288875799</v>
      </c>
      <c r="K449" s="65">
        <v>40</v>
      </c>
      <c r="L449" s="65">
        <v>9</v>
      </c>
      <c r="M449" s="66">
        <v>1.13960113960114E-2</v>
      </c>
      <c r="N449" s="67">
        <v>281.770878425192</v>
      </c>
      <c r="O449" s="67">
        <v>70.442719606298098</v>
      </c>
      <c r="P449" s="67">
        <v>38.720001913607099</v>
      </c>
      <c r="Q449" s="68">
        <v>0.13741662066006199</v>
      </c>
    </row>
    <row r="450" spans="1:17" x14ac:dyDescent="0.35">
      <c r="A450" s="62" t="s">
        <v>136</v>
      </c>
      <c r="B450" s="63">
        <v>658393</v>
      </c>
      <c r="C450" s="63" t="s">
        <v>141</v>
      </c>
      <c r="D450" s="64">
        <v>42619</v>
      </c>
      <c r="E450" s="63" t="s">
        <v>138</v>
      </c>
      <c r="F450" s="65">
        <v>25331</v>
      </c>
      <c r="G450" s="66">
        <v>1.22594090964815E-2</v>
      </c>
      <c r="H450" s="65">
        <v>232</v>
      </c>
      <c r="I450" s="67">
        <v>0.11560000186165199</v>
      </c>
      <c r="J450" s="67">
        <v>1.4171877143760201</v>
      </c>
      <c r="K450" s="65">
        <v>15</v>
      </c>
      <c r="L450" s="65">
        <v>1</v>
      </c>
      <c r="M450" s="66">
        <v>3.3333333333333301E-3</v>
      </c>
      <c r="N450" s="67">
        <v>217.699978925404</v>
      </c>
      <c r="O450" s="67">
        <v>217.699978925404</v>
      </c>
      <c r="P450" s="67">
        <v>34.6800005584955</v>
      </c>
      <c r="Q450" s="68">
        <v>0.15930180944288799</v>
      </c>
    </row>
    <row r="451" spans="1:17" x14ac:dyDescent="0.35">
      <c r="A451" s="62" t="s">
        <v>136</v>
      </c>
      <c r="B451" s="63">
        <v>658393</v>
      </c>
      <c r="C451" s="63" t="s">
        <v>141</v>
      </c>
      <c r="D451" s="64">
        <v>42620</v>
      </c>
      <c r="E451" s="63" t="s">
        <v>138</v>
      </c>
      <c r="F451" s="65">
        <v>14870</v>
      </c>
      <c r="G451" s="66">
        <v>1.2098116837470901E-2</v>
      </c>
      <c r="H451" s="65">
        <v>460</v>
      </c>
      <c r="I451" s="67">
        <v>0.11437309148296999</v>
      </c>
      <c r="J451" s="67">
        <v>1.3836990238237199</v>
      </c>
      <c r="K451" s="65">
        <v>28</v>
      </c>
      <c r="L451" s="65">
        <v>3</v>
      </c>
      <c r="M451" s="66">
        <v>6.1162079510703399E-3</v>
      </c>
      <c r="N451" s="67">
        <v>197.15142025078299</v>
      </c>
      <c r="O451" s="67">
        <v>98.575710125391694</v>
      </c>
      <c r="P451" s="67">
        <v>37.400000914931297</v>
      </c>
      <c r="Q451" s="68">
        <v>0.18970190966596701</v>
      </c>
    </row>
    <row r="452" spans="1:17" x14ac:dyDescent="0.35">
      <c r="A452" s="62" t="s">
        <v>136</v>
      </c>
      <c r="B452" s="63">
        <v>658393</v>
      </c>
      <c r="C452" s="63" t="s">
        <v>141</v>
      </c>
      <c r="D452" s="64">
        <v>42621</v>
      </c>
      <c r="E452" s="63" t="s">
        <v>138</v>
      </c>
      <c r="F452" s="65">
        <v>13465</v>
      </c>
      <c r="G452" s="66">
        <v>1.6771167864607198E-2</v>
      </c>
      <c r="H452" s="65">
        <v>388</v>
      </c>
      <c r="I452" s="67">
        <v>0.11696048730865399</v>
      </c>
      <c r="J452" s="67">
        <v>1.96156396617971</v>
      </c>
      <c r="K452" s="65">
        <v>35</v>
      </c>
      <c r="L452" s="65">
        <v>2</v>
      </c>
      <c r="M452" s="66">
        <v>0</v>
      </c>
      <c r="N452" s="67">
        <v>0</v>
      </c>
      <c r="O452" s="67">
        <v>0</v>
      </c>
      <c r="P452" s="67">
        <v>38.480000324547298</v>
      </c>
      <c r="Q452" s="68">
        <v>0</v>
      </c>
    </row>
    <row r="453" spans="1:17" x14ac:dyDescent="0.35">
      <c r="A453" s="62" t="s">
        <v>136</v>
      </c>
      <c r="B453" s="63">
        <v>658393</v>
      </c>
      <c r="C453" s="63" t="s">
        <v>141</v>
      </c>
      <c r="D453" s="64">
        <v>42622</v>
      </c>
      <c r="E453" s="63" t="s">
        <v>138</v>
      </c>
      <c r="F453" s="65">
        <v>28213</v>
      </c>
      <c r="G453" s="66">
        <v>1.5731477453965501E-2</v>
      </c>
      <c r="H453" s="65">
        <v>449</v>
      </c>
      <c r="I453" s="67">
        <v>0.11357143159080201</v>
      </c>
      <c r="J453" s="67">
        <v>1.7866464154852899</v>
      </c>
      <c r="K453" s="65">
        <v>46</v>
      </c>
      <c r="L453" s="65">
        <v>2</v>
      </c>
      <c r="M453" s="66">
        <v>0</v>
      </c>
      <c r="N453" s="67">
        <v>0</v>
      </c>
      <c r="O453" s="67">
        <v>0</v>
      </c>
      <c r="P453" s="67">
        <v>49.290001310408101</v>
      </c>
      <c r="Q453" s="68">
        <v>0</v>
      </c>
    </row>
    <row r="454" spans="1:17" x14ac:dyDescent="0.35">
      <c r="A454" s="62" t="s">
        <v>136</v>
      </c>
      <c r="B454" s="63">
        <v>658393</v>
      </c>
      <c r="C454" s="63" t="s">
        <v>141</v>
      </c>
      <c r="D454" s="64">
        <v>42623</v>
      </c>
      <c r="E454" s="63" t="s">
        <v>138</v>
      </c>
      <c r="F454" s="65">
        <v>37262</v>
      </c>
      <c r="G454" s="66">
        <v>1.18801364119193E-2</v>
      </c>
      <c r="H454" s="65">
        <v>184</v>
      </c>
      <c r="I454" s="67">
        <v>0.11421176675488</v>
      </c>
      <c r="J454" s="67">
        <v>1.35685136889428</v>
      </c>
      <c r="K454" s="65">
        <v>37</v>
      </c>
      <c r="L454" s="65">
        <v>5</v>
      </c>
      <c r="M454" s="66">
        <v>4.7058823529411804E-3</v>
      </c>
      <c r="N454" s="67">
        <v>60.675545589918997</v>
      </c>
      <c r="O454" s="67">
        <v>30.337772794959498</v>
      </c>
      <c r="P454" s="67">
        <v>48.540000870823903</v>
      </c>
      <c r="Q454" s="68">
        <v>0.79999282081261702</v>
      </c>
    </row>
    <row r="455" spans="1:17" x14ac:dyDescent="0.35">
      <c r="A455" s="62" t="s">
        <v>136</v>
      </c>
      <c r="B455" s="63">
        <v>658393</v>
      </c>
      <c r="C455" s="63" t="s">
        <v>141</v>
      </c>
      <c r="D455" s="64">
        <v>42624</v>
      </c>
      <c r="E455" s="63" t="s">
        <v>138</v>
      </c>
      <c r="F455" s="65">
        <v>26196</v>
      </c>
      <c r="G455" s="66">
        <v>1.0601092896174899E-2</v>
      </c>
      <c r="H455" s="65">
        <v>331</v>
      </c>
      <c r="I455" s="67">
        <v>0.12912371581823601</v>
      </c>
      <c r="J455" s="67">
        <v>1.3688525064884001</v>
      </c>
      <c r="K455" s="65">
        <v>19</v>
      </c>
      <c r="L455" s="65">
        <v>8</v>
      </c>
      <c r="M455" s="66">
        <v>7.7319587628866E-3</v>
      </c>
      <c r="N455" s="67">
        <v>198.03333560019499</v>
      </c>
      <c r="O455" s="67">
        <v>66.011111866731497</v>
      </c>
      <c r="P455" s="67">
        <v>50.100001737475402</v>
      </c>
      <c r="Q455" s="68">
        <v>0.25298771838404699</v>
      </c>
    </row>
    <row r="456" spans="1:17" x14ac:dyDescent="0.35">
      <c r="A456" s="62" t="s">
        <v>136</v>
      </c>
      <c r="B456" s="63">
        <v>658393</v>
      </c>
      <c r="C456" s="63" t="s">
        <v>141</v>
      </c>
      <c r="D456" s="64">
        <v>42625</v>
      </c>
      <c r="E456" s="63" t="s">
        <v>138</v>
      </c>
      <c r="F456" s="65">
        <v>316</v>
      </c>
      <c r="G456" s="66">
        <v>1.23691053482325E-2</v>
      </c>
      <c r="H456" s="65">
        <v>433</v>
      </c>
      <c r="I456" s="67">
        <v>0.120426141233607</v>
      </c>
      <c r="J456" s="67">
        <v>1.48956362759961</v>
      </c>
      <c r="K456" s="65">
        <v>17</v>
      </c>
      <c r="L456" s="65">
        <v>9</v>
      </c>
      <c r="M456" s="66">
        <v>8.5227272727272704E-3</v>
      </c>
      <c r="N456" s="67">
        <v>341.65270104169798</v>
      </c>
      <c r="O456" s="67">
        <v>113.884233680566</v>
      </c>
      <c r="P456" s="67">
        <v>42.390001714229598</v>
      </c>
      <c r="Q456" s="68">
        <v>0.124073369199139</v>
      </c>
    </row>
    <row r="457" spans="1:17" x14ac:dyDescent="0.35">
      <c r="A457" s="62" t="s">
        <v>136</v>
      </c>
      <c r="B457" s="63">
        <v>658393</v>
      </c>
      <c r="C457" s="63" t="s">
        <v>141</v>
      </c>
      <c r="D457" s="64">
        <v>42626</v>
      </c>
      <c r="E457" s="63" t="s">
        <v>138</v>
      </c>
      <c r="F457" s="65">
        <v>66012</v>
      </c>
      <c r="G457" s="66">
        <v>1.49659863945578E-2</v>
      </c>
      <c r="H457" s="65">
        <v>230</v>
      </c>
      <c r="I457" s="67">
        <v>0.13289562788374901</v>
      </c>
      <c r="J457" s="67">
        <v>1.9889141588044099</v>
      </c>
      <c r="K457" s="65">
        <v>71</v>
      </c>
      <c r="L457" s="65">
        <v>4</v>
      </c>
      <c r="M457" s="66">
        <v>1.01010101010101E-2</v>
      </c>
      <c r="N457" s="67">
        <v>576.59404514769301</v>
      </c>
      <c r="O457" s="67">
        <v>192.198015049231</v>
      </c>
      <c r="P457" s="67">
        <v>39.470001481473403</v>
      </c>
      <c r="Q457" s="68">
        <v>6.8453709873752405E-2</v>
      </c>
    </row>
    <row r="458" spans="1:17" x14ac:dyDescent="0.35">
      <c r="A458" s="62" t="s">
        <v>136</v>
      </c>
      <c r="B458" s="63">
        <v>658393</v>
      </c>
      <c r="C458" s="63" t="s">
        <v>141</v>
      </c>
      <c r="D458" s="64">
        <v>42627</v>
      </c>
      <c r="E458" s="63" t="s">
        <v>138</v>
      </c>
      <c r="F458" s="65">
        <v>4138</v>
      </c>
      <c r="G458" s="66">
        <v>1.5799207397622202E-2</v>
      </c>
      <c r="H458" s="65">
        <v>528</v>
      </c>
      <c r="I458" s="67">
        <v>0.121270905868664</v>
      </c>
      <c r="J458" s="67">
        <v>1.91598419311654</v>
      </c>
      <c r="K458" s="65">
        <v>31</v>
      </c>
      <c r="L458" s="65">
        <v>4</v>
      </c>
      <c r="M458" s="66">
        <v>6.6889632107023402E-3</v>
      </c>
      <c r="N458" s="67">
        <v>304.656499318844</v>
      </c>
      <c r="O458" s="67">
        <v>152.328249659422</v>
      </c>
      <c r="P458" s="67">
        <v>36.260000854730599</v>
      </c>
      <c r="Q458" s="68">
        <v>0.119019292008545</v>
      </c>
    </row>
    <row r="459" spans="1:17" x14ac:dyDescent="0.35">
      <c r="A459" s="62" t="s">
        <v>136</v>
      </c>
      <c r="B459" s="63">
        <v>658393</v>
      </c>
      <c r="C459" s="63" t="s">
        <v>141</v>
      </c>
      <c r="D459" s="64">
        <v>42628</v>
      </c>
      <c r="E459" s="63" t="s">
        <v>138</v>
      </c>
      <c r="F459" s="65">
        <v>35058</v>
      </c>
      <c r="G459" s="66">
        <v>1.51353176166095E-2</v>
      </c>
      <c r="H459" s="65">
        <v>516</v>
      </c>
      <c r="I459" s="67">
        <v>0.116840152464613</v>
      </c>
      <c r="J459" s="67">
        <v>1.768412817925</v>
      </c>
      <c r="K459" s="65">
        <v>70</v>
      </c>
      <c r="L459" s="65">
        <v>4</v>
      </c>
      <c r="M459" s="66">
        <v>3.7174721189591098E-3</v>
      </c>
      <c r="N459" s="67">
        <v>48.461064258699601</v>
      </c>
      <c r="O459" s="67">
        <v>48.461064258699601</v>
      </c>
      <c r="P459" s="67">
        <v>31.430001012980899</v>
      </c>
      <c r="Q459" s="68">
        <v>0.64856192272621704</v>
      </c>
    </row>
    <row r="460" spans="1:17" x14ac:dyDescent="0.35">
      <c r="A460" s="62" t="s">
        <v>136</v>
      </c>
      <c r="B460" s="63">
        <v>658393</v>
      </c>
      <c r="C460" s="63" t="s">
        <v>141</v>
      </c>
      <c r="D460" s="64">
        <v>42629</v>
      </c>
      <c r="E460" s="63" t="s">
        <v>138</v>
      </c>
      <c r="F460" s="65">
        <v>29528</v>
      </c>
      <c r="G460" s="66">
        <v>1.4441199893814699E-2</v>
      </c>
      <c r="H460" s="65">
        <v>186</v>
      </c>
      <c r="I460" s="67">
        <v>0.134411769179518</v>
      </c>
      <c r="J460" s="67">
        <v>1.9410672268027001</v>
      </c>
      <c r="K460" s="65">
        <v>54</v>
      </c>
      <c r="L460" s="65">
        <v>7</v>
      </c>
      <c r="M460" s="66">
        <v>3.6764705882352902E-3</v>
      </c>
      <c r="N460" s="67">
        <v>120.469182558881</v>
      </c>
      <c r="O460" s="67">
        <v>120.469182558881</v>
      </c>
      <c r="P460" s="67">
        <v>36.560001216828802</v>
      </c>
      <c r="Q460" s="68">
        <v>0.30348011367105798</v>
      </c>
    </row>
    <row r="461" spans="1:17" x14ac:dyDescent="0.35">
      <c r="A461" s="62" t="s">
        <v>136</v>
      </c>
      <c r="B461" s="63">
        <v>658393</v>
      </c>
      <c r="C461" s="63" t="s">
        <v>141</v>
      </c>
      <c r="D461" s="64">
        <v>42630</v>
      </c>
      <c r="E461" s="63" t="s">
        <v>138</v>
      </c>
      <c r="F461" s="65">
        <v>21130</v>
      </c>
      <c r="G461" s="66">
        <v>1.0586900810822201E-2</v>
      </c>
      <c r="H461" s="65">
        <v>477</v>
      </c>
      <c r="I461" s="67">
        <v>0.17718254313582499</v>
      </c>
      <c r="J461" s="67">
        <v>1.8758140095882001</v>
      </c>
      <c r="K461" s="65">
        <v>56</v>
      </c>
      <c r="L461" s="65">
        <v>3</v>
      </c>
      <c r="M461" s="66">
        <v>3.9682539682539698E-3</v>
      </c>
      <c r="N461" s="67">
        <v>105.69715007859701</v>
      </c>
      <c r="O461" s="67">
        <v>105.69715007859701</v>
      </c>
      <c r="P461" s="67">
        <v>44.6500008702278</v>
      </c>
      <c r="Q461" s="68">
        <v>0.42243334694479301</v>
      </c>
    </row>
    <row r="462" spans="1:17" x14ac:dyDescent="0.35">
      <c r="A462" s="62" t="s">
        <v>136</v>
      </c>
      <c r="B462" s="63">
        <v>658393</v>
      </c>
      <c r="C462" s="63" t="s">
        <v>141</v>
      </c>
      <c r="D462" s="64">
        <v>42631</v>
      </c>
      <c r="E462" s="63" t="s">
        <v>138</v>
      </c>
      <c r="F462" s="65">
        <v>35807</v>
      </c>
      <c r="G462" s="66">
        <v>1.1461910870194899E-2</v>
      </c>
      <c r="H462" s="65">
        <v>407</v>
      </c>
      <c r="I462" s="67">
        <v>0.175126352787879</v>
      </c>
      <c r="J462" s="67">
        <v>2.0072826466769702</v>
      </c>
      <c r="K462" s="65">
        <v>78</v>
      </c>
      <c r="L462" s="65">
        <v>4</v>
      </c>
      <c r="M462" s="66">
        <v>7.2202166064982004E-3</v>
      </c>
      <c r="N462" s="67">
        <v>216.818056847538</v>
      </c>
      <c r="O462" s="67">
        <v>108.409028423769</v>
      </c>
      <c r="P462" s="67">
        <v>48.509999722242398</v>
      </c>
      <c r="Q462" s="68">
        <v>0.22373597673349499</v>
      </c>
    </row>
    <row r="463" spans="1:17" x14ac:dyDescent="0.35">
      <c r="A463" s="62" t="s">
        <v>136</v>
      </c>
      <c r="B463" s="63">
        <v>658393</v>
      </c>
      <c r="C463" s="63" t="s">
        <v>141</v>
      </c>
      <c r="D463" s="64">
        <v>42632</v>
      </c>
      <c r="E463" s="63" t="s">
        <v>138</v>
      </c>
      <c r="F463" s="65">
        <v>59970</v>
      </c>
      <c r="G463" s="66">
        <v>1.0779029887310099E-2</v>
      </c>
      <c r="H463" s="65">
        <v>323</v>
      </c>
      <c r="I463" s="67">
        <v>0.14436363723467699</v>
      </c>
      <c r="J463" s="67">
        <v>1.5560999603933801</v>
      </c>
      <c r="K463" s="65">
        <v>76</v>
      </c>
      <c r="L463" s="65">
        <v>5</v>
      </c>
      <c r="M463" s="66">
        <v>9.0909090909090905E-3</v>
      </c>
      <c r="N463" s="67">
        <v>303.15723145004898</v>
      </c>
      <c r="O463" s="67">
        <v>151.578615725025</v>
      </c>
      <c r="P463" s="67">
        <v>31.760000191628901</v>
      </c>
      <c r="Q463" s="68">
        <v>0.10476411873705201</v>
      </c>
    </row>
    <row r="464" spans="1:17" x14ac:dyDescent="0.35">
      <c r="A464" s="62" t="s">
        <v>136</v>
      </c>
      <c r="B464" s="63">
        <v>658393</v>
      </c>
      <c r="C464" s="63" t="s">
        <v>141</v>
      </c>
      <c r="D464" s="64">
        <v>42633</v>
      </c>
      <c r="E464" s="63" t="s">
        <v>138</v>
      </c>
      <c r="F464" s="65">
        <v>47335</v>
      </c>
      <c r="G464" s="66">
        <v>1.37053087757313E-2</v>
      </c>
      <c r="H464" s="65">
        <v>556</v>
      </c>
      <c r="I464" s="67">
        <v>0.155256916912412</v>
      </c>
      <c r="J464" s="67">
        <v>2.1278439858526701</v>
      </c>
      <c r="K464" s="65">
        <v>97</v>
      </c>
      <c r="L464" s="65">
        <v>1</v>
      </c>
      <c r="M464" s="66">
        <v>3.9525691699604697E-3</v>
      </c>
      <c r="N464" s="67">
        <v>26.369168020575199</v>
      </c>
      <c r="O464" s="67">
        <v>26.369168020575199</v>
      </c>
      <c r="P464" s="67">
        <v>39.279999978840401</v>
      </c>
      <c r="Q464" s="68">
        <v>1.48961847974085</v>
      </c>
    </row>
    <row r="465" spans="1:17" x14ac:dyDescent="0.35">
      <c r="A465" s="62" t="s">
        <v>136</v>
      </c>
      <c r="B465" s="63">
        <v>658393</v>
      </c>
      <c r="C465" s="63" t="s">
        <v>141</v>
      </c>
      <c r="D465" s="64">
        <v>42634</v>
      </c>
      <c r="E465" s="63" t="s">
        <v>138</v>
      </c>
      <c r="F465" s="65">
        <v>4027</v>
      </c>
      <c r="G465" s="66">
        <v>1.1038007721167999E-2</v>
      </c>
      <c r="H465" s="65">
        <v>193</v>
      </c>
      <c r="I465" s="67">
        <v>0.17049261156855</v>
      </c>
      <c r="J465" s="67">
        <v>1.88189876289574</v>
      </c>
      <c r="K465" s="65">
        <v>50</v>
      </c>
      <c r="L465" s="65">
        <v>5</v>
      </c>
      <c r="M465" s="66">
        <v>9.8522167487684695E-3</v>
      </c>
      <c r="N465" s="67">
        <v>216.64167714188301</v>
      </c>
      <c r="O465" s="67">
        <v>108.320838570942</v>
      </c>
      <c r="P465" s="67">
        <v>34.610000148415601</v>
      </c>
      <c r="Q465" s="68">
        <v>0.15975688798674101</v>
      </c>
    </row>
    <row r="466" spans="1:17" x14ac:dyDescent="0.35">
      <c r="A466" s="62" t="s">
        <v>136</v>
      </c>
      <c r="B466" s="63">
        <v>658393</v>
      </c>
      <c r="C466" s="63" t="s">
        <v>141</v>
      </c>
      <c r="D466" s="64">
        <v>42635</v>
      </c>
      <c r="E466" s="63" t="s">
        <v>138</v>
      </c>
      <c r="F466" s="65">
        <v>34656</v>
      </c>
      <c r="G466" s="66">
        <v>1.22444055733156E-2</v>
      </c>
      <c r="H466" s="65">
        <v>306</v>
      </c>
      <c r="I466" s="67">
        <v>0.174679804428164</v>
      </c>
      <c r="J466" s="67">
        <v>2.1388503708858999</v>
      </c>
      <c r="K466" s="65">
        <v>52</v>
      </c>
      <c r="L466" s="65">
        <v>5</v>
      </c>
      <c r="M466" s="66">
        <v>4.92610837438424E-3</v>
      </c>
      <c r="N466" s="67">
        <v>61.689740672230499</v>
      </c>
      <c r="O466" s="67">
        <v>61.689740672230499</v>
      </c>
      <c r="P466" s="67">
        <v>35.460000298917301</v>
      </c>
      <c r="Q466" s="68">
        <v>0.57481195272522101</v>
      </c>
    </row>
    <row r="467" spans="1:17" x14ac:dyDescent="0.35">
      <c r="A467" s="62" t="s">
        <v>136</v>
      </c>
      <c r="B467" s="63">
        <v>658393</v>
      </c>
      <c r="C467" s="63" t="s">
        <v>141</v>
      </c>
      <c r="D467" s="64">
        <v>42636</v>
      </c>
      <c r="E467" s="63" t="s">
        <v>138</v>
      </c>
      <c r="F467" s="65">
        <v>58797</v>
      </c>
      <c r="G467" s="66">
        <v>1.19113929474271E-2</v>
      </c>
      <c r="H467" s="65">
        <v>514</v>
      </c>
      <c r="I467" s="67">
        <v>0.16755395706930601</v>
      </c>
      <c r="J467" s="67">
        <v>1.9958010225488301</v>
      </c>
      <c r="K467" s="65">
        <v>71</v>
      </c>
      <c r="L467" s="65">
        <v>4</v>
      </c>
      <c r="M467" s="66">
        <v>3.5971223021582701E-3</v>
      </c>
      <c r="N467" s="67">
        <v>52.870624184618997</v>
      </c>
      <c r="O467" s="67">
        <v>52.870624184618997</v>
      </c>
      <c r="P467" s="67">
        <v>46.5800000652671</v>
      </c>
      <c r="Q467" s="68">
        <v>0.88101853881305303</v>
      </c>
    </row>
    <row r="468" spans="1:17" x14ac:dyDescent="0.35">
      <c r="A468" s="62" t="s">
        <v>136</v>
      </c>
      <c r="B468" s="63">
        <v>658393</v>
      </c>
      <c r="C468" s="63" t="s">
        <v>141</v>
      </c>
      <c r="D468" s="64">
        <v>42637</v>
      </c>
      <c r="E468" s="63" t="s">
        <v>138</v>
      </c>
      <c r="F468" s="65">
        <v>13682</v>
      </c>
      <c r="G468" s="66">
        <v>9.4145134689389808E-3</v>
      </c>
      <c r="H468" s="65">
        <v>555</v>
      </c>
      <c r="I468" s="67">
        <v>0.17273722676030001</v>
      </c>
      <c r="J468" s="67">
        <v>1.62623694792201</v>
      </c>
      <c r="K468" s="65">
        <v>95</v>
      </c>
      <c r="L468" s="65">
        <v>6</v>
      </c>
      <c r="M468" s="66">
        <v>1.09489051094891E-2</v>
      </c>
      <c r="N468" s="67">
        <v>324.587708838308</v>
      </c>
      <c r="O468" s="67">
        <v>108.195902946103</v>
      </c>
      <c r="P468" s="67">
        <v>47.330000132322297</v>
      </c>
      <c r="Q468" s="68">
        <v>0.14581574977597</v>
      </c>
    </row>
    <row r="469" spans="1:17" x14ac:dyDescent="0.35">
      <c r="A469" s="62" t="s">
        <v>136</v>
      </c>
      <c r="B469" s="63">
        <v>658393</v>
      </c>
      <c r="C469" s="63" t="s">
        <v>141</v>
      </c>
      <c r="D469" s="64">
        <v>42638</v>
      </c>
      <c r="E469" s="63" t="s">
        <v>138</v>
      </c>
      <c r="F469" s="65">
        <v>36319</v>
      </c>
      <c r="G469" s="66">
        <v>8.5031219191587307E-3</v>
      </c>
      <c r="H469" s="65">
        <v>230</v>
      </c>
      <c r="I469" s="67">
        <v>0.254299521086297</v>
      </c>
      <c r="J469" s="67">
        <v>2.1623398317804599</v>
      </c>
      <c r="K469" s="65">
        <v>87</v>
      </c>
      <c r="L469" s="65">
        <v>7</v>
      </c>
      <c r="M469" s="66">
        <v>1.9323671497584499E-2</v>
      </c>
      <c r="N469" s="67">
        <v>288.95845992696201</v>
      </c>
      <c r="O469" s="67">
        <v>72.239614981740402</v>
      </c>
      <c r="P469" s="67">
        <v>52.640000864863403</v>
      </c>
      <c r="Q469" s="68">
        <v>0.18217151655005701</v>
      </c>
    </row>
    <row r="470" spans="1:17" x14ac:dyDescent="0.35">
      <c r="A470" s="62" t="s">
        <v>136</v>
      </c>
      <c r="B470" s="63">
        <v>658393</v>
      </c>
      <c r="C470" s="63" t="s">
        <v>141</v>
      </c>
      <c r="D470" s="64">
        <v>42639</v>
      </c>
      <c r="E470" s="63" t="s">
        <v>138</v>
      </c>
      <c r="F470" s="65">
        <v>20970</v>
      </c>
      <c r="G470" s="66">
        <v>1.02990970654628E-2</v>
      </c>
      <c r="H470" s="65">
        <v>339</v>
      </c>
      <c r="I470" s="67">
        <v>0.209863016152219</v>
      </c>
      <c r="J470" s="67">
        <v>2.16139957380248</v>
      </c>
      <c r="K470" s="65">
        <v>18</v>
      </c>
      <c r="L470" s="65">
        <v>7</v>
      </c>
      <c r="M470" s="66">
        <v>1.3698630136986301E-2</v>
      </c>
      <c r="N470" s="67">
        <v>697.94513969175796</v>
      </c>
      <c r="O470" s="67">
        <v>232.64837989725299</v>
      </c>
      <c r="P470" s="67">
        <v>45.960000537335901</v>
      </c>
      <c r="Q470" s="68">
        <v>6.5850448586308299E-2</v>
      </c>
    </row>
    <row r="471" spans="1:17" x14ac:dyDescent="0.35">
      <c r="A471" s="62" t="s">
        <v>136</v>
      </c>
      <c r="B471" s="63">
        <v>658393</v>
      </c>
      <c r="C471" s="63" t="s">
        <v>141</v>
      </c>
      <c r="D471" s="64">
        <v>42640</v>
      </c>
      <c r="E471" s="63" t="s">
        <v>138</v>
      </c>
      <c r="F471" s="65">
        <v>31248</v>
      </c>
      <c r="G471" s="66">
        <v>7.52572864406836E-3</v>
      </c>
      <c r="H471" s="65">
        <v>318</v>
      </c>
      <c r="I471" s="67">
        <v>0.20567742047771301</v>
      </c>
      <c r="J471" s="67">
        <v>1.54787338192103</v>
      </c>
      <c r="K471" s="65">
        <v>91</v>
      </c>
      <c r="L471" s="65">
        <v>5</v>
      </c>
      <c r="M471" s="66">
        <v>1.9354838709677399E-2</v>
      </c>
      <c r="N471" s="67">
        <v>303.15724827118601</v>
      </c>
      <c r="O471" s="67">
        <v>101.052416090395</v>
      </c>
      <c r="P471" s="67">
        <v>31.880000174045598</v>
      </c>
      <c r="Q471" s="68">
        <v>0.105159947043482</v>
      </c>
    </row>
    <row r="472" spans="1:17" x14ac:dyDescent="0.35">
      <c r="A472" s="62" t="s">
        <v>136</v>
      </c>
      <c r="B472" s="63">
        <v>658393</v>
      </c>
      <c r="C472" s="63" t="s">
        <v>141</v>
      </c>
      <c r="D472" s="64">
        <v>42641</v>
      </c>
      <c r="E472" s="63" t="s">
        <v>138</v>
      </c>
      <c r="F472" s="65">
        <v>55228</v>
      </c>
      <c r="G472" s="66">
        <v>8.1243568217516104E-3</v>
      </c>
      <c r="H472" s="65">
        <v>470</v>
      </c>
      <c r="I472" s="67">
        <v>0.20800000453988701</v>
      </c>
      <c r="J472" s="67">
        <v>1.689866255808</v>
      </c>
      <c r="K472" s="65">
        <v>10</v>
      </c>
      <c r="L472" s="65">
        <v>4</v>
      </c>
      <c r="M472" s="66">
        <v>1.3333333333333299E-2</v>
      </c>
      <c r="N472" s="67">
        <v>293.05935536798501</v>
      </c>
      <c r="O472" s="67">
        <v>146.52967768399199</v>
      </c>
      <c r="P472" s="67">
        <v>31.200000680983099</v>
      </c>
      <c r="Q472" s="68">
        <v>0.10646307688013</v>
      </c>
    </row>
    <row r="473" spans="1:17" x14ac:dyDescent="0.35">
      <c r="A473" s="62" t="s">
        <v>136</v>
      </c>
      <c r="B473" s="63">
        <v>658393</v>
      </c>
      <c r="C473" s="63" t="s">
        <v>141</v>
      </c>
      <c r="D473" s="64">
        <v>42642</v>
      </c>
      <c r="E473" s="63" t="s">
        <v>138</v>
      </c>
      <c r="F473" s="65">
        <v>34253</v>
      </c>
      <c r="G473" s="66">
        <v>9.7947030246042892E-3</v>
      </c>
      <c r="H473" s="65">
        <v>162</v>
      </c>
      <c r="I473" s="67">
        <v>0.237120010077953</v>
      </c>
      <c r="J473" s="67">
        <v>2.3225200799047299</v>
      </c>
      <c r="K473" s="65">
        <v>11</v>
      </c>
      <c r="L473" s="65">
        <v>9</v>
      </c>
      <c r="M473" s="66">
        <v>8.0000000000000002E-3</v>
      </c>
      <c r="N473" s="67">
        <v>154.11411941088301</v>
      </c>
      <c r="O473" s="67">
        <v>154.11411941088301</v>
      </c>
      <c r="P473" s="67">
        <v>29.640001259744199</v>
      </c>
      <c r="Q473" s="68">
        <v>0.192325021049636</v>
      </c>
    </row>
    <row r="474" spans="1:17" x14ac:dyDescent="0.35">
      <c r="A474" s="62" t="s">
        <v>136</v>
      </c>
      <c r="B474" s="63">
        <v>658393</v>
      </c>
      <c r="C474" s="63" t="s">
        <v>141</v>
      </c>
      <c r="D474" s="64">
        <v>42643</v>
      </c>
      <c r="E474" s="63" t="s">
        <v>138</v>
      </c>
      <c r="F474" s="65">
        <v>58408</v>
      </c>
      <c r="G474" s="66">
        <v>6.8615342390558496E-3</v>
      </c>
      <c r="H474" s="65">
        <v>470</v>
      </c>
      <c r="I474" s="67">
        <v>0.23150000803172599</v>
      </c>
      <c r="J474" s="67">
        <v>1.5884452314513899</v>
      </c>
      <c r="K474" s="65">
        <v>36</v>
      </c>
      <c r="L474" s="65">
        <v>2</v>
      </c>
      <c r="M474" s="66">
        <v>0</v>
      </c>
      <c r="N474" s="67">
        <v>0</v>
      </c>
      <c r="O474" s="67">
        <v>0</v>
      </c>
      <c r="P474" s="67">
        <v>23.150000803172599</v>
      </c>
      <c r="Q474" s="68">
        <v>0</v>
      </c>
    </row>
    <row r="475" spans="1:17" x14ac:dyDescent="0.35">
      <c r="A475" s="62" t="s">
        <v>136</v>
      </c>
      <c r="B475" s="63">
        <v>658393</v>
      </c>
      <c r="C475" s="63" t="s">
        <v>141</v>
      </c>
      <c r="D475" s="64">
        <v>42644</v>
      </c>
      <c r="E475" s="63" t="s">
        <v>138</v>
      </c>
      <c r="F475" s="65">
        <v>36265</v>
      </c>
      <c r="G475" s="66">
        <v>9.8938842466806797E-3</v>
      </c>
      <c r="H475" s="65">
        <v>280</v>
      </c>
      <c r="I475" s="67">
        <v>0.21699482468897799</v>
      </c>
      <c r="J475" s="67">
        <v>2.1469216776015201</v>
      </c>
      <c r="K475" s="65">
        <v>29</v>
      </c>
      <c r="L475" s="65">
        <v>9</v>
      </c>
      <c r="M475" s="66">
        <v>1.03626943005181E-2</v>
      </c>
      <c r="N475" s="67">
        <v>209.12866197992599</v>
      </c>
      <c r="O475" s="67">
        <v>104.564330989963</v>
      </c>
      <c r="P475" s="67">
        <v>41.880001164972803</v>
      </c>
      <c r="Q475" s="68">
        <v>0.20025949943194701</v>
      </c>
    </row>
    <row r="476" spans="1:17" x14ac:dyDescent="0.35">
      <c r="A476" s="62" t="s">
        <v>136</v>
      </c>
      <c r="B476" s="63">
        <v>658393</v>
      </c>
      <c r="C476" s="63" t="s">
        <v>141</v>
      </c>
      <c r="D476" s="64">
        <v>42645</v>
      </c>
      <c r="E476" s="63" t="s">
        <v>138</v>
      </c>
      <c r="F476" s="65">
        <v>44445</v>
      </c>
      <c r="G476" s="66">
        <v>8.3357286576602498E-3</v>
      </c>
      <c r="H476" s="65">
        <v>251</v>
      </c>
      <c r="I476" s="67">
        <v>0.258078822985365</v>
      </c>
      <c r="J476" s="67">
        <v>2.1512750406943302</v>
      </c>
      <c r="K476" s="65">
        <v>56</v>
      </c>
      <c r="L476" s="65">
        <v>2</v>
      </c>
      <c r="M476" s="66">
        <v>9.8522167487684695E-3</v>
      </c>
      <c r="N476" s="67">
        <v>417.59457256145902</v>
      </c>
      <c r="O476" s="67">
        <v>208.797286280729</v>
      </c>
      <c r="P476" s="67">
        <v>52.3900010660291</v>
      </c>
      <c r="Q476" s="68">
        <v>0.12545661392263099</v>
      </c>
    </row>
    <row r="477" spans="1:17" x14ac:dyDescent="0.35">
      <c r="A477" s="62" t="s">
        <v>136</v>
      </c>
      <c r="B477" s="63">
        <v>658393</v>
      </c>
      <c r="C477" s="63" t="s">
        <v>141</v>
      </c>
      <c r="D477" s="64">
        <v>42646</v>
      </c>
      <c r="E477" s="63" t="s">
        <v>138</v>
      </c>
      <c r="F477" s="65">
        <v>43499</v>
      </c>
      <c r="G477" s="66">
        <v>6.5517732516735504E-3</v>
      </c>
      <c r="H477" s="65">
        <v>440</v>
      </c>
      <c r="I477" s="67">
        <v>0.29608696452139499</v>
      </c>
      <c r="J477" s="67">
        <v>1.93989465432049</v>
      </c>
      <c r="K477" s="65">
        <v>85</v>
      </c>
      <c r="L477" s="65">
        <v>4</v>
      </c>
      <c r="M477" s="66">
        <v>1.6304347826087001E-2</v>
      </c>
      <c r="N477" s="67">
        <v>178.243196149646</v>
      </c>
      <c r="O477" s="67">
        <v>59.414398716548703</v>
      </c>
      <c r="P477" s="67">
        <v>54.480001471936703</v>
      </c>
      <c r="Q477" s="68">
        <v>0.30564982366113702</v>
      </c>
    </row>
    <row r="478" spans="1:17" x14ac:dyDescent="0.35">
      <c r="A478" s="62" t="s">
        <v>136</v>
      </c>
      <c r="B478" s="63">
        <v>658393</v>
      </c>
      <c r="C478" s="63" t="s">
        <v>141</v>
      </c>
      <c r="D478" s="64">
        <v>42647</v>
      </c>
      <c r="E478" s="63" t="s">
        <v>138</v>
      </c>
      <c r="F478" s="65">
        <v>63126</v>
      </c>
      <c r="G478" s="66">
        <v>7.6899944150878603E-3</v>
      </c>
      <c r="H478" s="65">
        <v>151</v>
      </c>
      <c r="I478" s="67">
        <v>0.36189945524964301</v>
      </c>
      <c r="J478" s="67">
        <v>2.7830047896930901</v>
      </c>
      <c r="K478" s="65">
        <v>87</v>
      </c>
      <c r="L478" s="65">
        <v>3</v>
      </c>
      <c r="M478" s="66">
        <v>1.11731843575419E-2</v>
      </c>
      <c r="N478" s="67">
        <v>204.88688110588899</v>
      </c>
      <c r="O478" s="67">
        <v>102.443440552944</v>
      </c>
      <c r="P478" s="67">
        <v>64.780002489685998</v>
      </c>
      <c r="Q478" s="68">
        <v>0.316174477057936</v>
      </c>
    </row>
    <row r="479" spans="1:17" x14ac:dyDescent="0.35">
      <c r="A479" s="62" t="s">
        <v>136</v>
      </c>
      <c r="B479" s="63">
        <v>658393</v>
      </c>
      <c r="C479" s="63" t="s">
        <v>141</v>
      </c>
      <c r="D479" s="64">
        <v>42648</v>
      </c>
      <c r="E479" s="63" t="s">
        <v>138</v>
      </c>
      <c r="F479" s="65">
        <v>66813</v>
      </c>
      <c r="G479" s="66">
        <v>8.1252044934016793E-3</v>
      </c>
      <c r="H479" s="65">
        <v>497</v>
      </c>
      <c r="I479" s="67">
        <v>0.398791975673013</v>
      </c>
      <c r="J479" s="67">
        <v>3.2402663526709001</v>
      </c>
      <c r="K479" s="65">
        <v>88</v>
      </c>
      <c r="L479" s="65">
        <v>8</v>
      </c>
      <c r="M479" s="66">
        <v>2.68456375838926E-2</v>
      </c>
      <c r="N479" s="67">
        <v>669.40614384111495</v>
      </c>
      <c r="O479" s="67">
        <v>167.35153596027899</v>
      </c>
      <c r="P479" s="67">
        <v>59.420004375278999</v>
      </c>
      <c r="Q479" s="68">
        <v>8.8765250994443295E-2</v>
      </c>
    </row>
    <row r="480" spans="1:17" x14ac:dyDescent="0.35">
      <c r="A480" s="62" t="s">
        <v>136</v>
      </c>
      <c r="B480" s="63">
        <v>658393</v>
      </c>
      <c r="C480" s="63" t="s">
        <v>141</v>
      </c>
      <c r="D480" s="64">
        <v>42649</v>
      </c>
      <c r="E480" s="63" t="s">
        <v>138</v>
      </c>
      <c r="F480" s="65">
        <v>28543</v>
      </c>
      <c r="G480" s="66">
        <v>8.3857442348008408E-3</v>
      </c>
      <c r="H480" s="65">
        <v>282</v>
      </c>
      <c r="I480" s="67">
        <v>0.39136365789807198</v>
      </c>
      <c r="J480" s="67">
        <v>3.2818755379293298</v>
      </c>
      <c r="K480" s="65">
        <v>93</v>
      </c>
      <c r="L480" s="65">
        <v>6</v>
      </c>
      <c r="M480" s="66">
        <v>1.5151515151515201E-2</v>
      </c>
      <c r="N480" s="67">
        <v>109.446803012388</v>
      </c>
      <c r="O480" s="67">
        <v>54.723401506194101</v>
      </c>
      <c r="P480" s="67">
        <v>51.660002842545502</v>
      </c>
      <c r="Q480" s="68">
        <v>0.47201015854888201</v>
      </c>
    </row>
    <row r="481" spans="1:17" x14ac:dyDescent="0.35">
      <c r="A481" s="62" t="s">
        <v>136</v>
      </c>
      <c r="B481" s="63">
        <v>658393</v>
      </c>
      <c r="C481" s="63" t="s">
        <v>141</v>
      </c>
      <c r="D481" s="64">
        <v>42650</v>
      </c>
      <c r="E481" s="63" t="s">
        <v>138</v>
      </c>
      <c r="F481" s="65">
        <v>4755</v>
      </c>
      <c r="G481" s="66">
        <v>7.8394481028535596E-3</v>
      </c>
      <c r="H481" s="65">
        <v>536</v>
      </c>
      <c r="I481" s="67">
        <v>0.36973335360487303</v>
      </c>
      <c r="J481" s="67">
        <v>2.8985054374794101</v>
      </c>
      <c r="K481" s="65">
        <v>80</v>
      </c>
      <c r="L481" s="65">
        <v>7</v>
      </c>
      <c r="M481" s="66">
        <v>1.3333333333333299E-2</v>
      </c>
      <c r="N481" s="67">
        <v>312.56627513983898</v>
      </c>
      <c r="O481" s="67">
        <v>156.28313756992</v>
      </c>
      <c r="P481" s="67">
        <v>55.460003040731003</v>
      </c>
      <c r="Q481" s="68">
        <v>0.17743437936776299</v>
      </c>
    </row>
    <row r="482" spans="1:17" x14ac:dyDescent="0.35">
      <c r="A482" s="62" t="s">
        <v>136</v>
      </c>
      <c r="B482" s="63">
        <v>658393</v>
      </c>
      <c r="C482" s="63" t="s">
        <v>141</v>
      </c>
      <c r="D482" s="64">
        <v>42651</v>
      </c>
      <c r="E482" s="63" t="s">
        <v>138</v>
      </c>
      <c r="F482" s="65">
        <v>30396</v>
      </c>
      <c r="G482" s="66">
        <v>6.3314558237059599E-3</v>
      </c>
      <c r="H482" s="65">
        <v>570</v>
      </c>
      <c r="I482" s="67">
        <v>0.32597404287813497</v>
      </c>
      <c r="J482" s="67">
        <v>2.06389025215775</v>
      </c>
      <c r="K482" s="65">
        <v>83</v>
      </c>
      <c r="L482" s="65">
        <v>2</v>
      </c>
      <c r="M482" s="66">
        <v>1.2987012987013E-2</v>
      </c>
      <c r="N482" s="67">
        <v>212.884406059106</v>
      </c>
      <c r="O482" s="67">
        <v>106.442203029553</v>
      </c>
      <c r="P482" s="67">
        <v>50.200002603232903</v>
      </c>
      <c r="Q482" s="68">
        <v>0.235808735512995</v>
      </c>
    </row>
    <row r="483" spans="1:17" x14ac:dyDescent="0.35">
      <c r="A483" s="62" t="s">
        <v>136</v>
      </c>
      <c r="B483" s="63">
        <v>658393</v>
      </c>
      <c r="C483" s="63" t="s">
        <v>141</v>
      </c>
      <c r="D483" s="64">
        <v>42652</v>
      </c>
      <c r="E483" s="63" t="s">
        <v>138</v>
      </c>
      <c r="F483" s="65">
        <v>50520</v>
      </c>
      <c r="G483" s="66">
        <v>8.4155798378568892E-3</v>
      </c>
      <c r="H483" s="65">
        <v>238</v>
      </c>
      <c r="I483" s="67">
        <v>0.376596878648428</v>
      </c>
      <c r="J483" s="67">
        <v>3.16928109895355</v>
      </c>
      <c r="K483" s="65">
        <v>50</v>
      </c>
      <c r="L483" s="65">
        <v>1</v>
      </c>
      <c r="M483" s="66">
        <v>0</v>
      </c>
      <c r="N483" s="67">
        <v>0</v>
      </c>
      <c r="O483" s="67">
        <v>0</v>
      </c>
      <c r="P483" s="67">
        <v>71.930003821849795</v>
      </c>
      <c r="Q483" s="68">
        <v>0</v>
      </c>
    </row>
    <row r="484" spans="1:17" x14ac:dyDescent="0.35">
      <c r="A484" s="62" t="s">
        <v>136</v>
      </c>
      <c r="B484" s="63">
        <v>658393</v>
      </c>
      <c r="C484" s="63" t="s">
        <v>141</v>
      </c>
      <c r="D484" s="64">
        <v>42653</v>
      </c>
      <c r="E484" s="63" t="s">
        <v>138</v>
      </c>
      <c r="F484" s="65">
        <v>44577</v>
      </c>
      <c r="G484" s="66">
        <v>7.4734906287905502E-3</v>
      </c>
      <c r="H484" s="65">
        <v>481</v>
      </c>
      <c r="I484" s="67">
        <v>0.40198954627776001</v>
      </c>
      <c r="J484" s="67">
        <v>3.0042651069785999</v>
      </c>
      <c r="K484" s="65">
        <v>44</v>
      </c>
      <c r="L484" s="65">
        <v>3</v>
      </c>
      <c r="M484" s="66">
        <v>1.04712041884817E-2</v>
      </c>
      <c r="N484" s="67">
        <v>141.26016125320001</v>
      </c>
      <c r="O484" s="67">
        <v>70.630080626600005</v>
      </c>
      <c r="P484" s="67">
        <v>76.7800033390522</v>
      </c>
      <c r="Q484" s="68">
        <v>0.543536143933949</v>
      </c>
    </row>
    <row r="485" spans="1:17" x14ac:dyDescent="0.35">
      <c r="A485" s="62" t="s">
        <v>136</v>
      </c>
      <c r="B485" s="63">
        <v>658393</v>
      </c>
      <c r="C485" s="63" t="s">
        <v>141</v>
      </c>
      <c r="D485" s="64">
        <v>42654</v>
      </c>
      <c r="E485" s="63" t="s">
        <v>138</v>
      </c>
      <c r="F485" s="65">
        <v>36158</v>
      </c>
      <c r="G485" s="66">
        <v>7.1054205212986703E-3</v>
      </c>
      <c r="H485" s="65">
        <v>594</v>
      </c>
      <c r="I485" s="67">
        <v>0.450495064738068</v>
      </c>
      <c r="J485" s="67">
        <v>3.2009568777336499</v>
      </c>
      <c r="K485" s="65">
        <v>87</v>
      </c>
      <c r="L485" s="65">
        <v>6</v>
      </c>
      <c r="M485" s="66">
        <v>1.9801980198019799E-2</v>
      </c>
      <c r="N485" s="67">
        <v>1013.47649211216</v>
      </c>
      <c r="O485" s="67">
        <v>253.36912302804001</v>
      </c>
      <c r="P485" s="67">
        <v>91.000003077089801</v>
      </c>
      <c r="Q485" s="68">
        <v>8.9789949530490798E-2</v>
      </c>
    </row>
    <row r="486" spans="1:17" x14ac:dyDescent="0.35">
      <c r="A486" s="62" t="s">
        <v>136</v>
      </c>
      <c r="B486" s="63">
        <v>658393</v>
      </c>
      <c r="C486" s="63" t="s">
        <v>141</v>
      </c>
      <c r="D486" s="64">
        <v>42655</v>
      </c>
      <c r="E486" s="63" t="s">
        <v>138</v>
      </c>
      <c r="F486" s="65">
        <v>51710</v>
      </c>
      <c r="G486" s="66">
        <v>7.8879310344827595E-3</v>
      </c>
      <c r="H486" s="65">
        <v>311</v>
      </c>
      <c r="I486" s="67">
        <v>0.47683061024204598</v>
      </c>
      <c r="J486" s="67">
        <v>3.7612069687195899</v>
      </c>
      <c r="K486" s="65">
        <v>75</v>
      </c>
      <c r="L486" s="65">
        <v>12</v>
      </c>
      <c r="M486" s="66">
        <v>4.91803278688525E-2</v>
      </c>
      <c r="N486" s="67">
        <v>1705.85893244657</v>
      </c>
      <c r="O486" s="67">
        <v>189.53988138295301</v>
      </c>
      <c r="P486" s="67">
        <v>87.2600016742945</v>
      </c>
      <c r="Q486" s="68">
        <v>5.1153117068798097E-2</v>
      </c>
    </row>
    <row r="487" spans="1:17" x14ac:dyDescent="0.35">
      <c r="A487" s="62" t="s">
        <v>136</v>
      </c>
      <c r="B487" s="63">
        <v>658393</v>
      </c>
      <c r="C487" s="63" t="s">
        <v>141</v>
      </c>
      <c r="D487" s="64">
        <v>42656</v>
      </c>
      <c r="E487" s="63" t="s">
        <v>138</v>
      </c>
      <c r="F487" s="65">
        <v>33200</v>
      </c>
      <c r="G487" s="66">
        <v>8.0915501098138901E-3</v>
      </c>
      <c r="H487" s="65">
        <v>564</v>
      </c>
      <c r="I487" s="67">
        <v>0.49371430277824402</v>
      </c>
      <c r="J487" s="67">
        <v>3.99491402086199</v>
      </c>
      <c r="K487" s="65">
        <v>19</v>
      </c>
      <c r="L487" s="65">
        <v>7</v>
      </c>
      <c r="M487" s="66">
        <v>4.2857142857142899E-2</v>
      </c>
      <c r="N487" s="67">
        <v>482.63521150634199</v>
      </c>
      <c r="O487" s="67">
        <v>80.439201917723594</v>
      </c>
      <c r="P487" s="67">
        <v>69.120002388954205</v>
      </c>
      <c r="Q487" s="68">
        <v>0.14321375801244399</v>
      </c>
    </row>
    <row r="488" spans="1:17" x14ac:dyDescent="0.35">
      <c r="A488" s="62" t="s">
        <v>136</v>
      </c>
      <c r="B488" s="63">
        <v>658393</v>
      </c>
      <c r="C488" s="63" t="s">
        <v>141</v>
      </c>
      <c r="D488" s="64">
        <v>42657</v>
      </c>
      <c r="E488" s="63" t="s">
        <v>138</v>
      </c>
      <c r="F488" s="65">
        <v>15219</v>
      </c>
      <c r="G488" s="66">
        <v>8.5638703313455598E-3</v>
      </c>
      <c r="H488" s="65">
        <v>196</v>
      </c>
      <c r="I488" s="67">
        <v>0.36052356773490102</v>
      </c>
      <c r="J488" s="67">
        <v>3.0874770854757698</v>
      </c>
      <c r="K488" s="65">
        <v>44</v>
      </c>
      <c r="L488" s="65">
        <v>6</v>
      </c>
      <c r="M488" s="66">
        <v>1.5706806282722498E-2</v>
      </c>
      <c r="N488" s="67">
        <v>422.54329949733301</v>
      </c>
      <c r="O488" s="67">
        <v>140.847766499111</v>
      </c>
      <c r="P488" s="67">
        <v>68.860001437365995</v>
      </c>
      <c r="Q488" s="68">
        <v>0.162965550558448</v>
      </c>
    </row>
    <row r="489" spans="1:17" x14ac:dyDescent="0.35">
      <c r="A489" s="62" t="s">
        <v>136</v>
      </c>
      <c r="B489" s="63">
        <v>658393</v>
      </c>
      <c r="C489" s="63" t="s">
        <v>141</v>
      </c>
      <c r="D489" s="64">
        <v>42658</v>
      </c>
      <c r="E489" s="63" t="s">
        <v>138</v>
      </c>
      <c r="F489" s="65">
        <v>6430</v>
      </c>
      <c r="G489" s="66">
        <v>6.7892392520063601E-3</v>
      </c>
      <c r="H489" s="65">
        <v>533</v>
      </c>
      <c r="I489" s="67">
        <v>0.49985549327610501</v>
      </c>
      <c r="J489" s="67">
        <v>3.39363853528114</v>
      </c>
      <c r="K489" s="65">
        <v>25</v>
      </c>
      <c r="L489" s="65">
        <v>5</v>
      </c>
      <c r="M489" s="66">
        <v>1.15606936416185E-2</v>
      </c>
      <c r="N489" s="67">
        <v>833.24495074857703</v>
      </c>
      <c r="O489" s="67">
        <v>208.311237687144</v>
      </c>
      <c r="P489" s="67">
        <v>172.950000673532</v>
      </c>
      <c r="Q489" s="68">
        <v>0.20756201464906099</v>
      </c>
    </row>
    <row r="490" spans="1:17" x14ac:dyDescent="0.35">
      <c r="A490" s="62" t="s">
        <v>136</v>
      </c>
      <c r="B490" s="63">
        <v>658393</v>
      </c>
      <c r="C490" s="63" t="s">
        <v>141</v>
      </c>
      <c r="D490" s="64">
        <v>42659</v>
      </c>
      <c r="E490" s="63" t="s">
        <v>138</v>
      </c>
      <c r="F490" s="65">
        <v>54273</v>
      </c>
      <c r="G490" s="66">
        <v>5.8568932655654396E-3</v>
      </c>
      <c r="H490" s="65">
        <v>450</v>
      </c>
      <c r="I490" s="67">
        <v>0.46644068095138502</v>
      </c>
      <c r="J490" s="67">
        <v>2.7318932830499301</v>
      </c>
      <c r="K490" s="65">
        <v>72</v>
      </c>
      <c r="L490" s="65">
        <v>7</v>
      </c>
      <c r="M490" s="66">
        <v>1.01694915254237E-2</v>
      </c>
      <c r="N490" s="67">
        <v>758.30681410810098</v>
      </c>
      <c r="O490" s="67">
        <v>252.768938036034</v>
      </c>
      <c r="P490" s="67">
        <v>137.600000880659</v>
      </c>
      <c r="Q490" s="68">
        <v>0.18145689623335401</v>
      </c>
    </row>
    <row r="491" spans="1:17" x14ac:dyDescent="0.35">
      <c r="A491" s="62" t="s">
        <v>136</v>
      </c>
      <c r="B491" s="63">
        <v>658393</v>
      </c>
      <c r="C491" s="63" t="s">
        <v>141</v>
      </c>
      <c r="D491" s="64">
        <v>42660</v>
      </c>
      <c r="E491" s="63" t="s">
        <v>138</v>
      </c>
      <c r="F491" s="65">
        <v>41826</v>
      </c>
      <c r="G491" s="66">
        <v>6.8354791976983796E-3</v>
      </c>
      <c r="H491" s="65">
        <v>234</v>
      </c>
      <c r="I491" s="67">
        <v>0.50680596701689595</v>
      </c>
      <c r="J491" s="67">
        <v>3.4642616448134098</v>
      </c>
      <c r="K491" s="65">
        <v>13</v>
      </c>
      <c r="L491" s="65">
        <v>9</v>
      </c>
      <c r="M491" s="66">
        <v>1.1940298507462701E-2</v>
      </c>
      <c r="N491" s="67">
        <v>707.44963154096695</v>
      </c>
      <c r="O491" s="67">
        <v>176.86240788524199</v>
      </c>
      <c r="P491" s="67">
        <v>169.77999895066</v>
      </c>
      <c r="Q491" s="68">
        <v>0.239988815289713</v>
      </c>
    </row>
    <row r="492" spans="1:17" x14ac:dyDescent="0.35">
      <c r="A492" s="62" t="s">
        <v>136</v>
      </c>
      <c r="B492" s="63">
        <v>658393</v>
      </c>
      <c r="C492" s="63" t="s">
        <v>141</v>
      </c>
      <c r="D492" s="64">
        <v>42661</v>
      </c>
      <c r="E492" s="63" t="s">
        <v>138</v>
      </c>
      <c r="F492" s="65">
        <v>16467</v>
      </c>
      <c r="G492" s="66">
        <v>6.4961780818951504E-3</v>
      </c>
      <c r="H492" s="65">
        <v>155</v>
      </c>
      <c r="I492" s="67">
        <v>0.58943332985043495</v>
      </c>
      <c r="J492" s="67">
        <v>3.8290638781128701</v>
      </c>
      <c r="K492" s="65">
        <v>85</v>
      </c>
      <c r="L492" s="65">
        <v>9</v>
      </c>
      <c r="M492" s="66">
        <v>0.01</v>
      </c>
      <c r="N492" s="67">
        <v>243.72569408126799</v>
      </c>
      <c r="O492" s="67">
        <v>81.241898027089505</v>
      </c>
      <c r="P492" s="67">
        <v>176.829998955131</v>
      </c>
      <c r="Q492" s="68">
        <v>0.72552875322274402</v>
      </c>
    </row>
    <row r="493" spans="1:17" x14ac:dyDescent="0.35">
      <c r="A493" s="62" t="s">
        <v>136</v>
      </c>
      <c r="B493" s="63">
        <v>658393</v>
      </c>
      <c r="C493" s="63" t="s">
        <v>141</v>
      </c>
      <c r="D493" s="64">
        <v>42662</v>
      </c>
      <c r="E493" s="63" t="s">
        <v>138</v>
      </c>
      <c r="F493" s="65">
        <v>43486</v>
      </c>
      <c r="G493" s="66">
        <v>5.9024807527801497E-3</v>
      </c>
      <c r="H493" s="65">
        <v>312</v>
      </c>
      <c r="I493" s="67">
        <v>0.51599033288477703</v>
      </c>
      <c r="J493" s="67">
        <v>3.04562300847302</v>
      </c>
      <c r="K493" s="65">
        <v>71</v>
      </c>
      <c r="L493" s="65">
        <v>4</v>
      </c>
      <c r="M493" s="66">
        <v>9.6618357487922701E-3</v>
      </c>
      <c r="N493" s="67">
        <v>280.62034976402299</v>
      </c>
      <c r="O493" s="67">
        <v>140.31017488201201</v>
      </c>
      <c r="P493" s="67">
        <v>106.80999890714899</v>
      </c>
      <c r="Q493" s="68">
        <v>0.38062100270691901</v>
      </c>
    </row>
    <row r="494" spans="1:17" x14ac:dyDescent="0.35">
      <c r="A494" s="62" t="s">
        <v>136</v>
      </c>
      <c r="B494" s="63">
        <v>658393</v>
      </c>
      <c r="C494" s="63" t="s">
        <v>141</v>
      </c>
      <c r="D494" s="64">
        <v>42663</v>
      </c>
      <c r="E494" s="63" t="s">
        <v>138</v>
      </c>
      <c r="F494" s="65">
        <v>1758</v>
      </c>
      <c r="G494" s="66">
        <v>7.8011682151397496E-3</v>
      </c>
      <c r="H494" s="65">
        <v>453</v>
      </c>
      <c r="I494" s="67">
        <v>0.481959798752363</v>
      </c>
      <c r="J494" s="67">
        <v>3.75984946300209</v>
      </c>
      <c r="K494" s="65">
        <v>66</v>
      </c>
      <c r="L494" s="65">
        <v>1</v>
      </c>
      <c r="M494" s="66">
        <v>5.0251256281407001E-3</v>
      </c>
      <c r="N494" s="67">
        <v>88.061153699079995</v>
      </c>
      <c r="O494" s="67">
        <v>88.061153699079995</v>
      </c>
      <c r="P494" s="67">
        <v>95.909999951720195</v>
      </c>
      <c r="Q494" s="68">
        <v>1.08912949607112</v>
      </c>
    </row>
    <row r="495" spans="1:17" x14ac:dyDescent="0.35">
      <c r="A495" s="62" t="s">
        <v>136</v>
      </c>
      <c r="B495" s="63">
        <v>658393</v>
      </c>
      <c r="C495" s="63" t="s">
        <v>141</v>
      </c>
      <c r="D495" s="64">
        <v>42664</v>
      </c>
      <c r="E495" s="63" t="s">
        <v>138</v>
      </c>
      <c r="F495" s="65">
        <v>58700</v>
      </c>
      <c r="G495" s="66">
        <v>7.5676338123104297E-3</v>
      </c>
      <c r="H495" s="65">
        <v>407</v>
      </c>
      <c r="I495" s="67">
        <v>0.51085020312172202</v>
      </c>
      <c r="J495" s="67">
        <v>3.8659272701695899</v>
      </c>
      <c r="K495" s="65">
        <v>44</v>
      </c>
      <c r="L495" s="65">
        <v>3</v>
      </c>
      <c r="M495" s="66">
        <v>4.0485829959514196E-3</v>
      </c>
      <c r="N495" s="67">
        <v>39.634144993037403</v>
      </c>
      <c r="O495" s="67">
        <v>39.634144993037403</v>
      </c>
      <c r="P495" s="67">
        <v>126.180000171065</v>
      </c>
      <c r="Q495" s="68">
        <v>3.1836185741670899</v>
      </c>
    </row>
    <row r="496" spans="1:17" x14ac:dyDescent="0.35">
      <c r="A496" s="62" t="s">
        <v>136</v>
      </c>
      <c r="B496" s="63">
        <v>658393</v>
      </c>
      <c r="C496" s="63" t="s">
        <v>141</v>
      </c>
      <c r="D496" s="64">
        <v>42665</v>
      </c>
      <c r="E496" s="63" t="s">
        <v>138</v>
      </c>
      <c r="F496" s="65">
        <v>18402</v>
      </c>
      <c r="G496" s="66">
        <v>7.3277484007684196E-3</v>
      </c>
      <c r="H496" s="65">
        <v>547</v>
      </c>
      <c r="I496" s="67">
        <v>0.50691892665785698</v>
      </c>
      <c r="J496" s="67">
        <v>3.7145743541363601</v>
      </c>
      <c r="K496" s="65">
        <v>64</v>
      </c>
      <c r="L496" s="65">
        <v>12</v>
      </c>
      <c r="M496" s="66">
        <v>1.8918918918918899E-2</v>
      </c>
      <c r="N496" s="67">
        <v>556.95474758802197</v>
      </c>
      <c r="O496" s="67">
        <v>79.564963941146004</v>
      </c>
      <c r="P496" s="67">
        <v>187.56000286340699</v>
      </c>
      <c r="Q496" s="68">
        <v>0.33675986007061498</v>
      </c>
    </row>
    <row r="497" spans="1:17" x14ac:dyDescent="0.35">
      <c r="A497" s="62" t="s">
        <v>136</v>
      </c>
      <c r="B497" s="63">
        <v>658393</v>
      </c>
      <c r="C497" s="63" t="s">
        <v>141</v>
      </c>
      <c r="D497" s="64">
        <v>42666</v>
      </c>
      <c r="E497" s="63" t="s">
        <v>138</v>
      </c>
      <c r="F497" s="65">
        <v>35888</v>
      </c>
      <c r="G497" s="66">
        <v>6.5372746467435398E-3</v>
      </c>
      <c r="H497" s="65">
        <v>416</v>
      </c>
      <c r="I497" s="67">
        <v>0.50400621404651502</v>
      </c>
      <c r="J497" s="67">
        <v>3.2948270448874801</v>
      </c>
      <c r="K497" s="65">
        <v>79</v>
      </c>
      <c r="L497" s="65">
        <v>10</v>
      </c>
      <c r="M497" s="66">
        <v>9.3167701863354005E-3</v>
      </c>
      <c r="N497" s="67">
        <v>172.04595817277399</v>
      </c>
      <c r="O497" s="67">
        <v>57.348652724257903</v>
      </c>
      <c r="P497" s="67">
        <v>162.29000092297801</v>
      </c>
      <c r="Q497" s="68">
        <v>0.94329446995785604</v>
      </c>
    </row>
    <row r="498" spans="1:17" x14ac:dyDescent="0.35">
      <c r="A498" s="62" t="s">
        <v>136</v>
      </c>
      <c r="B498" s="63">
        <v>658393</v>
      </c>
      <c r="C498" s="63" t="s">
        <v>141</v>
      </c>
      <c r="D498" s="64">
        <v>42667</v>
      </c>
      <c r="E498" s="63" t="s">
        <v>138</v>
      </c>
      <c r="F498" s="65">
        <v>64061</v>
      </c>
      <c r="G498" s="66">
        <v>6.0356220043787804E-3</v>
      </c>
      <c r="H498" s="65">
        <v>206</v>
      </c>
      <c r="I498" s="67">
        <v>0.51816993282219204</v>
      </c>
      <c r="J498" s="67">
        <v>3.1274778485491002</v>
      </c>
      <c r="K498" s="65">
        <v>29</v>
      </c>
      <c r="L498" s="65">
        <v>15</v>
      </c>
      <c r="M498" s="66">
        <v>1.9607843137254902E-2</v>
      </c>
      <c r="N498" s="67">
        <v>501.85579426004603</v>
      </c>
      <c r="O498" s="67">
        <v>83.6426323766743</v>
      </c>
      <c r="P498" s="67">
        <v>158.55999944359101</v>
      </c>
      <c r="Q498" s="68">
        <v>0.31594733239530898</v>
      </c>
    </row>
    <row r="499" spans="1:17" x14ac:dyDescent="0.35">
      <c r="A499" s="62" t="s">
        <v>136</v>
      </c>
      <c r="B499" s="63">
        <v>658393</v>
      </c>
      <c r="C499" s="63" t="s">
        <v>141</v>
      </c>
      <c r="D499" s="64">
        <v>42668</v>
      </c>
      <c r="E499" s="63" t="s">
        <v>138</v>
      </c>
      <c r="F499" s="65">
        <v>35371</v>
      </c>
      <c r="G499" s="66">
        <v>6.1772056396472898E-3</v>
      </c>
      <c r="H499" s="65">
        <v>457</v>
      </c>
      <c r="I499" s="67">
        <v>0.52293893456004004</v>
      </c>
      <c r="J499" s="67">
        <v>3.23030133575543</v>
      </c>
      <c r="K499" s="65">
        <v>38</v>
      </c>
      <c r="L499" s="65">
        <v>9</v>
      </c>
      <c r="M499" s="66">
        <v>1.5267175572519101E-2</v>
      </c>
      <c r="N499" s="67">
        <v>479.89572556712397</v>
      </c>
      <c r="O499" s="67">
        <v>119.97393139178099</v>
      </c>
      <c r="P499" s="67">
        <v>137.010000854731</v>
      </c>
      <c r="Q499" s="68">
        <v>0.28549952324083899</v>
      </c>
    </row>
    <row r="500" spans="1:17" x14ac:dyDescent="0.35">
      <c r="A500" s="62" t="s">
        <v>136</v>
      </c>
      <c r="B500" s="63">
        <v>658393</v>
      </c>
      <c r="C500" s="63" t="s">
        <v>141</v>
      </c>
      <c r="D500" s="64">
        <v>42669</v>
      </c>
      <c r="E500" s="63" t="s">
        <v>138</v>
      </c>
      <c r="F500" s="65">
        <v>601</v>
      </c>
      <c r="G500" s="66">
        <v>6.4041806491277496E-3</v>
      </c>
      <c r="H500" s="65">
        <v>381</v>
      </c>
      <c r="I500" s="67">
        <v>0.53520000091195097</v>
      </c>
      <c r="J500" s="67">
        <v>3.4275174892534701</v>
      </c>
      <c r="K500" s="65">
        <v>97</v>
      </c>
      <c r="L500" s="65">
        <v>10</v>
      </c>
      <c r="M500" s="66">
        <v>1.2E-2</v>
      </c>
      <c r="N500" s="67">
        <v>240.809480054255</v>
      </c>
      <c r="O500" s="67">
        <v>80.269826684751493</v>
      </c>
      <c r="P500" s="67">
        <v>133.80000022798799</v>
      </c>
      <c r="Q500" s="68">
        <v>0.55562596704183898</v>
      </c>
    </row>
    <row r="501" spans="1:17" x14ac:dyDescent="0.35">
      <c r="A501" s="62" t="s">
        <v>136</v>
      </c>
      <c r="B501" s="63">
        <v>658393</v>
      </c>
      <c r="C501" s="63" t="s">
        <v>141</v>
      </c>
      <c r="D501" s="64">
        <v>42670</v>
      </c>
      <c r="E501" s="63" t="s">
        <v>138</v>
      </c>
      <c r="F501" s="65">
        <v>40747</v>
      </c>
      <c r="G501" s="66">
        <v>6.5239852398523996E-3</v>
      </c>
      <c r="H501" s="65">
        <v>379</v>
      </c>
      <c r="I501" s="67">
        <v>0.49538461638117298</v>
      </c>
      <c r="J501" s="67">
        <v>3.2318819253207098</v>
      </c>
      <c r="K501" s="65">
        <v>87</v>
      </c>
      <c r="L501" s="65">
        <v>12</v>
      </c>
      <c r="M501" s="66">
        <v>2.2624434389140299E-2</v>
      </c>
      <c r="N501" s="67">
        <v>354.32034813080998</v>
      </c>
      <c r="O501" s="67">
        <v>70.864069626161907</v>
      </c>
      <c r="P501" s="67">
        <v>109.48000022023901</v>
      </c>
      <c r="Q501" s="68">
        <v>0.308985924172271</v>
      </c>
    </row>
    <row r="502" spans="1:17" x14ac:dyDescent="0.35">
      <c r="A502" s="62" t="s">
        <v>136</v>
      </c>
      <c r="B502" s="63">
        <v>658393</v>
      </c>
      <c r="C502" s="63" t="s">
        <v>141</v>
      </c>
      <c r="D502" s="64">
        <v>42671</v>
      </c>
      <c r="E502" s="63" t="s">
        <v>138</v>
      </c>
      <c r="F502" s="65">
        <v>39245</v>
      </c>
      <c r="G502" s="66">
        <v>6.8738524920514098E-3</v>
      </c>
      <c r="H502" s="65">
        <v>419</v>
      </c>
      <c r="I502" s="67">
        <v>0.55078176690526404</v>
      </c>
      <c r="J502" s="67">
        <v>3.78599262101823</v>
      </c>
      <c r="K502" s="65">
        <v>32</v>
      </c>
      <c r="L502" s="65">
        <v>18</v>
      </c>
      <c r="M502" s="66">
        <v>1.9543973941368101E-2</v>
      </c>
      <c r="N502" s="67">
        <v>548.48447120750097</v>
      </c>
      <c r="O502" s="67">
        <v>91.414078534583496</v>
      </c>
      <c r="P502" s="67">
        <v>169.09000243991599</v>
      </c>
      <c r="Q502" s="68">
        <v>0.30828585186315399</v>
      </c>
    </row>
    <row r="503" spans="1:17" x14ac:dyDescent="0.35">
      <c r="A503" s="62" t="s">
        <v>136</v>
      </c>
      <c r="B503" s="63">
        <v>658393</v>
      </c>
      <c r="C503" s="63" t="s">
        <v>141</v>
      </c>
      <c r="D503" s="64">
        <v>42672</v>
      </c>
      <c r="E503" s="63" t="s">
        <v>138</v>
      </c>
      <c r="F503" s="65">
        <v>11980</v>
      </c>
      <c r="G503" s="66">
        <v>6.4940905574843904E-3</v>
      </c>
      <c r="H503" s="65">
        <v>474</v>
      </c>
      <c r="I503" s="67">
        <v>0.56567866260242605</v>
      </c>
      <c r="J503" s="67">
        <v>3.67356846137681</v>
      </c>
      <c r="K503" s="65">
        <v>64</v>
      </c>
      <c r="L503" s="65">
        <v>13</v>
      </c>
      <c r="M503" s="66">
        <v>2.2160664819944598E-2</v>
      </c>
      <c r="N503" s="67">
        <v>761.00356168399696</v>
      </c>
      <c r="O503" s="67">
        <v>95.125445210499706</v>
      </c>
      <c r="P503" s="67">
        <v>204.20999719947599</v>
      </c>
      <c r="Q503" s="68">
        <v>0.26834302423971201</v>
      </c>
    </row>
    <row r="504" spans="1:17" x14ac:dyDescent="0.35">
      <c r="A504" s="62" t="s">
        <v>136</v>
      </c>
      <c r="B504" s="63">
        <v>658393</v>
      </c>
      <c r="C504" s="63" t="s">
        <v>141</v>
      </c>
      <c r="D504" s="64">
        <v>42673</v>
      </c>
      <c r="E504" s="63" t="s">
        <v>138</v>
      </c>
      <c r="F504" s="65">
        <v>67329</v>
      </c>
      <c r="G504" s="66">
        <v>5.9973773526689304E-3</v>
      </c>
      <c r="H504" s="65">
        <v>204</v>
      </c>
      <c r="I504" s="67">
        <v>0.59562700955718295</v>
      </c>
      <c r="J504" s="67">
        <v>3.57219993775617</v>
      </c>
      <c r="K504" s="65">
        <v>97</v>
      </c>
      <c r="L504" s="65">
        <v>12</v>
      </c>
      <c r="M504" s="66">
        <v>6.4308681672025697E-3</v>
      </c>
      <c r="N504" s="67">
        <v>142.01131546273999</v>
      </c>
      <c r="O504" s="67">
        <v>71.005657731370107</v>
      </c>
      <c r="P504" s="67">
        <v>185.23999997228401</v>
      </c>
      <c r="Q504" s="68">
        <v>1.3044030989269</v>
      </c>
    </row>
    <row r="505" spans="1:17" x14ac:dyDescent="0.35">
      <c r="A505" s="62" t="s">
        <v>136</v>
      </c>
      <c r="B505" s="63">
        <v>658393</v>
      </c>
      <c r="C505" s="63" t="s">
        <v>141</v>
      </c>
      <c r="D505" s="64">
        <v>42674</v>
      </c>
      <c r="E505" s="63" t="s">
        <v>138</v>
      </c>
      <c r="F505" s="65">
        <v>68655</v>
      </c>
      <c r="G505" s="66">
        <v>6.7590331003116299E-3</v>
      </c>
      <c r="H505" s="65">
        <v>445</v>
      </c>
      <c r="I505" s="67">
        <v>0.53595015432140203</v>
      </c>
      <c r="J505" s="67">
        <v>3.6225048331754799</v>
      </c>
      <c r="K505" s="65">
        <v>27</v>
      </c>
      <c r="L505" s="65">
        <v>8</v>
      </c>
      <c r="M505" s="66">
        <v>1.5576323987538899E-2</v>
      </c>
      <c r="N505" s="67">
        <v>799.42703668453498</v>
      </c>
      <c r="O505" s="67">
        <v>159.88540733690701</v>
      </c>
      <c r="P505" s="67">
        <v>172.03999953716999</v>
      </c>
      <c r="Q505" s="68">
        <v>0.21520412951089499</v>
      </c>
    </row>
    <row r="506" spans="1:17" x14ac:dyDescent="0.35">
      <c r="A506" s="62" t="s">
        <v>136</v>
      </c>
      <c r="B506" s="63">
        <v>658393</v>
      </c>
      <c r="C506" s="63" t="s">
        <v>141</v>
      </c>
      <c r="D506" s="64">
        <v>42675</v>
      </c>
      <c r="E506" s="63" t="s">
        <v>138</v>
      </c>
      <c r="F506" s="65">
        <v>11506</v>
      </c>
      <c r="G506" s="66">
        <v>6.5287838353030904E-3</v>
      </c>
      <c r="H506" s="65">
        <v>311</v>
      </c>
      <c r="I506" s="67">
        <v>0.56113138721480904</v>
      </c>
      <c r="J506" s="67">
        <v>3.6635055303292399</v>
      </c>
      <c r="K506" s="65">
        <v>84</v>
      </c>
      <c r="L506" s="65">
        <v>11</v>
      </c>
      <c r="M506" s="66">
        <v>2.18978102189781E-2</v>
      </c>
      <c r="N506" s="67">
        <v>1234.57935261785</v>
      </c>
      <c r="O506" s="67">
        <v>205.763225436309</v>
      </c>
      <c r="P506" s="67">
        <v>153.750000096858</v>
      </c>
      <c r="Q506" s="68">
        <v>0.124536344926585</v>
      </c>
    </row>
    <row r="507" spans="1:17" x14ac:dyDescent="0.35">
      <c r="A507" s="62" t="s">
        <v>136</v>
      </c>
      <c r="B507" s="63">
        <v>658393</v>
      </c>
      <c r="C507" s="63" t="s">
        <v>141</v>
      </c>
      <c r="D507" s="64">
        <v>42676</v>
      </c>
      <c r="E507" s="63" t="s">
        <v>138</v>
      </c>
      <c r="F507" s="65">
        <v>29346</v>
      </c>
      <c r="G507" s="66">
        <v>6.3979795853940898E-3</v>
      </c>
      <c r="H507" s="65">
        <v>352</v>
      </c>
      <c r="I507" s="67">
        <v>0.50782895423962104</v>
      </c>
      <c r="J507" s="67">
        <v>3.2490792820971199</v>
      </c>
      <c r="K507" s="65">
        <v>94</v>
      </c>
      <c r="L507" s="65">
        <v>10</v>
      </c>
      <c r="M507" s="66">
        <v>2.6315789473684199E-2</v>
      </c>
      <c r="N507" s="67">
        <v>1696.1652274349201</v>
      </c>
      <c r="O507" s="67">
        <v>212.02065342936501</v>
      </c>
      <c r="P507" s="67">
        <v>154.380002088845</v>
      </c>
      <c r="Q507" s="68">
        <v>9.1017077576994496E-2</v>
      </c>
    </row>
    <row r="508" spans="1:17" x14ac:dyDescent="0.35">
      <c r="A508" s="62" t="s">
        <v>136</v>
      </c>
      <c r="B508" s="63">
        <v>658393</v>
      </c>
      <c r="C508" s="63" t="s">
        <v>141</v>
      </c>
      <c r="D508" s="64">
        <v>42677</v>
      </c>
      <c r="E508" s="63" t="s">
        <v>138</v>
      </c>
      <c r="F508" s="65">
        <v>61394</v>
      </c>
      <c r="G508" s="66">
        <v>7.3010464833292796E-3</v>
      </c>
      <c r="H508" s="65">
        <v>449</v>
      </c>
      <c r="I508" s="67">
        <v>0.50470000276962901</v>
      </c>
      <c r="J508" s="67">
        <v>3.6848381803574801</v>
      </c>
      <c r="K508" s="65">
        <v>21</v>
      </c>
      <c r="L508" s="65">
        <v>6</v>
      </c>
      <c r="M508" s="66">
        <v>6.6666666666666697E-3</v>
      </c>
      <c r="N508" s="67">
        <v>526.29021125111205</v>
      </c>
      <c r="O508" s="67">
        <v>263.14510562555603</v>
      </c>
      <c r="P508" s="67">
        <v>151.410000830889</v>
      </c>
      <c r="Q508" s="68">
        <v>0.28769298306148</v>
      </c>
    </row>
    <row r="509" spans="1:17" x14ac:dyDescent="0.35">
      <c r="A509" s="62" t="s">
        <v>136</v>
      </c>
      <c r="B509" s="63">
        <v>658393</v>
      </c>
      <c r="C509" s="63" t="s">
        <v>141</v>
      </c>
      <c r="D509" s="64">
        <v>42678</v>
      </c>
      <c r="E509" s="63" t="s">
        <v>138</v>
      </c>
      <c r="F509" s="65">
        <v>15290</v>
      </c>
      <c r="G509" s="66">
        <v>6.6737101602394799E-3</v>
      </c>
      <c r="H509" s="65">
        <v>222</v>
      </c>
      <c r="I509" s="67">
        <v>0.54205804388960299</v>
      </c>
      <c r="J509" s="67">
        <v>3.6175382749455798</v>
      </c>
      <c r="K509" s="65">
        <v>51</v>
      </c>
      <c r="L509" s="65">
        <v>11</v>
      </c>
      <c r="M509" s="66">
        <v>7.9155672823219003E-3</v>
      </c>
      <c r="N509" s="67">
        <v>511.04630881208698</v>
      </c>
      <c r="O509" s="67">
        <v>170.348769604029</v>
      </c>
      <c r="P509" s="67">
        <v>205.43999863415999</v>
      </c>
      <c r="Q509" s="68">
        <v>0.40199879167838798</v>
      </c>
    </row>
    <row r="510" spans="1:17" x14ac:dyDescent="0.35">
      <c r="A510" s="62" t="s">
        <v>136</v>
      </c>
      <c r="B510" s="63">
        <v>876349</v>
      </c>
      <c r="C510" s="63" t="s">
        <v>142</v>
      </c>
      <c r="D510" s="64">
        <v>42552</v>
      </c>
      <c r="E510" s="63" t="s">
        <v>138</v>
      </c>
      <c r="F510" s="65">
        <v>39907</v>
      </c>
      <c r="G510" s="66">
        <v>1.05931502772297E-2</v>
      </c>
      <c r="H510" s="65">
        <v>260</v>
      </c>
      <c r="I510" s="67">
        <v>0.47413111054004198</v>
      </c>
      <c r="J510" s="67">
        <v>5.0225421050604604</v>
      </c>
      <c r="K510" s="65">
        <v>25</v>
      </c>
      <c r="L510" s="65">
        <v>136</v>
      </c>
      <c r="M510" s="66">
        <v>2.3933402705515101E-2</v>
      </c>
      <c r="N510" s="67">
        <v>4606.1889611507204</v>
      </c>
      <c r="O510" s="67">
        <v>100.13454263371101</v>
      </c>
      <c r="P510" s="67">
        <v>911.27999445796002</v>
      </c>
      <c r="Q510" s="68">
        <v>0.197838169936976</v>
      </c>
    </row>
    <row r="511" spans="1:17" x14ac:dyDescent="0.35">
      <c r="A511" s="62" t="s">
        <v>136</v>
      </c>
      <c r="B511" s="63">
        <v>876349</v>
      </c>
      <c r="C511" s="63" t="s">
        <v>142</v>
      </c>
      <c r="D511" s="64">
        <v>42553</v>
      </c>
      <c r="E511" s="63" t="s">
        <v>138</v>
      </c>
      <c r="F511" s="65">
        <v>14106</v>
      </c>
      <c r="G511" s="66">
        <v>9.7433860850737394E-3</v>
      </c>
      <c r="H511" s="65">
        <v>448</v>
      </c>
      <c r="I511" s="67">
        <v>0.51398659837372396</v>
      </c>
      <c r="J511" s="67">
        <v>5.0079698705089299</v>
      </c>
      <c r="K511" s="65">
        <v>20</v>
      </c>
      <c r="L511" s="65">
        <v>96</v>
      </c>
      <c r="M511" s="66">
        <v>2.01005025125628E-2</v>
      </c>
      <c r="N511" s="67">
        <v>3723.7444796922</v>
      </c>
      <c r="O511" s="67">
        <v>103.43734665811699</v>
      </c>
      <c r="P511" s="67">
        <v>920.54999768734001</v>
      </c>
      <c r="Q511" s="68">
        <v>0.24721083917214201</v>
      </c>
    </row>
    <row r="512" spans="1:17" x14ac:dyDescent="0.35">
      <c r="A512" s="62" t="s">
        <v>136</v>
      </c>
      <c r="B512" s="63">
        <v>876349</v>
      </c>
      <c r="C512" s="63" t="s">
        <v>142</v>
      </c>
      <c r="D512" s="64">
        <v>42554</v>
      </c>
      <c r="E512" s="63" t="s">
        <v>138</v>
      </c>
      <c r="F512" s="65">
        <v>42361</v>
      </c>
      <c r="G512" s="66">
        <v>9.5759297210027405E-3</v>
      </c>
      <c r="H512" s="65">
        <v>290</v>
      </c>
      <c r="I512" s="67">
        <v>0.52929951136094899</v>
      </c>
      <c r="J512" s="67">
        <v>5.0685349221535398</v>
      </c>
      <c r="K512" s="65">
        <v>78</v>
      </c>
      <c r="L512" s="65">
        <v>74</v>
      </c>
      <c r="M512" s="66">
        <v>1.5942028985507201E-2</v>
      </c>
      <c r="N512" s="67">
        <v>3224.3495416554701</v>
      </c>
      <c r="O512" s="67">
        <v>97.707561868347497</v>
      </c>
      <c r="P512" s="67">
        <v>1095.64998851717</v>
      </c>
      <c r="Q512" s="68">
        <v>0.33980496666457199</v>
      </c>
    </row>
    <row r="513" spans="1:17" x14ac:dyDescent="0.35">
      <c r="A513" s="62" t="s">
        <v>136</v>
      </c>
      <c r="B513" s="63">
        <v>876349</v>
      </c>
      <c r="C513" s="63" t="s">
        <v>142</v>
      </c>
      <c r="D513" s="64">
        <v>42555</v>
      </c>
      <c r="E513" s="63" t="s">
        <v>138</v>
      </c>
      <c r="F513" s="65">
        <v>9825</v>
      </c>
      <c r="G513" s="66">
        <v>9.1730038022813706E-3</v>
      </c>
      <c r="H513" s="65">
        <v>421</v>
      </c>
      <c r="I513" s="67">
        <v>0.52786528446513803</v>
      </c>
      <c r="J513" s="67">
        <v>4.8421102614910403</v>
      </c>
      <c r="K513" s="65">
        <v>28</v>
      </c>
      <c r="L513" s="65">
        <v>82</v>
      </c>
      <c r="M513" s="66">
        <v>2.1243523316062201E-2</v>
      </c>
      <c r="N513" s="67">
        <v>6198.89364441219</v>
      </c>
      <c r="O513" s="67">
        <v>151.19252791249201</v>
      </c>
      <c r="P513" s="67">
        <v>1018.77999901772</v>
      </c>
      <c r="Q513" s="68">
        <v>0.164348681790349</v>
      </c>
    </row>
    <row r="514" spans="1:17" x14ac:dyDescent="0.35">
      <c r="A514" s="62" t="s">
        <v>136</v>
      </c>
      <c r="B514" s="63">
        <v>876349</v>
      </c>
      <c r="C514" s="63" t="s">
        <v>142</v>
      </c>
      <c r="D514" s="64">
        <v>42556</v>
      </c>
      <c r="E514" s="63" t="s">
        <v>138</v>
      </c>
      <c r="F514" s="65">
        <v>45879</v>
      </c>
      <c r="G514" s="66">
        <v>9.4940976010395098E-3</v>
      </c>
      <c r="H514" s="65">
        <v>423</v>
      </c>
      <c r="I514" s="67">
        <v>0.51579082799081</v>
      </c>
      <c r="J514" s="67">
        <v>4.8969684626657299</v>
      </c>
      <c r="K514" s="65">
        <v>44</v>
      </c>
      <c r="L514" s="65">
        <v>75</v>
      </c>
      <c r="M514" s="66">
        <v>2.0658489347966401E-2</v>
      </c>
      <c r="N514" s="67">
        <v>3514.65120529055</v>
      </c>
      <c r="O514" s="67">
        <v>109.83285016533</v>
      </c>
      <c r="P514" s="67">
        <v>798.95999255776405</v>
      </c>
      <c r="Q514" s="68">
        <v>0.22732269744295</v>
      </c>
    </row>
    <row r="515" spans="1:17" x14ac:dyDescent="0.35">
      <c r="A515" s="62" t="s">
        <v>136</v>
      </c>
      <c r="B515" s="63">
        <v>876349</v>
      </c>
      <c r="C515" s="63" t="s">
        <v>142</v>
      </c>
      <c r="D515" s="64">
        <v>42557</v>
      </c>
      <c r="E515" s="63" t="s">
        <v>138</v>
      </c>
      <c r="F515" s="65">
        <v>19247</v>
      </c>
      <c r="G515" s="66">
        <v>9.6106673992817793E-3</v>
      </c>
      <c r="H515" s="65">
        <v>274</v>
      </c>
      <c r="I515" s="67">
        <v>0.51378252493781396</v>
      </c>
      <c r="J515" s="67">
        <v>4.9377929627405299</v>
      </c>
      <c r="K515" s="65">
        <v>84</v>
      </c>
      <c r="L515" s="65">
        <v>56</v>
      </c>
      <c r="M515" s="66">
        <v>1.07197549770291E-2</v>
      </c>
      <c r="N515" s="67">
        <v>1593.87155065109</v>
      </c>
      <c r="O515" s="67">
        <v>75.898645269099404</v>
      </c>
      <c r="P515" s="67">
        <v>1006.49996635318</v>
      </c>
      <c r="Q515" s="68">
        <v>0.63148122942656804</v>
      </c>
    </row>
    <row r="516" spans="1:17" x14ac:dyDescent="0.35">
      <c r="A516" s="62" t="s">
        <v>136</v>
      </c>
      <c r="B516" s="63">
        <v>876349</v>
      </c>
      <c r="C516" s="63" t="s">
        <v>142</v>
      </c>
      <c r="D516" s="64">
        <v>42558</v>
      </c>
      <c r="E516" s="63" t="s">
        <v>138</v>
      </c>
      <c r="F516" s="65">
        <v>9069</v>
      </c>
      <c r="G516" s="66">
        <v>9.7186337023253602E-3</v>
      </c>
      <c r="H516" s="65">
        <v>287</v>
      </c>
      <c r="I516" s="67">
        <v>0.51625365075541696</v>
      </c>
      <c r="J516" s="67">
        <v>5.0172801291800999</v>
      </c>
      <c r="K516" s="65">
        <v>29</v>
      </c>
      <c r="L516" s="65">
        <v>69</v>
      </c>
      <c r="M516" s="66">
        <v>1.17073170731707E-2</v>
      </c>
      <c r="N516" s="67">
        <v>1933.18348456835</v>
      </c>
      <c r="O516" s="67">
        <v>80.549311857014402</v>
      </c>
      <c r="P516" s="67">
        <v>1058.31998404861</v>
      </c>
      <c r="Q516" s="68">
        <v>0.54744931999298196</v>
      </c>
    </row>
    <row r="517" spans="1:17" x14ac:dyDescent="0.35">
      <c r="A517" s="62" t="s">
        <v>136</v>
      </c>
      <c r="B517" s="63">
        <v>876349</v>
      </c>
      <c r="C517" s="63" t="s">
        <v>142</v>
      </c>
      <c r="D517" s="64">
        <v>42559</v>
      </c>
      <c r="E517" s="63" t="s">
        <v>138</v>
      </c>
      <c r="F517" s="65">
        <v>1623</v>
      </c>
      <c r="G517" s="66">
        <v>9.1900171186593393E-3</v>
      </c>
      <c r="H517" s="65">
        <v>527</v>
      </c>
      <c r="I517" s="67">
        <v>0.51633577443221002</v>
      </c>
      <c r="J517" s="67">
        <v>4.7451346060082402</v>
      </c>
      <c r="K517" s="65">
        <v>45</v>
      </c>
      <c r="L517" s="65">
        <v>94</v>
      </c>
      <c r="M517" s="66">
        <v>1.5522875816993501E-2</v>
      </c>
      <c r="N517" s="67">
        <v>5403.9674691810196</v>
      </c>
      <c r="O517" s="67">
        <v>142.20967024160601</v>
      </c>
      <c r="P517" s="67">
        <v>1263.9899758100501</v>
      </c>
      <c r="Q517" s="68">
        <v>0.23390036727989599</v>
      </c>
    </row>
    <row r="518" spans="1:17" x14ac:dyDescent="0.35">
      <c r="A518" s="62" t="s">
        <v>136</v>
      </c>
      <c r="B518" s="63">
        <v>876349</v>
      </c>
      <c r="C518" s="63" t="s">
        <v>142</v>
      </c>
      <c r="D518" s="64">
        <v>42560</v>
      </c>
      <c r="E518" s="63" t="s">
        <v>138</v>
      </c>
      <c r="F518" s="65">
        <v>7462</v>
      </c>
      <c r="G518" s="66">
        <v>8.6701403757202204E-3</v>
      </c>
      <c r="H518" s="65">
        <v>580</v>
      </c>
      <c r="I518" s="67">
        <v>0.51997065277437704</v>
      </c>
      <c r="J518" s="67">
        <v>4.5082185508087198</v>
      </c>
      <c r="K518" s="65">
        <v>40</v>
      </c>
      <c r="L518" s="65">
        <v>77</v>
      </c>
      <c r="M518" s="66">
        <v>1.8092909535452301E-2</v>
      </c>
      <c r="N518" s="67">
        <v>4220.5463072764996</v>
      </c>
      <c r="O518" s="67">
        <v>114.06881911558099</v>
      </c>
      <c r="P518" s="67">
        <v>1063.3399849236</v>
      </c>
      <c r="Q518" s="68">
        <v>0.25194368394687</v>
      </c>
    </row>
    <row r="519" spans="1:17" x14ac:dyDescent="0.35">
      <c r="A519" s="62" t="s">
        <v>136</v>
      </c>
      <c r="B519" s="63">
        <v>876349</v>
      </c>
      <c r="C519" s="63" t="s">
        <v>142</v>
      </c>
      <c r="D519" s="64">
        <v>42561</v>
      </c>
      <c r="E519" s="63" t="s">
        <v>138</v>
      </c>
      <c r="F519" s="65">
        <v>47563</v>
      </c>
      <c r="G519" s="66">
        <v>9.8979820269276299E-3</v>
      </c>
      <c r="H519" s="65">
        <v>429</v>
      </c>
      <c r="I519" s="67">
        <v>0.436160473370655</v>
      </c>
      <c r="J519" s="67">
        <v>4.3171085262789903</v>
      </c>
      <c r="K519" s="65">
        <v>28</v>
      </c>
      <c r="L519" s="65">
        <v>64</v>
      </c>
      <c r="M519" s="66">
        <v>1.7232094776521299E-2</v>
      </c>
      <c r="N519" s="67">
        <v>3121.4452554427598</v>
      </c>
      <c r="O519" s="67">
        <v>97.545164232586203</v>
      </c>
      <c r="P519" s="67">
        <v>809.94999904930603</v>
      </c>
      <c r="Q519" s="68">
        <v>0.259479161980183</v>
      </c>
    </row>
    <row r="520" spans="1:17" x14ac:dyDescent="0.35">
      <c r="A520" s="62" t="s">
        <v>136</v>
      </c>
      <c r="B520" s="63">
        <v>876349</v>
      </c>
      <c r="C520" s="63" t="s">
        <v>142</v>
      </c>
      <c r="D520" s="64">
        <v>42562</v>
      </c>
      <c r="E520" s="63" t="s">
        <v>138</v>
      </c>
      <c r="F520" s="65">
        <v>11883</v>
      </c>
      <c r="G520" s="66">
        <v>9.5258128493298892E-3</v>
      </c>
      <c r="H520" s="65">
        <v>295</v>
      </c>
      <c r="I520" s="67">
        <v>0.40425868047524699</v>
      </c>
      <c r="J520" s="67">
        <v>3.85089253292425</v>
      </c>
      <c r="K520" s="65">
        <v>93</v>
      </c>
      <c r="L520" s="65">
        <v>86</v>
      </c>
      <c r="M520" s="66">
        <v>2.46056782334385E-2</v>
      </c>
      <c r="N520" s="67">
        <v>4481.5454739400702</v>
      </c>
      <c r="O520" s="67">
        <v>114.91142240872</v>
      </c>
      <c r="P520" s="67">
        <v>640.75000855326698</v>
      </c>
      <c r="Q520" s="68">
        <v>0.14297523304832899</v>
      </c>
    </row>
    <row r="521" spans="1:17" x14ac:dyDescent="0.35">
      <c r="A521" s="62" t="s">
        <v>136</v>
      </c>
      <c r="B521" s="63">
        <v>876349</v>
      </c>
      <c r="C521" s="63" t="s">
        <v>142</v>
      </c>
      <c r="D521" s="64">
        <v>42563</v>
      </c>
      <c r="E521" s="63" t="s">
        <v>138</v>
      </c>
      <c r="F521" s="65">
        <v>47159</v>
      </c>
      <c r="G521" s="66">
        <v>9.5603660477109002E-3</v>
      </c>
      <c r="H521" s="65">
        <v>566</v>
      </c>
      <c r="I521" s="67">
        <v>0.43582207913024601</v>
      </c>
      <c r="J521" s="67">
        <v>4.1666186081595802</v>
      </c>
      <c r="K521" s="65">
        <v>35</v>
      </c>
      <c r="L521" s="65">
        <v>73</v>
      </c>
      <c r="M521" s="66">
        <v>1.9701086956521702E-2</v>
      </c>
      <c r="N521" s="67">
        <v>2730.4002199808501</v>
      </c>
      <c r="O521" s="67">
        <v>94.151731723477695</v>
      </c>
      <c r="P521" s="67">
        <v>641.53010047972202</v>
      </c>
      <c r="Q521" s="68">
        <v>0.234958265746192</v>
      </c>
    </row>
    <row r="522" spans="1:17" x14ac:dyDescent="0.35">
      <c r="A522" s="62" t="s">
        <v>136</v>
      </c>
      <c r="B522" s="63">
        <v>876349</v>
      </c>
      <c r="C522" s="63" t="s">
        <v>142</v>
      </c>
      <c r="D522" s="64">
        <v>42564</v>
      </c>
      <c r="E522" s="63" t="s">
        <v>138</v>
      </c>
      <c r="F522" s="65">
        <v>46871</v>
      </c>
      <c r="G522" s="66">
        <v>1.0101357627970001E-2</v>
      </c>
      <c r="H522" s="65">
        <v>459</v>
      </c>
      <c r="I522" s="67">
        <v>0.42167574884902898</v>
      </c>
      <c r="J522" s="67">
        <v>4.2594975421661099</v>
      </c>
      <c r="K522" s="65">
        <v>38</v>
      </c>
      <c r="L522" s="65">
        <v>70</v>
      </c>
      <c r="M522" s="66">
        <v>2.1117166212534101E-2</v>
      </c>
      <c r="N522" s="67">
        <v>2819.2151482056402</v>
      </c>
      <c r="O522" s="67">
        <v>90.942424135665902</v>
      </c>
      <c r="P522" s="67">
        <v>619.01999931037403</v>
      </c>
      <c r="Q522" s="68">
        <v>0.21957174843656899</v>
      </c>
    </row>
    <row r="523" spans="1:17" x14ac:dyDescent="0.35">
      <c r="A523" s="62" t="s">
        <v>136</v>
      </c>
      <c r="B523" s="63">
        <v>876349</v>
      </c>
      <c r="C523" s="63" t="s">
        <v>142</v>
      </c>
      <c r="D523" s="64">
        <v>42565</v>
      </c>
      <c r="E523" s="63" t="s">
        <v>138</v>
      </c>
      <c r="F523" s="65">
        <v>61256</v>
      </c>
      <c r="G523" s="66">
        <v>1.0891794238521799E-2</v>
      </c>
      <c r="H523" s="65">
        <v>356</v>
      </c>
      <c r="I523" s="67">
        <v>0.396862625396388</v>
      </c>
      <c r="J523" s="67">
        <v>4.3225460567770098</v>
      </c>
      <c r="K523" s="65">
        <v>63</v>
      </c>
      <c r="L523" s="65">
        <v>51</v>
      </c>
      <c r="M523" s="66">
        <v>1.1997600479904001E-2</v>
      </c>
      <c r="N523" s="67">
        <v>2546.3739547313999</v>
      </c>
      <c r="O523" s="67">
        <v>127.31869773657</v>
      </c>
      <c r="P523" s="67">
        <v>661.56999653577805</v>
      </c>
      <c r="Q523" s="68">
        <v>0.25980865666117797</v>
      </c>
    </row>
    <row r="524" spans="1:17" x14ac:dyDescent="0.35">
      <c r="A524" s="62" t="s">
        <v>136</v>
      </c>
      <c r="B524" s="63">
        <v>876349</v>
      </c>
      <c r="C524" s="63" t="s">
        <v>142</v>
      </c>
      <c r="D524" s="64">
        <v>42566</v>
      </c>
      <c r="E524" s="63" t="s">
        <v>138</v>
      </c>
      <c r="F524" s="65">
        <v>18043</v>
      </c>
      <c r="G524" s="66">
        <v>9.9714046946328405E-3</v>
      </c>
      <c r="H524" s="65">
        <v>538</v>
      </c>
      <c r="I524" s="67">
        <v>0.404846070408651</v>
      </c>
      <c r="J524" s="67">
        <v>4.0368840070764804</v>
      </c>
      <c r="K524" s="65">
        <v>20</v>
      </c>
      <c r="L524" s="65">
        <v>91</v>
      </c>
      <c r="M524" s="66">
        <v>1.5963511972634001E-2</v>
      </c>
      <c r="N524" s="67">
        <v>3502.5499314031099</v>
      </c>
      <c r="O524" s="67">
        <v>125.091068978683</v>
      </c>
      <c r="P524" s="67">
        <v>710.10000749677397</v>
      </c>
      <c r="Q524" s="68">
        <v>0.202738011278632</v>
      </c>
    </row>
    <row r="525" spans="1:17" x14ac:dyDescent="0.35">
      <c r="A525" s="62" t="s">
        <v>136</v>
      </c>
      <c r="B525" s="63">
        <v>876349</v>
      </c>
      <c r="C525" s="63" t="s">
        <v>142</v>
      </c>
      <c r="D525" s="64">
        <v>42567</v>
      </c>
      <c r="E525" s="63" t="s">
        <v>138</v>
      </c>
      <c r="F525" s="65">
        <v>2425</v>
      </c>
      <c r="G525" s="66">
        <v>9.5920665165425308E-3</v>
      </c>
      <c r="H525" s="65">
        <v>285</v>
      </c>
      <c r="I525" s="67">
        <v>0.38201655134659601</v>
      </c>
      <c r="J525" s="67">
        <v>3.6643281709367299</v>
      </c>
      <c r="K525" s="65">
        <v>53</v>
      </c>
      <c r="L525" s="65">
        <v>90</v>
      </c>
      <c r="M525" s="66">
        <v>2.2573363431151201E-2</v>
      </c>
      <c r="N525" s="67">
        <v>3416.15519101973</v>
      </c>
      <c r="O525" s="67">
        <v>113.871839700658</v>
      </c>
      <c r="P525" s="67">
        <v>507.69999673962599</v>
      </c>
      <c r="Q525" s="68">
        <v>0.14861736904525</v>
      </c>
    </row>
    <row r="526" spans="1:17" x14ac:dyDescent="0.35">
      <c r="A526" s="62" t="s">
        <v>136</v>
      </c>
      <c r="B526" s="63">
        <v>876349</v>
      </c>
      <c r="C526" s="63" t="s">
        <v>142</v>
      </c>
      <c r="D526" s="64">
        <v>42568</v>
      </c>
      <c r="E526" s="63" t="s">
        <v>138</v>
      </c>
      <c r="F526" s="65">
        <v>51702</v>
      </c>
      <c r="G526" s="66">
        <v>1.0878217033695899E-2</v>
      </c>
      <c r="H526" s="65">
        <v>321</v>
      </c>
      <c r="I526" s="67">
        <v>0.36146341163089601</v>
      </c>
      <c r="J526" s="67">
        <v>3.9320774414610602</v>
      </c>
      <c r="K526" s="65">
        <v>88</v>
      </c>
      <c r="L526" s="65">
        <v>49</v>
      </c>
      <c r="M526" s="66">
        <v>1.3008130081300801E-2</v>
      </c>
      <c r="N526" s="67">
        <v>1443.98822070549</v>
      </c>
      <c r="O526" s="67">
        <v>90.249263794093096</v>
      </c>
      <c r="P526" s="67">
        <v>444.59999630600203</v>
      </c>
      <c r="Q526" s="68">
        <v>0.30789724592682899</v>
      </c>
    </row>
    <row r="527" spans="1:17" x14ac:dyDescent="0.35">
      <c r="A527" s="62" t="s">
        <v>136</v>
      </c>
      <c r="B527" s="63">
        <v>876349</v>
      </c>
      <c r="C527" s="63" t="s">
        <v>142</v>
      </c>
      <c r="D527" s="64">
        <v>42569</v>
      </c>
      <c r="E527" s="63" t="s">
        <v>138</v>
      </c>
      <c r="F527" s="65">
        <v>64685</v>
      </c>
      <c r="G527" s="66">
        <v>9.6972992568424895E-3</v>
      </c>
      <c r="H527" s="65">
        <v>342</v>
      </c>
      <c r="I527" s="67">
        <v>0.34781307601761602</v>
      </c>
      <c r="J527" s="67">
        <v>3.3728474835857298</v>
      </c>
      <c r="K527" s="65">
        <v>43</v>
      </c>
      <c r="L527" s="65">
        <v>53</v>
      </c>
      <c r="M527" s="66">
        <v>1.4018691588785E-2</v>
      </c>
      <c r="N527" s="67">
        <v>1162.3735845794799</v>
      </c>
      <c r="O527" s="67">
        <v>77.491572305298604</v>
      </c>
      <c r="P527" s="67">
        <v>372.15999133884901</v>
      </c>
      <c r="Q527" s="68">
        <v>0.32017244393375299</v>
      </c>
    </row>
    <row r="528" spans="1:17" x14ac:dyDescent="0.35">
      <c r="A528" s="62" t="s">
        <v>136</v>
      </c>
      <c r="B528" s="63">
        <v>876349</v>
      </c>
      <c r="C528" s="63" t="s">
        <v>142</v>
      </c>
      <c r="D528" s="64">
        <v>42570</v>
      </c>
      <c r="E528" s="63" t="s">
        <v>138</v>
      </c>
      <c r="F528" s="65">
        <v>51285</v>
      </c>
      <c r="G528" s="66">
        <v>9.7185493010955807E-3</v>
      </c>
      <c r="H528" s="65">
        <v>222</v>
      </c>
      <c r="I528" s="67">
        <v>0.34364430919883299</v>
      </c>
      <c r="J528" s="67">
        <v>3.3397241609897899</v>
      </c>
      <c r="K528" s="65">
        <v>71</v>
      </c>
      <c r="L528" s="65">
        <v>71</v>
      </c>
      <c r="M528" s="66">
        <v>2.8182701652089401E-2</v>
      </c>
      <c r="N528" s="67">
        <v>2376.86922787404</v>
      </c>
      <c r="O528" s="67">
        <v>81.961007857725605</v>
      </c>
      <c r="P528" s="67">
        <v>353.60999416559901</v>
      </c>
      <c r="Q528" s="68">
        <v>0.14877132911593999</v>
      </c>
    </row>
    <row r="529" spans="1:17" x14ac:dyDescent="0.35">
      <c r="A529" s="62" t="s">
        <v>136</v>
      </c>
      <c r="B529" s="63">
        <v>876349</v>
      </c>
      <c r="C529" s="63" t="s">
        <v>142</v>
      </c>
      <c r="D529" s="64">
        <v>42571</v>
      </c>
      <c r="E529" s="63" t="s">
        <v>138</v>
      </c>
      <c r="F529" s="65">
        <v>952</v>
      </c>
      <c r="G529" s="66">
        <v>9.4305072331074893E-3</v>
      </c>
      <c r="H529" s="65">
        <v>469</v>
      </c>
      <c r="I529" s="67">
        <v>0.32765910934411702</v>
      </c>
      <c r="J529" s="67">
        <v>3.08999160066326</v>
      </c>
      <c r="K529" s="65">
        <v>96</v>
      </c>
      <c r="L529" s="65">
        <v>74</v>
      </c>
      <c r="M529" s="66">
        <v>2.2653721682847901E-2</v>
      </c>
      <c r="N529" s="67">
        <v>2782.0468288952202</v>
      </c>
      <c r="O529" s="67">
        <v>132.47842042358201</v>
      </c>
      <c r="P529" s="67">
        <v>303.73999436199699</v>
      </c>
      <c r="Q529" s="68">
        <v>0.109178605912473</v>
      </c>
    </row>
    <row r="530" spans="1:17" x14ac:dyDescent="0.35">
      <c r="A530" s="62" t="s">
        <v>136</v>
      </c>
      <c r="B530" s="63">
        <v>876349</v>
      </c>
      <c r="C530" s="63" t="s">
        <v>142</v>
      </c>
      <c r="D530" s="64">
        <v>42572</v>
      </c>
      <c r="E530" s="63" t="s">
        <v>138</v>
      </c>
      <c r="F530" s="65">
        <v>23102</v>
      </c>
      <c r="G530" s="66">
        <v>9.17895107124405E-3</v>
      </c>
      <c r="H530" s="65">
        <v>196</v>
      </c>
      <c r="I530" s="67">
        <v>0.33463472311725201</v>
      </c>
      <c r="J530" s="67">
        <v>3.0715957502325502</v>
      </c>
      <c r="K530" s="65">
        <v>77</v>
      </c>
      <c r="L530" s="65">
        <v>50</v>
      </c>
      <c r="M530" s="66">
        <v>1.79640718562874E-2</v>
      </c>
      <c r="N530" s="67">
        <v>1399.21342340457</v>
      </c>
      <c r="O530" s="67">
        <v>93.280894893637793</v>
      </c>
      <c r="P530" s="67">
        <v>279.41999380290503</v>
      </c>
      <c r="Q530" s="68">
        <v>0.199697908216904</v>
      </c>
    </row>
    <row r="531" spans="1:17" x14ac:dyDescent="0.35">
      <c r="A531" s="62" t="s">
        <v>136</v>
      </c>
      <c r="B531" s="63">
        <v>876349</v>
      </c>
      <c r="C531" s="63" t="s">
        <v>142</v>
      </c>
      <c r="D531" s="64">
        <v>42573</v>
      </c>
      <c r="E531" s="63" t="s">
        <v>138</v>
      </c>
      <c r="F531" s="65">
        <v>65963</v>
      </c>
      <c r="G531" s="66">
        <v>1.0396044629894701E-2</v>
      </c>
      <c r="H531" s="65">
        <v>223</v>
      </c>
      <c r="I531" s="67">
        <v>0.319531246845145</v>
      </c>
      <c r="J531" s="67">
        <v>3.3218611028480298</v>
      </c>
      <c r="K531" s="65">
        <v>42</v>
      </c>
      <c r="L531" s="65">
        <v>82</v>
      </c>
      <c r="M531" s="66">
        <v>1.953125E-2</v>
      </c>
      <c r="N531" s="67">
        <v>2126.0264412577199</v>
      </c>
      <c r="O531" s="67">
        <v>106.301322062886</v>
      </c>
      <c r="P531" s="67">
        <v>327.19999676942803</v>
      </c>
      <c r="Q531" s="68">
        <v>0.153902129540714</v>
      </c>
    </row>
    <row r="532" spans="1:17" x14ac:dyDescent="0.35">
      <c r="A532" s="62" t="s">
        <v>136</v>
      </c>
      <c r="B532" s="63">
        <v>876349</v>
      </c>
      <c r="C532" s="63" t="s">
        <v>142</v>
      </c>
      <c r="D532" s="64">
        <v>42574</v>
      </c>
      <c r="E532" s="63" t="s">
        <v>138</v>
      </c>
      <c r="F532" s="65">
        <v>32124</v>
      </c>
      <c r="G532" s="66">
        <v>9.7344355658140706E-3</v>
      </c>
      <c r="H532" s="65">
        <v>394</v>
      </c>
      <c r="I532" s="67">
        <v>0.32827319124156701</v>
      </c>
      <c r="J532" s="67">
        <v>3.1955542281251899</v>
      </c>
      <c r="K532" s="65">
        <v>31</v>
      </c>
      <c r="L532" s="65">
        <v>45</v>
      </c>
      <c r="M532" s="66">
        <v>1.54639175257732E-2</v>
      </c>
      <c r="N532" s="67">
        <v>1749.02757105043</v>
      </c>
      <c r="O532" s="67">
        <v>145.75229758753599</v>
      </c>
      <c r="P532" s="67">
        <v>254.73999640345599</v>
      </c>
      <c r="Q532" s="68">
        <v>0.14564664423812601</v>
      </c>
    </row>
    <row r="533" spans="1:17" x14ac:dyDescent="0.35">
      <c r="A533" s="62" t="s">
        <v>136</v>
      </c>
      <c r="B533" s="63">
        <v>876349</v>
      </c>
      <c r="C533" s="63" t="s">
        <v>142</v>
      </c>
      <c r="D533" s="64">
        <v>42575</v>
      </c>
      <c r="E533" s="63" t="s">
        <v>138</v>
      </c>
      <c r="F533" s="65">
        <v>51540</v>
      </c>
      <c r="G533" s="66">
        <v>1.1077247684913799E-2</v>
      </c>
      <c r="H533" s="65">
        <v>551</v>
      </c>
      <c r="I533" s="67">
        <v>0.27161375364219698</v>
      </c>
      <c r="J533" s="67">
        <v>3.0087328237237898</v>
      </c>
      <c r="K533" s="65">
        <v>78</v>
      </c>
      <c r="L533" s="65">
        <v>53</v>
      </c>
      <c r="M533" s="66">
        <v>2.1164021164021201E-2</v>
      </c>
      <c r="N533" s="67">
        <v>1193.7505395773701</v>
      </c>
      <c r="O533" s="67">
        <v>74.609408723585702</v>
      </c>
      <c r="P533" s="67">
        <v>205.339997753501</v>
      </c>
      <c r="Q533" s="68">
        <v>0.17201248581315701</v>
      </c>
    </row>
    <row r="534" spans="1:17" x14ac:dyDescent="0.35">
      <c r="A534" s="62" t="s">
        <v>136</v>
      </c>
      <c r="B534" s="63">
        <v>876349</v>
      </c>
      <c r="C534" s="63" t="s">
        <v>142</v>
      </c>
      <c r="D534" s="64">
        <v>42576</v>
      </c>
      <c r="E534" s="63" t="s">
        <v>138</v>
      </c>
      <c r="F534" s="65">
        <v>12151</v>
      </c>
      <c r="G534" s="66">
        <v>1.0047632146631701E-2</v>
      </c>
      <c r="H534" s="65">
        <v>369</v>
      </c>
      <c r="I534" s="67">
        <v>0.280475505587433</v>
      </c>
      <c r="J534" s="67">
        <v>2.81811470628308</v>
      </c>
      <c r="K534" s="65">
        <v>36</v>
      </c>
      <c r="L534" s="65">
        <v>43</v>
      </c>
      <c r="M534" s="66">
        <v>2.3054755043227699E-2</v>
      </c>
      <c r="N534" s="67">
        <v>1864.6814928459601</v>
      </c>
      <c r="O534" s="67">
        <v>116.54259330287201</v>
      </c>
      <c r="P534" s="67">
        <v>194.650000877678</v>
      </c>
      <c r="Q534" s="68">
        <v>0.104387801146991</v>
      </c>
    </row>
    <row r="535" spans="1:17" x14ac:dyDescent="0.35">
      <c r="A535" s="62" t="s">
        <v>136</v>
      </c>
      <c r="B535" s="63">
        <v>876349</v>
      </c>
      <c r="C535" s="63" t="s">
        <v>142</v>
      </c>
      <c r="D535" s="64">
        <v>42577</v>
      </c>
      <c r="E535" s="63" t="s">
        <v>138</v>
      </c>
      <c r="F535" s="65">
        <v>63235</v>
      </c>
      <c r="G535" s="66">
        <v>9.8131133195824699E-3</v>
      </c>
      <c r="H535" s="65">
        <v>306</v>
      </c>
      <c r="I535" s="67">
        <v>0.29686624330889599</v>
      </c>
      <c r="J535" s="67">
        <v>2.9131820863489399</v>
      </c>
      <c r="K535" s="65">
        <v>30</v>
      </c>
      <c r="L535" s="65">
        <v>43</v>
      </c>
      <c r="M535" s="66">
        <v>2.0382165605095499E-2</v>
      </c>
      <c r="N535" s="67">
        <v>1020.09681176064</v>
      </c>
      <c r="O535" s="67">
        <v>63.7560507350397</v>
      </c>
      <c r="P535" s="67">
        <v>233.04000099748399</v>
      </c>
      <c r="Q535" s="68">
        <v>0.228448906330046</v>
      </c>
    </row>
    <row r="536" spans="1:17" x14ac:dyDescent="0.35">
      <c r="A536" s="62" t="s">
        <v>136</v>
      </c>
      <c r="B536" s="63">
        <v>876349</v>
      </c>
      <c r="C536" s="63" t="s">
        <v>142</v>
      </c>
      <c r="D536" s="64">
        <v>42578</v>
      </c>
      <c r="E536" s="63" t="s">
        <v>138</v>
      </c>
      <c r="F536" s="65">
        <v>57724</v>
      </c>
      <c r="G536" s="66">
        <v>1.00533027461035E-2</v>
      </c>
      <c r="H536" s="65">
        <v>297</v>
      </c>
      <c r="I536" s="67">
        <v>0.29946309412085798</v>
      </c>
      <c r="J536" s="67">
        <v>3.0105931464818698</v>
      </c>
      <c r="K536" s="65">
        <v>16</v>
      </c>
      <c r="L536" s="65">
        <v>31</v>
      </c>
      <c r="M536" s="66">
        <v>1.61073825503356E-2</v>
      </c>
      <c r="N536" s="67">
        <v>1947.1000221628999</v>
      </c>
      <c r="O536" s="67">
        <v>162.258335180242</v>
      </c>
      <c r="P536" s="67">
        <v>223.10000512003899</v>
      </c>
      <c r="Q536" s="68">
        <v>0.11458065974043399</v>
      </c>
    </row>
    <row r="537" spans="1:17" x14ac:dyDescent="0.35">
      <c r="A537" s="62" t="s">
        <v>136</v>
      </c>
      <c r="B537" s="63">
        <v>876349</v>
      </c>
      <c r="C537" s="63" t="s">
        <v>142</v>
      </c>
      <c r="D537" s="64">
        <v>42579</v>
      </c>
      <c r="E537" s="63" t="s">
        <v>138</v>
      </c>
      <c r="F537" s="65">
        <v>31991</v>
      </c>
      <c r="G537" s="66">
        <v>1.0660028949824801E-2</v>
      </c>
      <c r="H537" s="65">
        <v>334</v>
      </c>
      <c r="I537" s="67">
        <v>0.30163706228288301</v>
      </c>
      <c r="J537" s="67">
        <v>3.21545981627564</v>
      </c>
      <c r="K537" s="65">
        <v>89</v>
      </c>
      <c r="L537" s="65">
        <v>38</v>
      </c>
      <c r="M537" s="66">
        <v>2.0304568527918801E-2</v>
      </c>
      <c r="N537" s="67">
        <v>1670.7580550579</v>
      </c>
      <c r="O537" s="67">
        <v>104.42237844111899</v>
      </c>
      <c r="P537" s="67">
        <v>237.69000507891201</v>
      </c>
      <c r="Q537" s="68">
        <v>0.14226476679813099</v>
      </c>
    </row>
    <row r="538" spans="1:17" x14ac:dyDescent="0.35">
      <c r="A538" s="62" t="s">
        <v>136</v>
      </c>
      <c r="B538" s="63">
        <v>876349</v>
      </c>
      <c r="C538" s="63" t="s">
        <v>142</v>
      </c>
      <c r="D538" s="64">
        <v>42580</v>
      </c>
      <c r="E538" s="63" t="s">
        <v>138</v>
      </c>
      <c r="F538" s="65">
        <v>23405</v>
      </c>
      <c r="G538" s="66">
        <v>1.07557316727993E-2</v>
      </c>
      <c r="H538" s="65">
        <v>565</v>
      </c>
      <c r="I538" s="67">
        <v>0.30982456493534499</v>
      </c>
      <c r="J538" s="67">
        <v>3.3323898860863599</v>
      </c>
      <c r="K538" s="65">
        <v>61</v>
      </c>
      <c r="L538" s="65">
        <v>35</v>
      </c>
      <c r="M538" s="66">
        <v>8.7719298245613996E-3</v>
      </c>
      <c r="N538" s="67">
        <v>488.71985610327499</v>
      </c>
      <c r="O538" s="67">
        <v>69.817122300467901</v>
      </c>
      <c r="P538" s="67">
        <v>247.240002818406</v>
      </c>
      <c r="Q538" s="68">
        <v>0.50589309955550399</v>
      </c>
    </row>
    <row r="539" spans="1:17" x14ac:dyDescent="0.35">
      <c r="A539" s="62" t="s">
        <v>136</v>
      </c>
      <c r="B539" s="63">
        <v>876349</v>
      </c>
      <c r="C539" s="63" t="s">
        <v>142</v>
      </c>
      <c r="D539" s="64">
        <v>42581</v>
      </c>
      <c r="E539" s="63" t="s">
        <v>138</v>
      </c>
      <c r="F539" s="65">
        <v>5603</v>
      </c>
      <c r="G539" s="66">
        <v>1.0338333824414901E-2</v>
      </c>
      <c r="H539" s="65">
        <v>460</v>
      </c>
      <c r="I539" s="67">
        <v>0.32686494190195098</v>
      </c>
      <c r="J539" s="67">
        <v>3.3792388848803401</v>
      </c>
      <c r="K539" s="65">
        <v>88</v>
      </c>
      <c r="L539" s="65">
        <v>32</v>
      </c>
      <c r="M539" s="66">
        <v>1.23915737298637E-2</v>
      </c>
      <c r="N539" s="67">
        <v>868.57118358442199</v>
      </c>
      <c r="O539" s="67">
        <v>86.857118358442307</v>
      </c>
      <c r="P539" s="67">
        <v>263.78000811487402</v>
      </c>
      <c r="Q539" s="68">
        <v>0.303694173949343</v>
      </c>
    </row>
    <row r="540" spans="1:17" x14ac:dyDescent="0.35">
      <c r="A540" s="62" t="s">
        <v>136</v>
      </c>
      <c r="B540" s="63">
        <v>876349</v>
      </c>
      <c r="C540" s="63" t="s">
        <v>142</v>
      </c>
      <c r="D540" s="64">
        <v>42582</v>
      </c>
      <c r="E540" s="63" t="s">
        <v>138</v>
      </c>
      <c r="F540" s="65">
        <v>33179</v>
      </c>
      <c r="G540" s="66">
        <v>1.00582702676564E-2</v>
      </c>
      <c r="H540" s="65">
        <v>190</v>
      </c>
      <c r="I540" s="67">
        <v>0.32317308468135197</v>
      </c>
      <c r="J540" s="67">
        <v>3.2505622289572398</v>
      </c>
      <c r="K540" s="65">
        <v>62</v>
      </c>
      <c r="L540" s="65">
        <v>34</v>
      </c>
      <c r="M540" s="66">
        <v>2.5240384615384599E-2</v>
      </c>
      <c r="N540" s="67">
        <v>2222.7072256192</v>
      </c>
      <c r="O540" s="67">
        <v>105.843201219962</v>
      </c>
      <c r="P540" s="67">
        <v>268.88000645488501</v>
      </c>
      <c r="Q540" s="68">
        <v>0.12096960110433801</v>
      </c>
    </row>
    <row r="541" spans="1:17" x14ac:dyDescent="0.35">
      <c r="A541" s="62" t="s">
        <v>136</v>
      </c>
      <c r="B541" s="63">
        <v>876349</v>
      </c>
      <c r="C541" s="63" t="s">
        <v>142</v>
      </c>
      <c r="D541" s="64">
        <v>42583</v>
      </c>
      <c r="E541" s="63" t="s">
        <v>138</v>
      </c>
      <c r="F541" s="65">
        <v>10916</v>
      </c>
      <c r="G541" s="66">
        <v>1.0368411977699899E-2</v>
      </c>
      <c r="H541" s="65">
        <v>408</v>
      </c>
      <c r="I541" s="67">
        <v>0.31900221829668102</v>
      </c>
      <c r="J541" s="67">
        <v>3.30754642110014</v>
      </c>
      <c r="K541" s="65">
        <v>87</v>
      </c>
      <c r="L541" s="65">
        <v>51</v>
      </c>
      <c r="M541" s="66">
        <v>1.7738359201773801E-2</v>
      </c>
      <c r="N541" s="67">
        <v>2402.6987687906999</v>
      </c>
      <c r="O541" s="67">
        <v>150.168673049419</v>
      </c>
      <c r="P541" s="67">
        <v>287.74000090360602</v>
      </c>
      <c r="Q541" s="68">
        <v>0.119757001851892</v>
      </c>
    </row>
    <row r="542" spans="1:17" x14ac:dyDescent="0.35">
      <c r="A542" s="62" t="s">
        <v>136</v>
      </c>
      <c r="B542" s="63">
        <v>876349</v>
      </c>
      <c r="C542" s="63" t="s">
        <v>142</v>
      </c>
      <c r="D542" s="64">
        <v>42584</v>
      </c>
      <c r="E542" s="63" t="s">
        <v>138</v>
      </c>
      <c r="F542" s="65">
        <v>38576</v>
      </c>
      <c r="G542" s="66">
        <v>1.0296163311892899E-2</v>
      </c>
      <c r="H542" s="65">
        <v>425</v>
      </c>
      <c r="I542" s="67">
        <v>0.32714781207279903</v>
      </c>
      <c r="J542" s="67">
        <v>3.3683673002299801</v>
      </c>
      <c r="K542" s="65">
        <v>18</v>
      </c>
      <c r="L542" s="65">
        <v>40</v>
      </c>
      <c r="M542" s="66">
        <v>1.38568129330254E-2</v>
      </c>
      <c r="N542" s="67">
        <v>1695.98209876442</v>
      </c>
      <c r="O542" s="67">
        <v>141.331841563702</v>
      </c>
      <c r="P542" s="67">
        <v>283.31000525504402</v>
      </c>
      <c r="Q542" s="68">
        <v>0.16704775684922901</v>
      </c>
    </row>
    <row r="543" spans="1:17" x14ac:dyDescent="0.35">
      <c r="A543" s="62" t="s">
        <v>136</v>
      </c>
      <c r="B543" s="63">
        <v>876349</v>
      </c>
      <c r="C543" s="63" t="s">
        <v>142</v>
      </c>
      <c r="D543" s="64">
        <v>42585</v>
      </c>
      <c r="E543" s="63" t="s">
        <v>138</v>
      </c>
      <c r="F543" s="65">
        <v>64304</v>
      </c>
      <c r="G543" s="66">
        <v>1.03799145041845E-2</v>
      </c>
      <c r="H543" s="65">
        <v>172</v>
      </c>
      <c r="I543" s="67">
        <v>0.32367749555412401</v>
      </c>
      <c r="J543" s="67">
        <v>3.3597447307803598</v>
      </c>
      <c r="K543" s="65">
        <v>38</v>
      </c>
      <c r="L543" s="65">
        <v>37</v>
      </c>
      <c r="M543" s="66">
        <v>1.6241299303944301E-2</v>
      </c>
      <c r="N543" s="67">
        <v>1470.5983481133401</v>
      </c>
      <c r="O543" s="67">
        <v>105.042739150953</v>
      </c>
      <c r="P543" s="67">
        <v>279.01000116765499</v>
      </c>
      <c r="Q543" s="68">
        <v>0.189725496105448</v>
      </c>
    </row>
    <row r="544" spans="1:17" x14ac:dyDescent="0.35">
      <c r="A544" s="62" t="s">
        <v>136</v>
      </c>
      <c r="B544" s="63">
        <v>876349</v>
      </c>
      <c r="C544" s="63" t="s">
        <v>142</v>
      </c>
      <c r="D544" s="64">
        <v>42586</v>
      </c>
      <c r="E544" s="63" t="s">
        <v>138</v>
      </c>
      <c r="F544" s="65">
        <v>871</v>
      </c>
      <c r="G544" s="66">
        <v>1.0756290455736501E-2</v>
      </c>
      <c r="H544" s="65">
        <v>246</v>
      </c>
      <c r="I544" s="67">
        <v>0.32295885035670802</v>
      </c>
      <c r="J544" s="67">
        <v>3.4738391996874798</v>
      </c>
      <c r="K544" s="65">
        <v>24</v>
      </c>
      <c r="L544" s="65">
        <v>44</v>
      </c>
      <c r="M544" s="66">
        <v>1.8909899888765298E-2</v>
      </c>
      <c r="N544" s="67">
        <v>1557.5961602887401</v>
      </c>
      <c r="O544" s="67">
        <v>91.6233035463965</v>
      </c>
      <c r="P544" s="67">
        <v>290.34000647068001</v>
      </c>
      <c r="Q544" s="68">
        <v>0.186402620828789</v>
      </c>
    </row>
    <row r="545" spans="1:17" x14ac:dyDescent="0.35">
      <c r="A545" s="62" t="s">
        <v>136</v>
      </c>
      <c r="B545" s="63">
        <v>876349</v>
      </c>
      <c r="C545" s="63" t="s">
        <v>142</v>
      </c>
      <c r="D545" s="64">
        <v>42587</v>
      </c>
      <c r="E545" s="63" t="s">
        <v>138</v>
      </c>
      <c r="F545" s="65">
        <v>57400</v>
      </c>
      <c r="G545" s="66">
        <v>1.07341231527653E-2</v>
      </c>
      <c r="H545" s="65">
        <v>565</v>
      </c>
      <c r="I545" s="67">
        <v>0.31629630174271001</v>
      </c>
      <c r="J545" s="67">
        <v>3.39516345567047</v>
      </c>
      <c r="K545" s="65">
        <v>16</v>
      </c>
      <c r="L545" s="65">
        <v>62</v>
      </c>
      <c r="M545" s="66">
        <v>2.0105820105820099E-2</v>
      </c>
      <c r="N545" s="67">
        <v>2274.9611804723399</v>
      </c>
      <c r="O545" s="67">
        <v>119.73479897222801</v>
      </c>
      <c r="P545" s="67">
        <v>298.90000514686102</v>
      </c>
      <c r="Q545" s="68">
        <v>0.13138685957041299</v>
      </c>
    </row>
    <row r="546" spans="1:17" x14ac:dyDescent="0.35">
      <c r="A546" s="62" t="s">
        <v>136</v>
      </c>
      <c r="B546" s="63">
        <v>876349</v>
      </c>
      <c r="C546" s="63" t="s">
        <v>142</v>
      </c>
      <c r="D546" s="64">
        <v>42588</v>
      </c>
      <c r="E546" s="63" t="s">
        <v>138</v>
      </c>
      <c r="F546" s="65">
        <v>11635</v>
      </c>
      <c r="G546" s="66">
        <v>1.0510603893276901E-2</v>
      </c>
      <c r="H546" s="65">
        <v>167</v>
      </c>
      <c r="I546" s="67">
        <v>0.31822485657485999</v>
      </c>
      <c r="J546" s="67">
        <v>3.3447354164532199</v>
      </c>
      <c r="K546" s="65">
        <v>93</v>
      </c>
      <c r="L546" s="65">
        <v>38</v>
      </c>
      <c r="M546" s="66">
        <v>1.5384615384615399E-2</v>
      </c>
      <c r="N546" s="67">
        <v>1399.46541717945</v>
      </c>
      <c r="O546" s="67">
        <v>107.65118593688101</v>
      </c>
      <c r="P546" s="67">
        <v>268.90000380575702</v>
      </c>
      <c r="Q546" s="68">
        <v>0.19214480079665699</v>
      </c>
    </row>
    <row r="547" spans="1:17" x14ac:dyDescent="0.35">
      <c r="A547" s="62" t="s">
        <v>136</v>
      </c>
      <c r="B547" s="63">
        <v>876349</v>
      </c>
      <c r="C547" s="63" t="s">
        <v>142</v>
      </c>
      <c r="D547" s="64">
        <v>42589</v>
      </c>
      <c r="E547" s="63" t="s">
        <v>138</v>
      </c>
      <c r="F547" s="65">
        <v>19458</v>
      </c>
      <c r="G547" s="66">
        <v>1.1074353272954101E-2</v>
      </c>
      <c r="H547" s="65">
        <v>498</v>
      </c>
      <c r="I547" s="67">
        <v>0.31544564340362102</v>
      </c>
      <c r="J547" s="67">
        <v>3.4933564934659902</v>
      </c>
      <c r="K547" s="65">
        <v>75</v>
      </c>
      <c r="L547" s="65">
        <v>44</v>
      </c>
      <c r="M547" s="66">
        <v>2.4485798237022498E-2</v>
      </c>
      <c r="N547" s="67">
        <v>2817.3823191351198</v>
      </c>
      <c r="O547" s="67">
        <v>112.695292765405</v>
      </c>
      <c r="P547" s="67">
        <v>322.07000191509701</v>
      </c>
      <c r="Q547" s="68">
        <v>0.11431533438953601</v>
      </c>
    </row>
    <row r="548" spans="1:17" x14ac:dyDescent="0.35">
      <c r="A548" s="62" t="s">
        <v>136</v>
      </c>
      <c r="B548" s="63">
        <v>876349</v>
      </c>
      <c r="C548" s="63" t="s">
        <v>142</v>
      </c>
      <c r="D548" s="64">
        <v>42590</v>
      </c>
      <c r="E548" s="63" t="s">
        <v>138</v>
      </c>
      <c r="F548" s="65">
        <v>38667</v>
      </c>
      <c r="G548" s="66">
        <v>1.14289244455427E-2</v>
      </c>
      <c r="H548" s="65">
        <v>314</v>
      </c>
      <c r="I548" s="67">
        <v>0.31999099683519999</v>
      </c>
      <c r="J548" s="67">
        <v>3.6571529260834001</v>
      </c>
      <c r="K548" s="65">
        <v>16</v>
      </c>
      <c r="L548" s="65">
        <v>46</v>
      </c>
      <c r="M548" s="66">
        <v>1.17117117117117E-2</v>
      </c>
      <c r="N548" s="67">
        <v>1408.5187022286</v>
      </c>
      <c r="O548" s="67">
        <v>108.34759247912299</v>
      </c>
      <c r="P548" s="67">
        <v>355.19000648707203</v>
      </c>
      <c r="Q548" s="68">
        <v>0.25217273006391799</v>
      </c>
    </row>
    <row r="549" spans="1:17" x14ac:dyDescent="0.35">
      <c r="A549" s="62" t="s">
        <v>136</v>
      </c>
      <c r="B549" s="63">
        <v>876349</v>
      </c>
      <c r="C549" s="63" t="s">
        <v>142</v>
      </c>
      <c r="D549" s="64">
        <v>42591</v>
      </c>
      <c r="E549" s="63" t="s">
        <v>138</v>
      </c>
      <c r="F549" s="65">
        <v>8384</v>
      </c>
      <c r="G549" s="66">
        <v>1.1020112645861301E-2</v>
      </c>
      <c r="H549" s="65">
        <v>579</v>
      </c>
      <c r="I549" s="67">
        <v>0.31500000258710598</v>
      </c>
      <c r="J549" s="67">
        <v>3.4713355119565201</v>
      </c>
      <c r="K549" s="65">
        <v>92</v>
      </c>
      <c r="L549" s="65">
        <v>48</v>
      </c>
      <c r="M549" s="66">
        <v>1.36518771331058E-2</v>
      </c>
      <c r="N549" s="67">
        <v>1507.11330756543</v>
      </c>
      <c r="O549" s="67">
        <v>94.194581722839104</v>
      </c>
      <c r="P549" s="67">
        <v>369.180003032088</v>
      </c>
      <c r="Q549" s="68">
        <v>0.244958359254659</v>
      </c>
    </row>
    <row r="550" spans="1:17" x14ac:dyDescent="0.35">
      <c r="A550" s="62" t="s">
        <v>136</v>
      </c>
      <c r="B550" s="63">
        <v>876349</v>
      </c>
      <c r="C550" s="63" t="s">
        <v>142</v>
      </c>
      <c r="D550" s="64">
        <v>42592</v>
      </c>
      <c r="E550" s="63" t="s">
        <v>138</v>
      </c>
      <c r="F550" s="65">
        <v>40966</v>
      </c>
      <c r="G550" s="66">
        <v>1.0875915689182499E-2</v>
      </c>
      <c r="H550" s="65">
        <v>598</v>
      </c>
      <c r="I550" s="67">
        <v>0.32013223825776899</v>
      </c>
      <c r="J550" s="67">
        <v>3.4817312326807799</v>
      </c>
      <c r="K550" s="65">
        <v>37</v>
      </c>
      <c r="L550" s="65">
        <v>45</v>
      </c>
      <c r="M550" s="66">
        <v>1.9834710743801699E-2</v>
      </c>
      <c r="N550" s="67">
        <v>2511.9417440194402</v>
      </c>
      <c r="O550" s="67">
        <v>104.66423933414301</v>
      </c>
      <c r="P550" s="67">
        <v>387.36000829189999</v>
      </c>
      <c r="Q550" s="68">
        <v>0.15420740119238299</v>
      </c>
    </row>
    <row r="551" spans="1:17" x14ac:dyDescent="0.35">
      <c r="A551" s="62" t="s">
        <v>136</v>
      </c>
      <c r="B551" s="63">
        <v>876349</v>
      </c>
      <c r="C551" s="63" t="s">
        <v>142</v>
      </c>
      <c r="D551" s="64">
        <v>42593</v>
      </c>
      <c r="E551" s="63" t="s">
        <v>138</v>
      </c>
      <c r="F551" s="65">
        <v>22365</v>
      </c>
      <c r="G551" s="66">
        <v>1.0696194188652201E-2</v>
      </c>
      <c r="H551" s="65">
        <v>368</v>
      </c>
      <c r="I551" s="67">
        <v>0.315906696329812</v>
      </c>
      <c r="J551" s="67">
        <v>3.3789993694392599</v>
      </c>
      <c r="K551" s="65">
        <v>98</v>
      </c>
      <c r="L551" s="65">
        <v>46</v>
      </c>
      <c r="M551" s="66">
        <v>1.5845070422535201E-2</v>
      </c>
      <c r="N551" s="67">
        <v>2489.1791957928199</v>
      </c>
      <c r="O551" s="67">
        <v>138.28773309960101</v>
      </c>
      <c r="P551" s="67">
        <v>358.87000703066599</v>
      </c>
      <c r="Q551" s="68">
        <v>0.144172025717242</v>
      </c>
    </row>
    <row r="552" spans="1:17" x14ac:dyDescent="0.35">
      <c r="A552" s="62" t="s">
        <v>136</v>
      </c>
      <c r="B552" s="63">
        <v>876349</v>
      </c>
      <c r="C552" s="63" t="s">
        <v>142</v>
      </c>
      <c r="D552" s="64">
        <v>42594</v>
      </c>
      <c r="E552" s="63" t="s">
        <v>138</v>
      </c>
      <c r="F552" s="65">
        <v>47048</v>
      </c>
      <c r="G552" s="66">
        <v>1.23048858141016E-2</v>
      </c>
      <c r="H552" s="65">
        <v>437</v>
      </c>
      <c r="I552" s="67">
        <v>0.31024475943271101</v>
      </c>
      <c r="J552" s="67">
        <v>3.81752633924292</v>
      </c>
      <c r="K552" s="65">
        <v>15</v>
      </c>
      <c r="L552" s="65">
        <v>52</v>
      </c>
      <c r="M552" s="66">
        <v>1.3286713286713299E-2</v>
      </c>
      <c r="N552" s="67">
        <v>2301.21572750728</v>
      </c>
      <c r="O552" s="67">
        <v>121.116617237225</v>
      </c>
      <c r="P552" s="67">
        <v>443.65000598877702</v>
      </c>
      <c r="Q552" s="68">
        <v>0.19278940287330101</v>
      </c>
    </row>
    <row r="553" spans="1:17" x14ac:dyDescent="0.35">
      <c r="A553" s="62" t="s">
        <v>136</v>
      </c>
      <c r="B553" s="63">
        <v>876349</v>
      </c>
      <c r="C553" s="63" t="s">
        <v>142</v>
      </c>
      <c r="D553" s="64">
        <v>42595</v>
      </c>
      <c r="E553" s="63" t="s">
        <v>138</v>
      </c>
      <c r="F553" s="65">
        <v>22580</v>
      </c>
      <c r="G553" s="66">
        <v>9.7527994146468008E-3</v>
      </c>
      <c r="H553" s="65">
        <v>469</v>
      </c>
      <c r="I553" s="67">
        <v>0.317502378094287</v>
      </c>
      <c r="J553" s="67">
        <v>3.0965370072269298</v>
      </c>
      <c r="K553" s="65">
        <v>8</v>
      </c>
      <c r="L553" s="65">
        <v>49</v>
      </c>
      <c r="M553" s="66">
        <v>1.80436847103514E-2</v>
      </c>
      <c r="N553" s="67">
        <v>1401.2329708730199</v>
      </c>
      <c r="O553" s="67">
        <v>73.749103730159007</v>
      </c>
      <c r="P553" s="67">
        <v>334.33000413328398</v>
      </c>
      <c r="Q553" s="68">
        <v>0.23859701497388</v>
      </c>
    </row>
    <row r="554" spans="1:17" x14ac:dyDescent="0.35">
      <c r="A554" s="62" t="s">
        <v>136</v>
      </c>
      <c r="B554" s="63">
        <v>876349</v>
      </c>
      <c r="C554" s="63" t="s">
        <v>142</v>
      </c>
      <c r="D554" s="64">
        <v>42596</v>
      </c>
      <c r="E554" s="63" t="s">
        <v>138</v>
      </c>
      <c r="F554" s="65">
        <v>4491</v>
      </c>
      <c r="G554" s="66">
        <v>1.09785517735309E-2</v>
      </c>
      <c r="H554" s="65">
        <v>316</v>
      </c>
      <c r="I554" s="67">
        <v>0.31854936345580298</v>
      </c>
      <c r="J554" s="67">
        <v>3.4972106791248301</v>
      </c>
      <c r="K554" s="65">
        <v>75</v>
      </c>
      <c r="L554" s="65">
        <v>44</v>
      </c>
      <c r="M554" s="66">
        <v>1.9742489270386299E-2</v>
      </c>
      <c r="N554" s="67">
        <v>2521.5985573947701</v>
      </c>
      <c r="O554" s="67">
        <v>109.634719886729</v>
      </c>
      <c r="P554" s="67">
        <v>371.11000842601101</v>
      </c>
      <c r="Q554" s="68">
        <v>0.147172517741852</v>
      </c>
    </row>
    <row r="555" spans="1:17" x14ac:dyDescent="0.35">
      <c r="A555" s="62" t="s">
        <v>136</v>
      </c>
      <c r="B555" s="63">
        <v>876349</v>
      </c>
      <c r="C555" s="63" t="s">
        <v>142</v>
      </c>
      <c r="D555" s="64">
        <v>42597</v>
      </c>
      <c r="E555" s="63" t="s">
        <v>138</v>
      </c>
      <c r="F555" s="65">
        <v>13446</v>
      </c>
      <c r="G555" s="66">
        <v>1.01527347598044E-2</v>
      </c>
      <c r="H555" s="65">
        <v>362</v>
      </c>
      <c r="I555" s="67">
        <v>0.31808567169558699</v>
      </c>
      <c r="J555" s="67">
        <v>3.2294394556195201</v>
      </c>
      <c r="K555" s="65">
        <v>32</v>
      </c>
      <c r="L555" s="65">
        <v>38</v>
      </c>
      <c r="M555" s="66">
        <v>1.6608391608391601E-2</v>
      </c>
      <c r="N555" s="67">
        <v>1739.0067085230601</v>
      </c>
      <c r="O555" s="67">
        <v>91.526668869634705</v>
      </c>
      <c r="P555" s="67">
        <v>363.89000841975201</v>
      </c>
      <c r="Q555" s="68">
        <v>0.20925164154703299</v>
      </c>
    </row>
    <row r="556" spans="1:17" x14ac:dyDescent="0.35">
      <c r="A556" s="62" t="s">
        <v>136</v>
      </c>
      <c r="B556" s="63">
        <v>876349</v>
      </c>
      <c r="C556" s="63" t="s">
        <v>142</v>
      </c>
      <c r="D556" s="64">
        <v>42598</v>
      </c>
      <c r="E556" s="63" t="s">
        <v>138</v>
      </c>
      <c r="F556" s="65">
        <v>58071</v>
      </c>
      <c r="G556" s="66">
        <v>1.01442412763167E-2</v>
      </c>
      <c r="H556" s="65">
        <v>157</v>
      </c>
      <c r="I556" s="67">
        <v>0.317971279674094</v>
      </c>
      <c r="J556" s="67">
        <v>3.2255773799531999</v>
      </c>
      <c r="K556" s="65">
        <v>61</v>
      </c>
      <c r="L556" s="65">
        <v>42</v>
      </c>
      <c r="M556" s="66">
        <v>1.43626570915619E-2</v>
      </c>
      <c r="N556" s="67">
        <v>1897.82721027257</v>
      </c>
      <c r="O556" s="67">
        <v>118.614200642035</v>
      </c>
      <c r="P556" s="67">
        <v>354.22000555694098</v>
      </c>
      <c r="Q556" s="68">
        <v>0.186645024183244</v>
      </c>
    </row>
    <row r="557" spans="1:17" x14ac:dyDescent="0.35">
      <c r="A557" s="62" t="s">
        <v>136</v>
      </c>
      <c r="B557" s="63">
        <v>876349</v>
      </c>
      <c r="C557" s="63" t="s">
        <v>142</v>
      </c>
      <c r="D557" s="64">
        <v>42599</v>
      </c>
      <c r="E557" s="63" t="s">
        <v>138</v>
      </c>
      <c r="F557" s="65">
        <v>16714</v>
      </c>
      <c r="G557" s="66">
        <v>1.04227042087388E-2</v>
      </c>
      <c r="H557" s="65">
        <v>349</v>
      </c>
      <c r="I557" s="67">
        <v>0.28713170347417299</v>
      </c>
      <c r="J557" s="67">
        <v>2.9926888142625998</v>
      </c>
      <c r="K557" s="65">
        <v>25</v>
      </c>
      <c r="L557" s="65">
        <v>39</v>
      </c>
      <c r="M557" s="66">
        <v>1.46341463414634E-2</v>
      </c>
      <c r="N557" s="67">
        <v>1818.02894025245</v>
      </c>
      <c r="O557" s="67">
        <v>121.201929350163</v>
      </c>
      <c r="P557" s="67">
        <v>294.30999606102699</v>
      </c>
      <c r="Q557" s="68">
        <v>0.16188410951266799</v>
      </c>
    </row>
    <row r="558" spans="1:17" x14ac:dyDescent="0.35">
      <c r="A558" s="62" t="s">
        <v>136</v>
      </c>
      <c r="B558" s="63">
        <v>876349</v>
      </c>
      <c r="C558" s="63" t="s">
        <v>142</v>
      </c>
      <c r="D558" s="64">
        <v>42600</v>
      </c>
      <c r="E558" s="63" t="s">
        <v>138</v>
      </c>
      <c r="F558" s="65">
        <v>56462</v>
      </c>
      <c r="G558" s="66">
        <v>1.1087950900353199E-2</v>
      </c>
      <c r="H558" s="65">
        <v>232</v>
      </c>
      <c r="I558" s="67">
        <v>0.27114011766186402</v>
      </c>
      <c r="J558" s="67">
        <v>3.00638831175073</v>
      </c>
      <c r="K558" s="65">
        <v>66</v>
      </c>
      <c r="L558" s="65">
        <v>31</v>
      </c>
      <c r="M558" s="66">
        <v>1.6536118363794601E-2</v>
      </c>
      <c r="N558" s="67">
        <v>1960.2518094821401</v>
      </c>
      <c r="O558" s="67">
        <v>103.171147867481</v>
      </c>
      <c r="P558" s="67">
        <v>311.53999519348099</v>
      </c>
      <c r="Q558" s="68">
        <v>0.15892855891600099</v>
      </c>
    </row>
    <row r="559" spans="1:17" x14ac:dyDescent="0.35">
      <c r="A559" s="62" t="s">
        <v>136</v>
      </c>
      <c r="B559" s="63">
        <v>876349</v>
      </c>
      <c r="C559" s="63" t="s">
        <v>142</v>
      </c>
      <c r="D559" s="64">
        <v>42601</v>
      </c>
      <c r="E559" s="63" t="s">
        <v>138</v>
      </c>
      <c r="F559" s="65">
        <v>4170</v>
      </c>
      <c r="G559" s="66">
        <v>1.0645212951361701E-2</v>
      </c>
      <c r="H559" s="65">
        <v>484</v>
      </c>
      <c r="I559" s="67">
        <v>0.27384955108297598</v>
      </c>
      <c r="J559" s="67">
        <v>2.9151867879130999</v>
      </c>
      <c r="K559" s="65">
        <v>10</v>
      </c>
      <c r="L559" s="65">
        <v>47</v>
      </c>
      <c r="M559" s="66">
        <v>1.23893805309735E-2</v>
      </c>
      <c r="N559" s="67">
        <v>1417.74442488211</v>
      </c>
      <c r="O559" s="67">
        <v>101.267458920151</v>
      </c>
      <c r="P559" s="67">
        <v>309.44999272376299</v>
      </c>
      <c r="Q559" s="68">
        <v>0.218269236184438</v>
      </c>
    </row>
    <row r="560" spans="1:17" x14ac:dyDescent="0.35">
      <c r="A560" s="62" t="s">
        <v>136</v>
      </c>
      <c r="B560" s="63">
        <v>876349</v>
      </c>
      <c r="C560" s="63" t="s">
        <v>142</v>
      </c>
      <c r="D560" s="64">
        <v>42602</v>
      </c>
      <c r="E560" s="63" t="s">
        <v>138</v>
      </c>
      <c r="F560" s="65">
        <v>59034</v>
      </c>
      <c r="G560" s="66">
        <v>1.0678379304092E-2</v>
      </c>
      <c r="H560" s="65">
        <v>366</v>
      </c>
      <c r="I560" s="67">
        <v>0.28937734799846199</v>
      </c>
      <c r="J560" s="67">
        <v>3.0900810839398098</v>
      </c>
      <c r="K560" s="65">
        <v>21</v>
      </c>
      <c r="L560" s="65">
        <v>49</v>
      </c>
      <c r="M560" s="66">
        <v>2.2641509433962301E-2</v>
      </c>
      <c r="N560" s="67">
        <v>2826.0475957284698</v>
      </c>
      <c r="O560" s="67">
        <v>117.751983155353</v>
      </c>
      <c r="P560" s="67">
        <v>306.73998887836899</v>
      </c>
      <c r="Q560" s="68">
        <v>0.108540277008074</v>
      </c>
    </row>
    <row r="561" spans="1:17" x14ac:dyDescent="0.35">
      <c r="A561" s="62" t="s">
        <v>136</v>
      </c>
      <c r="B561" s="63">
        <v>876349</v>
      </c>
      <c r="C561" s="63" t="s">
        <v>142</v>
      </c>
      <c r="D561" s="64">
        <v>42603</v>
      </c>
      <c r="E561" s="63" t="s">
        <v>138</v>
      </c>
      <c r="F561" s="65">
        <v>9786</v>
      </c>
      <c r="G561" s="66">
        <v>1.1581255747678199E-2</v>
      </c>
      <c r="H561" s="65">
        <v>349</v>
      </c>
      <c r="I561" s="67">
        <v>0.29981674607615599</v>
      </c>
      <c r="J561" s="67">
        <v>3.4722544137446598</v>
      </c>
      <c r="K561" s="65">
        <v>30</v>
      </c>
      <c r="L561" s="65">
        <v>45</v>
      </c>
      <c r="M561" s="66">
        <v>1.5706806282722498E-2</v>
      </c>
      <c r="N561" s="67">
        <v>1889.29129312893</v>
      </c>
      <c r="O561" s="67">
        <v>104.960627396052</v>
      </c>
      <c r="P561" s="67">
        <v>343.58999100327497</v>
      </c>
      <c r="Q561" s="68">
        <v>0.18186184007350301</v>
      </c>
    </row>
    <row r="562" spans="1:17" x14ac:dyDescent="0.35">
      <c r="A562" s="62" t="s">
        <v>136</v>
      </c>
      <c r="B562" s="63">
        <v>876349</v>
      </c>
      <c r="C562" s="63" t="s">
        <v>142</v>
      </c>
      <c r="D562" s="64">
        <v>42604</v>
      </c>
      <c r="E562" s="63" t="s">
        <v>138</v>
      </c>
      <c r="F562" s="65">
        <v>28821</v>
      </c>
      <c r="G562" s="66">
        <v>1.09814622231975E-2</v>
      </c>
      <c r="H562" s="65">
        <v>588</v>
      </c>
      <c r="I562" s="67">
        <v>0.325013023507429</v>
      </c>
      <c r="J562" s="67">
        <v>3.5691182396940402</v>
      </c>
      <c r="K562" s="65">
        <v>57</v>
      </c>
      <c r="L562" s="65">
        <v>55</v>
      </c>
      <c r="M562" s="66">
        <v>1.91138140747176E-2</v>
      </c>
      <c r="N562" s="67">
        <v>2213.6144116739301</v>
      </c>
      <c r="O562" s="67">
        <v>100.61883689427</v>
      </c>
      <c r="P562" s="67">
        <v>374.08999005705101</v>
      </c>
      <c r="Q562" s="68">
        <v>0.16899510053973901</v>
      </c>
    </row>
    <row r="563" spans="1:17" x14ac:dyDescent="0.35">
      <c r="A563" s="62" t="s">
        <v>136</v>
      </c>
      <c r="B563" s="63">
        <v>876349</v>
      </c>
      <c r="C563" s="63" t="s">
        <v>142</v>
      </c>
      <c r="D563" s="64">
        <v>42605</v>
      </c>
      <c r="E563" s="63" t="s">
        <v>138</v>
      </c>
      <c r="F563" s="65">
        <v>39185</v>
      </c>
      <c r="G563" s="66">
        <v>1.15247981545559E-2</v>
      </c>
      <c r="H563" s="65">
        <v>558</v>
      </c>
      <c r="I563" s="67">
        <v>0.32314651046661103</v>
      </c>
      <c r="J563" s="67">
        <v>3.7241983074767901</v>
      </c>
      <c r="K563" s="65">
        <v>12</v>
      </c>
      <c r="L563" s="65">
        <v>50</v>
      </c>
      <c r="M563" s="66">
        <v>1.44115292233787E-2</v>
      </c>
      <c r="N563" s="67">
        <v>1985.1698614766101</v>
      </c>
      <c r="O563" s="67">
        <v>110.287214526479</v>
      </c>
      <c r="P563" s="67">
        <v>403.60999157279701</v>
      </c>
      <c r="Q563" s="68">
        <v>0.20331257259395599</v>
      </c>
    </row>
    <row r="564" spans="1:17" x14ac:dyDescent="0.35">
      <c r="A564" s="62" t="s">
        <v>136</v>
      </c>
      <c r="B564" s="63">
        <v>876349</v>
      </c>
      <c r="C564" s="63" t="s">
        <v>142</v>
      </c>
      <c r="D564" s="64">
        <v>42606</v>
      </c>
      <c r="E564" s="63" t="s">
        <v>138</v>
      </c>
      <c r="F564" s="65">
        <v>28205</v>
      </c>
      <c r="G564" s="66">
        <v>1.07020136223343E-2</v>
      </c>
      <c r="H564" s="65">
        <v>310</v>
      </c>
      <c r="I564" s="67">
        <v>0.32561274053029798</v>
      </c>
      <c r="J564" s="67">
        <v>3.4847119847608599</v>
      </c>
      <c r="K564" s="65">
        <v>46</v>
      </c>
      <c r="L564" s="65">
        <v>64</v>
      </c>
      <c r="M564" s="66">
        <v>2.1241830065359499E-2</v>
      </c>
      <c r="N564" s="67">
        <v>2271.1242891875099</v>
      </c>
      <c r="O564" s="67">
        <v>87.3509341995195</v>
      </c>
      <c r="P564" s="67">
        <v>398.54999440908398</v>
      </c>
      <c r="Q564" s="68">
        <v>0.175485769892261</v>
      </c>
    </row>
    <row r="565" spans="1:17" x14ac:dyDescent="0.35">
      <c r="A565" s="62" t="s">
        <v>136</v>
      </c>
      <c r="B565" s="63">
        <v>876349</v>
      </c>
      <c r="C565" s="63" t="s">
        <v>142</v>
      </c>
      <c r="D565" s="64">
        <v>42607</v>
      </c>
      <c r="E565" s="63" t="s">
        <v>138</v>
      </c>
      <c r="F565" s="65">
        <v>54106</v>
      </c>
      <c r="G565" s="66">
        <v>1.1283663531813801E-2</v>
      </c>
      <c r="H565" s="65">
        <v>461</v>
      </c>
      <c r="I565" s="67">
        <v>0.32330663907255902</v>
      </c>
      <c r="J565" s="67">
        <v>3.64808333289632</v>
      </c>
      <c r="K565" s="65">
        <v>68</v>
      </c>
      <c r="L565" s="65">
        <v>46</v>
      </c>
      <c r="M565" s="66">
        <v>2.0016012810248202E-2</v>
      </c>
      <c r="N565" s="67">
        <v>2089.8861580006901</v>
      </c>
      <c r="O565" s="67">
        <v>83.595446320027406</v>
      </c>
      <c r="P565" s="67">
        <v>403.80999220162602</v>
      </c>
      <c r="Q565" s="68">
        <v>0.193221047307159</v>
      </c>
    </row>
    <row r="566" spans="1:17" x14ac:dyDescent="0.35">
      <c r="A566" s="62" t="s">
        <v>136</v>
      </c>
      <c r="B566" s="63">
        <v>876349</v>
      </c>
      <c r="C566" s="63" t="s">
        <v>142</v>
      </c>
      <c r="D566" s="64">
        <v>42608</v>
      </c>
      <c r="E566" s="63" t="s">
        <v>138</v>
      </c>
      <c r="F566" s="65">
        <v>15800</v>
      </c>
      <c r="G566" s="66">
        <v>1.10343706833509E-2</v>
      </c>
      <c r="H566" s="65">
        <v>557</v>
      </c>
      <c r="I566" s="67">
        <v>0.32799705291860898</v>
      </c>
      <c r="J566" s="67">
        <v>3.6192410649506099</v>
      </c>
      <c r="K566" s="65">
        <v>56</v>
      </c>
      <c r="L566" s="65">
        <v>63</v>
      </c>
      <c r="M566" s="66">
        <v>1.9145802650957298E-2</v>
      </c>
      <c r="N566" s="67">
        <v>2778.2807199682402</v>
      </c>
      <c r="O566" s="67">
        <v>106.856950768009</v>
      </c>
      <c r="P566" s="67">
        <v>445.41999786347202</v>
      </c>
      <c r="Q566" s="68">
        <v>0.16032217142858199</v>
      </c>
    </row>
    <row r="567" spans="1:17" x14ac:dyDescent="0.35">
      <c r="A567" s="62" t="s">
        <v>136</v>
      </c>
      <c r="B567" s="63">
        <v>876349</v>
      </c>
      <c r="C567" s="63" t="s">
        <v>142</v>
      </c>
      <c r="D567" s="64">
        <v>42609</v>
      </c>
      <c r="E567" s="63" t="s">
        <v>138</v>
      </c>
      <c r="F567" s="65">
        <v>44876</v>
      </c>
      <c r="G567" s="66">
        <v>1.0421333541110699E-2</v>
      </c>
      <c r="H567" s="65">
        <v>485</v>
      </c>
      <c r="I567" s="67">
        <v>0.31297195777993297</v>
      </c>
      <c r="J567" s="67">
        <v>3.2615851610391</v>
      </c>
      <c r="K567" s="65">
        <v>99</v>
      </c>
      <c r="L567" s="65">
        <v>41</v>
      </c>
      <c r="M567" s="66">
        <v>1.4018691588785E-2</v>
      </c>
      <c r="N567" s="67">
        <v>1593.0332835737399</v>
      </c>
      <c r="O567" s="67">
        <v>106.20221890491599</v>
      </c>
      <c r="P567" s="67">
        <v>334.87999482452898</v>
      </c>
      <c r="Q567" s="68">
        <v>0.210215315823957</v>
      </c>
    </row>
    <row r="568" spans="1:17" x14ac:dyDescent="0.35">
      <c r="A568" s="62" t="s">
        <v>136</v>
      </c>
      <c r="B568" s="63">
        <v>876349</v>
      </c>
      <c r="C568" s="63" t="s">
        <v>142</v>
      </c>
      <c r="D568" s="64">
        <v>42610</v>
      </c>
      <c r="E568" s="63" t="s">
        <v>138</v>
      </c>
      <c r="F568" s="65">
        <v>60187</v>
      </c>
      <c r="G568" s="66">
        <v>1.12336700206273E-2</v>
      </c>
      <c r="H568" s="65">
        <v>157</v>
      </c>
      <c r="I568" s="67">
        <v>0.31507416556364498</v>
      </c>
      <c r="J568" s="67">
        <v>3.53943920796649</v>
      </c>
      <c r="K568" s="65">
        <v>80</v>
      </c>
      <c r="L568" s="65">
        <v>43</v>
      </c>
      <c r="M568" s="66">
        <v>1.46551724137931E-2</v>
      </c>
      <c r="N568" s="67">
        <v>1419.2102053675701</v>
      </c>
      <c r="O568" s="67">
        <v>83.482953256915593</v>
      </c>
      <c r="P568" s="67">
        <v>365.48603205382801</v>
      </c>
      <c r="Q568" s="68">
        <v>0.25752776485930801</v>
      </c>
    </row>
    <row r="569" spans="1:17" x14ac:dyDescent="0.35">
      <c r="A569" s="62" t="s">
        <v>136</v>
      </c>
      <c r="B569" s="63">
        <v>876349</v>
      </c>
      <c r="C569" s="63" t="s">
        <v>142</v>
      </c>
      <c r="D569" s="64">
        <v>42611</v>
      </c>
      <c r="E569" s="63" t="s">
        <v>138</v>
      </c>
      <c r="F569" s="65">
        <v>18948</v>
      </c>
      <c r="G569" s="66">
        <v>1.03824548921631E-2</v>
      </c>
      <c r="H569" s="65">
        <v>338</v>
      </c>
      <c r="I569" s="67">
        <v>0.31470918482637</v>
      </c>
      <c r="J569" s="67">
        <v>3.2674539156092099</v>
      </c>
      <c r="K569" s="65">
        <v>63</v>
      </c>
      <c r="L569" s="65">
        <v>42</v>
      </c>
      <c r="M569" s="66">
        <v>1.4342629482071699E-2</v>
      </c>
      <c r="N569" s="67">
        <v>2123.1677849183002</v>
      </c>
      <c r="O569" s="67">
        <v>117.953765828794</v>
      </c>
      <c r="P569" s="67">
        <v>394.96002695709501</v>
      </c>
      <c r="Q569" s="68">
        <v>0.186023935443375</v>
      </c>
    </row>
    <row r="570" spans="1:17" x14ac:dyDescent="0.35">
      <c r="A570" s="62" t="s">
        <v>136</v>
      </c>
      <c r="B570" s="63">
        <v>876349</v>
      </c>
      <c r="C570" s="63" t="s">
        <v>142</v>
      </c>
      <c r="D570" s="64">
        <v>42612</v>
      </c>
      <c r="E570" s="63" t="s">
        <v>138</v>
      </c>
      <c r="F570" s="65">
        <v>5450</v>
      </c>
      <c r="G570" s="66">
        <v>1.0514281755036299E-2</v>
      </c>
      <c r="H570" s="65">
        <v>251</v>
      </c>
      <c r="I570" s="67">
        <v>0.31074960618793901</v>
      </c>
      <c r="J570" s="67">
        <v>3.2673089147265602</v>
      </c>
      <c r="K570" s="65">
        <v>72</v>
      </c>
      <c r="L570" s="65">
        <v>42</v>
      </c>
      <c r="M570" s="66">
        <v>1.4827018121910999E-2</v>
      </c>
      <c r="N570" s="67">
        <v>2054.3628126244098</v>
      </c>
      <c r="O570" s="67">
        <v>114.131267368023</v>
      </c>
      <c r="P570" s="67">
        <v>377.25002191215799</v>
      </c>
      <c r="Q570" s="68">
        <v>0.18363359168784199</v>
      </c>
    </row>
    <row r="571" spans="1:17" x14ac:dyDescent="0.35">
      <c r="A571" s="62" t="s">
        <v>136</v>
      </c>
      <c r="B571" s="63">
        <v>876349</v>
      </c>
      <c r="C571" s="63" t="s">
        <v>142</v>
      </c>
      <c r="D571" s="64">
        <v>42613</v>
      </c>
      <c r="E571" s="63" t="s">
        <v>138</v>
      </c>
      <c r="F571" s="65">
        <v>66728</v>
      </c>
      <c r="G571" s="66">
        <v>1.07090617817093E-2</v>
      </c>
      <c r="H571" s="65">
        <v>487</v>
      </c>
      <c r="I571" s="67">
        <v>0.31368294418827303</v>
      </c>
      <c r="J571" s="67">
        <v>3.3592500291806799</v>
      </c>
      <c r="K571" s="65">
        <v>37</v>
      </c>
      <c r="L571" s="65">
        <v>62</v>
      </c>
      <c r="M571" s="66">
        <v>2.0325203252032499E-2</v>
      </c>
      <c r="N571" s="67">
        <v>2549.6637519011501</v>
      </c>
      <c r="O571" s="67">
        <v>101.986550076046</v>
      </c>
      <c r="P571" s="67">
        <v>385.83002135157602</v>
      </c>
      <c r="Q571" s="68">
        <v>0.15132584485459399</v>
      </c>
    </row>
    <row r="572" spans="1:17" x14ac:dyDescent="0.35">
      <c r="A572" s="62" t="s">
        <v>136</v>
      </c>
      <c r="B572" s="63">
        <v>876349</v>
      </c>
      <c r="C572" s="63" t="s">
        <v>142</v>
      </c>
      <c r="D572" s="64">
        <v>42614</v>
      </c>
      <c r="E572" s="63" t="s">
        <v>138</v>
      </c>
      <c r="F572" s="65">
        <v>63549</v>
      </c>
      <c r="G572" s="66">
        <v>1.21457105715126E-2</v>
      </c>
      <c r="H572" s="65">
        <v>286</v>
      </c>
      <c r="I572" s="67">
        <v>0.31363283147802601</v>
      </c>
      <c r="J572" s="67">
        <v>3.8092935968560901</v>
      </c>
      <c r="K572" s="65">
        <v>79</v>
      </c>
      <c r="L572" s="65">
        <v>41</v>
      </c>
      <c r="M572" s="66">
        <v>1.171875E-2</v>
      </c>
      <c r="N572" s="67">
        <v>1584.8840171355801</v>
      </c>
      <c r="O572" s="67">
        <v>105.658934475705</v>
      </c>
      <c r="P572" s="67">
        <v>401.45002429187298</v>
      </c>
      <c r="Q572" s="68">
        <v>0.25329930767894898</v>
      </c>
    </row>
    <row r="573" spans="1:17" x14ac:dyDescent="0.35">
      <c r="A573" s="62" t="s">
        <v>136</v>
      </c>
      <c r="B573" s="63">
        <v>876349</v>
      </c>
      <c r="C573" s="63" t="s">
        <v>142</v>
      </c>
      <c r="D573" s="64">
        <v>42615</v>
      </c>
      <c r="E573" s="63" t="s">
        <v>138</v>
      </c>
      <c r="F573" s="65">
        <v>42698</v>
      </c>
      <c r="G573" s="66">
        <v>1.19827839186149E-2</v>
      </c>
      <c r="H573" s="65">
        <v>175</v>
      </c>
      <c r="I573" s="67">
        <v>0.31732655412384397</v>
      </c>
      <c r="J573" s="67">
        <v>3.8024555297046798</v>
      </c>
      <c r="K573" s="65">
        <v>86</v>
      </c>
      <c r="L573" s="65">
        <v>80</v>
      </c>
      <c r="M573" s="66">
        <v>1.9727891156462601E-2</v>
      </c>
      <c r="N573" s="67">
        <v>3308.7132937778401</v>
      </c>
      <c r="O573" s="67">
        <v>114.09356185440799</v>
      </c>
      <c r="P573" s="67">
        <v>466.47003456205101</v>
      </c>
      <c r="Q573" s="68">
        <v>0.140982307363792</v>
      </c>
    </row>
    <row r="574" spans="1:17" x14ac:dyDescent="0.35">
      <c r="A574" s="62" t="s">
        <v>136</v>
      </c>
      <c r="B574" s="63">
        <v>876349</v>
      </c>
      <c r="C574" s="63" t="s">
        <v>142</v>
      </c>
      <c r="D574" s="64">
        <v>42616</v>
      </c>
      <c r="E574" s="63" t="s">
        <v>138</v>
      </c>
      <c r="F574" s="65">
        <v>46831</v>
      </c>
      <c r="G574" s="66">
        <v>1.22539620252036E-2</v>
      </c>
      <c r="H574" s="65">
        <v>275</v>
      </c>
      <c r="I574" s="67">
        <v>0.331972352146365</v>
      </c>
      <c r="J574" s="67">
        <v>4.0679765966190597</v>
      </c>
      <c r="K574" s="65">
        <v>56</v>
      </c>
      <c r="L574" s="65">
        <v>60</v>
      </c>
      <c r="M574" s="66">
        <v>1.52838427947598E-2</v>
      </c>
      <c r="N574" s="67">
        <v>2636.9168087859798</v>
      </c>
      <c r="O574" s="67">
        <v>125.567467085047</v>
      </c>
      <c r="P574" s="67">
        <v>456.13001184910502</v>
      </c>
      <c r="Q574" s="68">
        <v>0.17297853702829</v>
      </c>
    </row>
    <row r="575" spans="1:17" x14ac:dyDescent="0.35">
      <c r="A575" s="62" t="s">
        <v>136</v>
      </c>
      <c r="B575" s="63">
        <v>876349</v>
      </c>
      <c r="C575" s="63" t="s">
        <v>142</v>
      </c>
      <c r="D575" s="64">
        <v>42617</v>
      </c>
      <c r="E575" s="63" t="s">
        <v>138</v>
      </c>
      <c r="F575" s="65">
        <v>18721</v>
      </c>
      <c r="G575" s="66">
        <v>1.1856009360488501E-2</v>
      </c>
      <c r="H575" s="65">
        <v>236</v>
      </c>
      <c r="I575" s="67">
        <v>0.331079411404401</v>
      </c>
      <c r="J575" s="67">
        <v>3.9252806006755998</v>
      </c>
      <c r="K575" s="65">
        <v>13</v>
      </c>
      <c r="L575" s="65">
        <v>51</v>
      </c>
      <c r="M575" s="66">
        <v>1.6962220508866602E-2</v>
      </c>
      <c r="N575" s="67">
        <v>2362.64219821493</v>
      </c>
      <c r="O575" s="67">
        <v>107.392827191588</v>
      </c>
      <c r="P575" s="67">
        <v>429.40999659150799</v>
      </c>
      <c r="Q575" s="68">
        <v>0.18174990564205801</v>
      </c>
    </row>
    <row r="576" spans="1:17" x14ac:dyDescent="0.35">
      <c r="A576" s="62" t="s">
        <v>136</v>
      </c>
      <c r="B576" s="63">
        <v>876349</v>
      </c>
      <c r="C576" s="63" t="s">
        <v>142</v>
      </c>
      <c r="D576" s="64">
        <v>42618</v>
      </c>
      <c r="E576" s="63" t="s">
        <v>138</v>
      </c>
      <c r="F576" s="65">
        <v>56643</v>
      </c>
      <c r="G576" s="66">
        <v>1.16255689399894E-2</v>
      </c>
      <c r="H576" s="65">
        <v>166</v>
      </c>
      <c r="I576" s="67">
        <v>0.32613207156178298</v>
      </c>
      <c r="J576" s="67">
        <v>3.79147088148307</v>
      </c>
      <c r="K576" s="65">
        <v>20</v>
      </c>
      <c r="L576" s="65">
        <v>63</v>
      </c>
      <c r="M576" s="66">
        <v>1.4937106918239001E-2</v>
      </c>
      <c r="N576" s="67">
        <v>2092.5566620039899</v>
      </c>
      <c r="O576" s="67">
        <v>110.134561158105</v>
      </c>
      <c r="P576" s="67">
        <v>414.83999502658799</v>
      </c>
      <c r="Q576" s="68">
        <v>0.19824552546610899</v>
      </c>
    </row>
    <row r="577" spans="1:17" x14ac:dyDescent="0.35">
      <c r="A577" s="62" t="s">
        <v>136</v>
      </c>
      <c r="B577" s="63">
        <v>876349</v>
      </c>
      <c r="C577" s="63" t="s">
        <v>142</v>
      </c>
      <c r="D577" s="64">
        <v>42619</v>
      </c>
      <c r="E577" s="63" t="s">
        <v>138</v>
      </c>
      <c r="F577" s="65">
        <v>32494</v>
      </c>
      <c r="G577" s="66">
        <v>1.06490331367063E-2</v>
      </c>
      <c r="H577" s="65">
        <v>188</v>
      </c>
      <c r="I577" s="67">
        <v>0.39666410547054098</v>
      </c>
      <c r="J577" s="67">
        <v>4.2240892032977699</v>
      </c>
      <c r="K577" s="65">
        <v>62</v>
      </c>
      <c r="L577" s="65">
        <v>61</v>
      </c>
      <c r="M577" s="66">
        <v>2.0030816640986101E-2</v>
      </c>
      <c r="N577" s="67">
        <v>4761.83973635848</v>
      </c>
      <c r="O577" s="67">
        <v>183.147682167634</v>
      </c>
      <c r="P577" s="67">
        <v>514.87000890076195</v>
      </c>
      <c r="Q577" s="68">
        <v>0.10812417834425</v>
      </c>
    </row>
    <row r="578" spans="1:17" x14ac:dyDescent="0.35">
      <c r="A578" s="62" t="s">
        <v>136</v>
      </c>
      <c r="B578" s="63">
        <v>876349</v>
      </c>
      <c r="C578" s="63" t="s">
        <v>142</v>
      </c>
      <c r="D578" s="64">
        <v>42620</v>
      </c>
      <c r="E578" s="63" t="s">
        <v>138</v>
      </c>
      <c r="F578" s="65">
        <v>38891</v>
      </c>
      <c r="G578" s="66">
        <v>1.07948162963369E-2</v>
      </c>
      <c r="H578" s="65">
        <v>373</v>
      </c>
      <c r="I578" s="67">
        <v>0.40798647609080801</v>
      </c>
      <c r="J578" s="67">
        <v>4.4041390607901096</v>
      </c>
      <c r="K578" s="65">
        <v>73</v>
      </c>
      <c r="L578" s="65">
        <v>50</v>
      </c>
      <c r="M578" s="66">
        <v>1.94585448392555E-2</v>
      </c>
      <c r="N578" s="67">
        <v>2870.9322241986602</v>
      </c>
      <c r="O578" s="67">
        <v>124.82314018255001</v>
      </c>
      <c r="P578" s="67">
        <v>482.24001473933498</v>
      </c>
      <c r="Q578" s="68">
        <v>0.16797331914512101</v>
      </c>
    </row>
    <row r="579" spans="1:17" x14ac:dyDescent="0.35">
      <c r="A579" s="62" t="s">
        <v>136</v>
      </c>
      <c r="B579" s="63">
        <v>876349</v>
      </c>
      <c r="C579" s="63" t="s">
        <v>142</v>
      </c>
      <c r="D579" s="64">
        <v>42621</v>
      </c>
      <c r="E579" s="63" t="s">
        <v>138</v>
      </c>
      <c r="F579" s="65">
        <v>6978</v>
      </c>
      <c r="G579" s="66">
        <v>1.06693849813116E-2</v>
      </c>
      <c r="H579" s="65">
        <v>288</v>
      </c>
      <c r="I579" s="67">
        <v>0.41030938052203703</v>
      </c>
      <c r="J579" s="67">
        <v>4.3777487422330799</v>
      </c>
      <c r="K579" s="65">
        <v>42</v>
      </c>
      <c r="L579" s="65">
        <v>42</v>
      </c>
      <c r="M579" s="66">
        <v>1.54686078252957E-2</v>
      </c>
      <c r="N579" s="67">
        <v>1867.2281708159301</v>
      </c>
      <c r="O579" s="67">
        <v>109.836951224467</v>
      </c>
      <c r="P579" s="67">
        <v>450.93000919371798</v>
      </c>
      <c r="Q579" s="68">
        <v>0.241497004084227</v>
      </c>
    </row>
    <row r="580" spans="1:17" x14ac:dyDescent="0.35">
      <c r="A580" s="62" t="s">
        <v>136</v>
      </c>
      <c r="B580" s="63">
        <v>876349</v>
      </c>
      <c r="C580" s="63" t="s">
        <v>142</v>
      </c>
      <c r="D580" s="64">
        <v>42622</v>
      </c>
      <c r="E580" s="63" t="s">
        <v>138</v>
      </c>
      <c r="F580" s="65">
        <v>721</v>
      </c>
      <c r="G580" s="66">
        <v>1.16969706996675E-2</v>
      </c>
      <c r="H580" s="65">
        <v>317</v>
      </c>
      <c r="I580" s="67">
        <v>0.40486563914462098</v>
      </c>
      <c r="J580" s="67">
        <v>4.7357015183767599</v>
      </c>
      <c r="K580" s="65">
        <v>78</v>
      </c>
      <c r="L580" s="65">
        <v>65</v>
      </c>
      <c r="M580" s="66">
        <v>1.55586987270156E-2</v>
      </c>
      <c r="N580" s="67">
        <v>2694.28520966316</v>
      </c>
      <c r="O580" s="67">
        <v>122.467509530144</v>
      </c>
      <c r="P580" s="67">
        <v>572.48001375049398</v>
      </c>
      <c r="Q580" s="68">
        <v>0.21247936621456101</v>
      </c>
    </row>
    <row r="581" spans="1:17" x14ac:dyDescent="0.35">
      <c r="A581" s="62" t="s">
        <v>136</v>
      </c>
      <c r="B581" s="63">
        <v>876349</v>
      </c>
      <c r="C581" s="63" t="s">
        <v>142</v>
      </c>
      <c r="D581" s="64">
        <v>42623</v>
      </c>
      <c r="E581" s="63" t="s">
        <v>138</v>
      </c>
      <c r="F581" s="65">
        <v>33050</v>
      </c>
      <c r="G581" s="66">
        <v>1.0101336087265199E-2</v>
      </c>
      <c r="H581" s="65">
        <v>480</v>
      </c>
      <c r="I581" s="67">
        <v>0.401837076843023</v>
      </c>
      <c r="J581" s="67">
        <v>4.0590913655155898</v>
      </c>
      <c r="K581" s="65">
        <v>85</v>
      </c>
      <c r="L581" s="65">
        <v>54</v>
      </c>
      <c r="M581" s="66">
        <v>1.51757188498403E-2</v>
      </c>
      <c r="N581" s="67">
        <v>2374.50388985679</v>
      </c>
      <c r="O581" s="67">
        <v>124.973888939831</v>
      </c>
      <c r="P581" s="67">
        <v>503.10002020746498</v>
      </c>
      <c r="Q581" s="68">
        <v>0.21187584587945499</v>
      </c>
    </row>
    <row r="582" spans="1:17" x14ac:dyDescent="0.35">
      <c r="A582" s="62" t="s">
        <v>136</v>
      </c>
      <c r="B582" s="63">
        <v>876349</v>
      </c>
      <c r="C582" s="63" t="s">
        <v>142</v>
      </c>
      <c r="D582" s="64">
        <v>42624</v>
      </c>
      <c r="E582" s="63" t="s">
        <v>138</v>
      </c>
      <c r="F582" s="65">
        <v>12489</v>
      </c>
      <c r="G582" s="66">
        <v>9.8234404420162406E-3</v>
      </c>
      <c r="H582" s="65">
        <v>382</v>
      </c>
      <c r="I582" s="67">
        <v>0.45411628649774199</v>
      </c>
      <c r="J582" s="67">
        <v>4.4609842941601503</v>
      </c>
      <c r="K582" s="65">
        <v>99</v>
      </c>
      <c r="L582" s="65">
        <v>52</v>
      </c>
      <c r="M582" s="66">
        <v>2.51374705420267E-2</v>
      </c>
      <c r="N582" s="67">
        <v>3978.3490281307299</v>
      </c>
      <c r="O582" s="67">
        <v>124.323407129085</v>
      </c>
      <c r="P582" s="67">
        <v>578.09003271162499</v>
      </c>
      <c r="Q582" s="68">
        <v>0.145309028600552</v>
      </c>
    </row>
    <row r="583" spans="1:17" x14ac:dyDescent="0.35">
      <c r="A583" s="62" t="s">
        <v>136</v>
      </c>
      <c r="B583" s="63">
        <v>876349</v>
      </c>
      <c r="C583" s="63" t="s">
        <v>142</v>
      </c>
      <c r="D583" s="64">
        <v>42625</v>
      </c>
      <c r="E583" s="63" t="s">
        <v>138</v>
      </c>
      <c r="F583" s="65">
        <v>64857</v>
      </c>
      <c r="G583" s="66">
        <v>9.8829953851436794E-3</v>
      </c>
      <c r="H583" s="65">
        <v>243</v>
      </c>
      <c r="I583" s="67">
        <v>0.44145765337398502</v>
      </c>
      <c r="J583" s="67">
        <v>4.3629239510314504</v>
      </c>
      <c r="K583" s="65">
        <v>74</v>
      </c>
      <c r="L583" s="65">
        <v>52</v>
      </c>
      <c r="M583" s="66">
        <v>2.0338983050847501E-2</v>
      </c>
      <c r="N583" s="67">
        <v>3627.7449409612</v>
      </c>
      <c r="O583" s="67">
        <v>151.156039206717</v>
      </c>
      <c r="P583" s="67">
        <v>520.92003098130203</v>
      </c>
      <c r="Q583" s="68">
        <v>0.143593345028077</v>
      </c>
    </row>
    <row r="584" spans="1:17" x14ac:dyDescent="0.35">
      <c r="A584" s="62" t="s">
        <v>136</v>
      </c>
      <c r="B584" s="63">
        <v>876349</v>
      </c>
      <c r="C584" s="63" t="s">
        <v>142</v>
      </c>
      <c r="D584" s="64">
        <v>42626</v>
      </c>
      <c r="E584" s="63" t="s">
        <v>138</v>
      </c>
      <c r="F584" s="65">
        <v>38469</v>
      </c>
      <c r="G584" s="66">
        <v>9.2793682132280408E-3</v>
      </c>
      <c r="H584" s="65">
        <v>477</v>
      </c>
      <c r="I584" s="67">
        <v>0.44566733681919302</v>
      </c>
      <c r="J584" s="67">
        <v>4.13551131895401</v>
      </c>
      <c r="K584" s="65">
        <v>26</v>
      </c>
      <c r="L584" s="65">
        <v>50</v>
      </c>
      <c r="M584" s="66">
        <v>1.8375241779497099E-2</v>
      </c>
      <c r="N584" s="67">
        <v>3243.54000513763</v>
      </c>
      <c r="O584" s="67">
        <v>170.71263184934901</v>
      </c>
      <c r="P584" s="67">
        <v>460.82002627104498</v>
      </c>
      <c r="Q584" s="68">
        <v>0.14207317484634899</v>
      </c>
    </row>
    <row r="585" spans="1:17" x14ac:dyDescent="0.35">
      <c r="A585" s="62" t="s">
        <v>136</v>
      </c>
      <c r="B585" s="63">
        <v>876349</v>
      </c>
      <c r="C585" s="63" t="s">
        <v>142</v>
      </c>
      <c r="D585" s="64">
        <v>42627</v>
      </c>
      <c r="E585" s="63" t="s">
        <v>138</v>
      </c>
      <c r="F585" s="65">
        <v>41499</v>
      </c>
      <c r="G585" s="66">
        <v>1.0345046820646501E-2</v>
      </c>
      <c r="H585" s="65">
        <v>365</v>
      </c>
      <c r="I585" s="67">
        <v>0.46066726620543702</v>
      </c>
      <c r="J585" s="67">
        <v>4.7656244376344699</v>
      </c>
      <c r="K585" s="65">
        <v>62</v>
      </c>
      <c r="L585" s="65">
        <v>83</v>
      </c>
      <c r="M585" s="66">
        <v>2.7216856892010501E-2</v>
      </c>
      <c r="N585" s="67">
        <v>2399.1974557199901</v>
      </c>
      <c r="O585" s="67">
        <v>77.393466313548004</v>
      </c>
      <c r="P585" s="67">
        <v>524.70001620799303</v>
      </c>
      <c r="Q585" s="68">
        <v>0.21869813797819901</v>
      </c>
    </row>
    <row r="586" spans="1:17" x14ac:dyDescent="0.35">
      <c r="A586" s="62" t="s">
        <v>136</v>
      </c>
      <c r="B586" s="63">
        <v>876349</v>
      </c>
      <c r="C586" s="63" t="s">
        <v>142</v>
      </c>
      <c r="D586" s="64">
        <v>42628</v>
      </c>
      <c r="E586" s="63" t="s">
        <v>138</v>
      </c>
      <c r="F586" s="65">
        <v>43146</v>
      </c>
      <c r="G586" s="66">
        <v>1.1272596298928199E-2</v>
      </c>
      <c r="H586" s="65">
        <v>527</v>
      </c>
      <c r="I586" s="67">
        <v>0.45639897239537602</v>
      </c>
      <c r="J586" s="67">
        <v>5.1448013670587702</v>
      </c>
      <c r="K586" s="65">
        <v>91</v>
      </c>
      <c r="L586" s="65">
        <v>67</v>
      </c>
      <c r="M586" s="66">
        <v>2.3316062176165799E-2</v>
      </c>
      <c r="N586" s="67">
        <v>3413.4844571302101</v>
      </c>
      <c r="O586" s="67">
        <v>126.425350264082</v>
      </c>
      <c r="P586" s="67">
        <v>528.51001003384602</v>
      </c>
      <c r="Q586" s="68">
        <v>0.15483006197080401</v>
      </c>
    </row>
    <row r="587" spans="1:17" x14ac:dyDescent="0.35">
      <c r="A587" s="62" t="s">
        <v>136</v>
      </c>
      <c r="B587" s="63">
        <v>876349</v>
      </c>
      <c r="C587" s="63" t="s">
        <v>142</v>
      </c>
      <c r="D587" s="64">
        <v>42629</v>
      </c>
      <c r="E587" s="63" t="s">
        <v>138</v>
      </c>
      <c r="F587" s="65">
        <v>52961</v>
      </c>
      <c r="G587" s="66">
        <v>1.07624905960968E-2</v>
      </c>
      <c r="H587" s="65">
        <v>432</v>
      </c>
      <c r="I587" s="67">
        <v>0.46056744586186199</v>
      </c>
      <c r="J587" s="67">
        <v>4.9568528049566201</v>
      </c>
      <c r="K587" s="65">
        <v>31</v>
      </c>
      <c r="L587" s="65">
        <v>76</v>
      </c>
      <c r="M587" s="66">
        <v>2.2203947368421101E-2</v>
      </c>
      <c r="N587" s="67">
        <v>2463.0919645803801</v>
      </c>
      <c r="O587" s="67">
        <v>91.225628317791902</v>
      </c>
      <c r="P587" s="67">
        <v>560.05001416802395</v>
      </c>
      <c r="Q587" s="68">
        <v>0.227376818333064</v>
      </c>
    </row>
    <row r="588" spans="1:17" x14ac:dyDescent="0.35">
      <c r="A588" s="62" t="s">
        <v>136</v>
      </c>
      <c r="B588" s="63">
        <v>876349</v>
      </c>
      <c r="C588" s="63" t="s">
        <v>142</v>
      </c>
      <c r="D588" s="64">
        <v>42630</v>
      </c>
      <c r="E588" s="63" t="s">
        <v>138</v>
      </c>
      <c r="F588" s="65">
        <v>24615</v>
      </c>
      <c r="G588" s="66">
        <v>8.4355197103119107E-3</v>
      </c>
      <c r="H588" s="65">
        <v>275</v>
      </c>
      <c r="I588" s="67">
        <v>0.50095611612971203</v>
      </c>
      <c r="J588" s="67">
        <v>4.2258251916134899</v>
      </c>
      <c r="K588" s="65">
        <v>16</v>
      </c>
      <c r="L588" s="65">
        <v>51</v>
      </c>
      <c r="M588" s="66">
        <v>2.0487804878048799E-2</v>
      </c>
      <c r="N588" s="67">
        <v>2796.2783489165099</v>
      </c>
      <c r="O588" s="67">
        <v>133.156111853167</v>
      </c>
      <c r="P588" s="67">
        <v>513.48001903295506</v>
      </c>
      <c r="Q588" s="68">
        <v>0.18362979466329499</v>
      </c>
    </row>
    <row r="589" spans="1:17" x14ac:dyDescent="0.35">
      <c r="A589" s="62" t="s">
        <v>136</v>
      </c>
      <c r="B589" s="63">
        <v>876349</v>
      </c>
      <c r="C589" s="63" t="s">
        <v>142</v>
      </c>
      <c r="D589" s="64">
        <v>42631</v>
      </c>
      <c r="E589" s="63" t="s">
        <v>138</v>
      </c>
      <c r="F589" s="65">
        <v>21167</v>
      </c>
      <c r="G589" s="66">
        <v>1.07218997525715E-2</v>
      </c>
      <c r="H589" s="65">
        <v>287</v>
      </c>
      <c r="I589" s="67">
        <v>0.54060234184578304</v>
      </c>
      <c r="J589" s="67">
        <v>5.7962841152758999</v>
      </c>
      <c r="K589" s="65">
        <v>81</v>
      </c>
      <c r="L589" s="65">
        <v>34</v>
      </c>
      <c r="M589" s="66">
        <v>7.9825834542815704E-3</v>
      </c>
      <c r="N589" s="67">
        <v>928.74150015877001</v>
      </c>
      <c r="O589" s="67">
        <v>84.431045468979093</v>
      </c>
      <c r="P589" s="67">
        <v>744.95002706348896</v>
      </c>
      <c r="Q589" s="68">
        <v>0.80210696618611099</v>
      </c>
    </row>
    <row r="590" spans="1:17" x14ac:dyDescent="0.35">
      <c r="A590" s="62" t="s">
        <v>136</v>
      </c>
      <c r="B590" s="63">
        <v>876349</v>
      </c>
      <c r="C590" s="63" t="s">
        <v>142</v>
      </c>
      <c r="D590" s="64">
        <v>42632</v>
      </c>
      <c r="E590" s="63" t="s">
        <v>138</v>
      </c>
      <c r="F590" s="65">
        <v>27669</v>
      </c>
      <c r="G590" s="66">
        <v>9.3804917435840601E-3</v>
      </c>
      <c r="H590" s="65">
        <v>465</v>
      </c>
      <c r="I590" s="67">
        <v>0.513105504422248</v>
      </c>
      <c r="J590" s="67">
        <v>4.8131819478204303</v>
      </c>
      <c r="K590" s="65">
        <v>30</v>
      </c>
      <c r="L590" s="65">
        <v>53</v>
      </c>
      <c r="M590" s="66">
        <v>1.9409282700421901E-2</v>
      </c>
      <c r="N590" s="67">
        <v>2218.6700380377301</v>
      </c>
      <c r="O590" s="67">
        <v>96.463914697292594</v>
      </c>
      <c r="P590" s="67">
        <v>608.03002274036396</v>
      </c>
      <c r="Q590" s="68">
        <v>0.274051576988044</v>
      </c>
    </row>
    <row r="591" spans="1:17" x14ac:dyDescent="0.35">
      <c r="A591" s="62" t="s">
        <v>136</v>
      </c>
      <c r="B591" s="63">
        <v>876349</v>
      </c>
      <c r="C591" s="63" t="s">
        <v>142</v>
      </c>
      <c r="D591" s="64">
        <v>42633</v>
      </c>
      <c r="E591" s="63" t="s">
        <v>138</v>
      </c>
      <c r="F591" s="65">
        <v>19443</v>
      </c>
      <c r="G591" s="66">
        <v>9.3544147149478493E-3</v>
      </c>
      <c r="H591" s="65">
        <v>392</v>
      </c>
      <c r="I591" s="67">
        <v>0.53491374121744695</v>
      </c>
      <c r="J591" s="67">
        <v>5.0038049720722899</v>
      </c>
      <c r="K591" s="65">
        <v>64</v>
      </c>
      <c r="L591" s="65">
        <v>60</v>
      </c>
      <c r="M591" s="66">
        <v>1.39687756778965E-2</v>
      </c>
      <c r="N591" s="67">
        <v>2827.5421126429801</v>
      </c>
      <c r="O591" s="67">
        <v>166.32600662605799</v>
      </c>
      <c r="P591" s="67">
        <v>650.990023061633</v>
      </c>
      <c r="Q591" s="68">
        <v>0.230231769193045</v>
      </c>
    </row>
    <row r="592" spans="1:17" x14ac:dyDescent="0.35">
      <c r="A592" s="62" t="s">
        <v>136</v>
      </c>
      <c r="B592" s="63">
        <v>876349</v>
      </c>
      <c r="C592" s="63" t="s">
        <v>142</v>
      </c>
      <c r="D592" s="64">
        <v>42634</v>
      </c>
      <c r="E592" s="63" t="s">
        <v>138</v>
      </c>
      <c r="F592" s="65">
        <v>54149</v>
      </c>
      <c r="G592" s="66">
        <v>9.8694188008928395E-3</v>
      </c>
      <c r="H592" s="65">
        <v>164</v>
      </c>
      <c r="I592" s="67">
        <v>0.54818755983601797</v>
      </c>
      <c r="J592" s="67">
        <v>5.4102926094611599</v>
      </c>
      <c r="K592" s="65">
        <v>38</v>
      </c>
      <c r="L592" s="65">
        <v>49</v>
      </c>
      <c r="M592" s="66">
        <v>1.5760441292356198E-2</v>
      </c>
      <c r="N592" s="67">
        <v>2490.43128658449</v>
      </c>
      <c r="O592" s="67">
        <v>124.521564329225</v>
      </c>
      <c r="P592" s="67">
        <v>695.65001343190704</v>
      </c>
      <c r="Q592" s="68">
        <v>0.27932913354375599</v>
      </c>
    </row>
    <row r="593" spans="1:17" x14ac:dyDescent="0.35">
      <c r="A593" s="62" t="s">
        <v>136</v>
      </c>
      <c r="B593" s="63">
        <v>876349</v>
      </c>
      <c r="C593" s="63" t="s">
        <v>142</v>
      </c>
      <c r="D593" s="64">
        <v>42635</v>
      </c>
      <c r="E593" s="63" t="s">
        <v>138</v>
      </c>
      <c r="F593" s="65">
        <v>62188</v>
      </c>
      <c r="G593" s="66">
        <v>1.1113625709251399E-2</v>
      </c>
      <c r="H593" s="65">
        <v>211</v>
      </c>
      <c r="I593" s="67">
        <v>0.54685819857770701</v>
      </c>
      <c r="J593" s="67">
        <v>6.0775773350281099</v>
      </c>
      <c r="K593" s="65">
        <v>20</v>
      </c>
      <c r="L593" s="65">
        <v>45</v>
      </c>
      <c r="M593" s="66">
        <v>9.4545454545454603E-3</v>
      </c>
      <c r="N593" s="67">
        <v>1438.0456547813201</v>
      </c>
      <c r="O593" s="67">
        <v>110.61889652164</v>
      </c>
      <c r="P593" s="67">
        <v>751.93002304434799</v>
      </c>
      <c r="Q593" s="68">
        <v>0.52288327602414697</v>
      </c>
    </row>
    <row r="594" spans="1:17" x14ac:dyDescent="0.35">
      <c r="A594" s="62" t="s">
        <v>136</v>
      </c>
      <c r="B594" s="63">
        <v>876349</v>
      </c>
      <c r="C594" s="63" t="s">
        <v>142</v>
      </c>
      <c r="D594" s="64">
        <v>42636</v>
      </c>
      <c r="E594" s="63" t="s">
        <v>138</v>
      </c>
      <c r="F594" s="65">
        <v>63322</v>
      </c>
      <c r="G594" s="66">
        <v>9.6614862509618697E-3</v>
      </c>
      <c r="H594" s="65">
        <v>253</v>
      </c>
      <c r="I594" s="67">
        <v>0.53035400289512102</v>
      </c>
      <c r="J594" s="67">
        <v>5.1240079071138096</v>
      </c>
      <c r="K594" s="65">
        <v>85</v>
      </c>
      <c r="L594" s="65">
        <v>76</v>
      </c>
      <c r="M594" s="66">
        <v>2.5187202178352599E-2</v>
      </c>
      <c r="N594" s="67">
        <v>5397.3455064899599</v>
      </c>
      <c r="O594" s="67">
        <v>145.87420287810701</v>
      </c>
      <c r="P594" s="67">
        <v>779.09003025293396</v>
      </c>
      <c r="Q594" s="68">
        <v>0.14434688854291999</v>
      </c>
    </row>
    <row r="595" spans="1:17" x14ac:dyDescent="0.35">
      <c r="A595" s="62" t="s">
        <v>136</v>
      </c>
      <c r="B595" s="63">
        <v>876349</v>
      </c>
      <c r="C595" s="63" t="s">
        <v>142</v>
      </c>
      <c r="D595" s="64">
        <v>42637</v>
      </c>
      <c r="E595" s="63" t="s">
        <v>138</v>
      </c>
      <c r="F595" s="65">
        <v>17141</v>
      </c>
      <c r="G595" s="66">
        <v>9.0344645373414707E-3</v>
      </c>
      <c r="H595" s="65">
        <v>267</v>
      </c>
      <c r="I595" s="67">
        <v>0.53986191407003403</v>
      </c>
      <c r="J595" s="67">
        <v>4.8773633177270099</v>
      </c>
      <c r="K595" s="65">
        <v>42</v>
      </c>
      <c r="L595" s="65">
        <v>64</v>
      </c>
      <c r="M595" s="66">
        <v>1.7059301380991099E-2</v>
      </c>
      <c r="N595" s="67">
        <v>3343.9897630925202</v>
      </c>
      <c r="O595" s="67">
        <v>159.23760776630999</v>
      </c>
      <c r="P595" s="67">
        <v>664.57001622021198</v>
      </c>
      <c r="Q595" s="68">
        <v>0.198735661082173</v>
      </c>
    </row>
    <row r="596" spans="1:17" x14ac:dyDescent="0.35">
      <c r="A596" s="62" t="s">
        <v>136</v>
      </c>
      <c r="B596" s="63">
        <v>876349</v>
      </c>
      <c r="C596" s="63" t="s">
        <v>142</v>
      </c>
      <c r="D596" s="64">
        <v>42638</v>
      </c>
      <c r="E596" s="63" t="s">
        <v>138</v>
      </c>
      <c r="F596" s="65">
        <v>65972</v>
      </c>
      <c r="G596" s="66">
        <v>9.5039626156420698E-3</v>
      </c>
      <c r="H596" s="65">
        <v>198</v>
      </c>
      <c r="I596" s="67">
        <v>0.56779072295094601</v>
      </c>
      <c r="J596" s="67">
        <v>5.3962618044341797</v>
      </c>
      <c r="K596" s="65">
        <v>73</v>
      </c>
      <c r="L596" s="65">
        <v>52</v>
      </c>
      <c r="M596" s="66">
        <v>1.2458471760797301E-2</v>
      </c>
      <c r="N596" s="67">
        <v>1120.6896450797301</v>
      </c>
      <c r="O596" s="67">
        <v>74.712643005315499</v>
      </c>
      <c r="P596" s="67">
        <v>683.62003043293998</v>
      </c>
      <c r="Q596" s="68">
        <v>0.60999941726444995</v>
      </c>
    </row>
    <row r="597" spans="1:17" x14ac:dyDescent="0.35">
      <c r="A597" s="62" t="s">
        <v>136</v>
      </c>
      <c r="B597" s="63">
        <v>876349</v>
      </c>
      <c r="C597" s="63" t="s">
        <v>142</v>
      </c>
      <c r="D597" s="64">
        <v>42639</v>
      </c>
      <c r="E597" s="63" t="s">
        <v>138</v>
      </c>
      <c r="F597" s="65">
        <v>6974</v>
      </c>
      <c r="G597" s="66">
        <v>9.1730974388525097E-3</v>
      </c>
      <c r="H597" s="65">
        <v>249</v>
      </c>
      <c r="I597" s="67">
        <v>0.56265706942117899</v>
      </c>
      <c r="J597" s="67">
        <v>5.16130812245967</v>
      </c>
      <c r="K597" s="65">
        <v>24</v>
      </c>
      <c r="L597" s="65">
        <v>55</v>
      </c>
      <c r="M597" s="66">
        <v>1.9524617996604401E-2</v>
      </c>
      <c r="N597" s="67">
        <v>2544.27197223639</v>
      </c>
      <c r="O597" s="67">
        <v>110.620520532017</v>
      </c>
      <c r="P597" s="67">
        <v>662.81002777814899</v>
      </c>
      <c r="Q597" s="68">
        <v>0.26051068243130598</v>
      </c>
    </row>
    <row r="598" spans="1:17" x14ac:dyDescent="0.35">
      <c r="A598" s="62" t="s">
        <v>136</v>
      </c>
      <c r="B598" s="63">
        <v>876349</v>
      </c>
      <c r="C598" s="63" t="s">
        <v>142</v>
      </c>
      <c r="D598" s="64">
        <v>42640</v>
      </c>
      <c r="E598" s="63" t="s">
        <v>138</v>
      </c>
      <c r="F598" s="65">
        <v>39078</v>
      </c>
      <c r="G598" s="66">
        <v>8.4952671426480903E-3</v>
      </c>
      <c r="H598" s="65">
        <v>196</v>
      </c>
      <c r="I598" s="67">
        <v>0.58751588944997601</v>
      </c>
      <c r="J598" s="67">
        <v>4.9911044314280497</v>
      </c>
      <c r="K598" s="65">
        <v>62</v>
      </c>
      <c r="L598" s="65">
        <v>55</v>
      </c>
      <c r="M598" s="66">
        <v>1.8132366273798699E-2</v>
      </c>
      <c r="N598" s="67">
        <v>1868.3746422669201</v>
      </c>
      <c r="O598" s="67">
        <v>93.418732113345797</v>
      </c>
      <c r="P598" s="67">
        <v>648.03002606332302</v>
      </c>
      <c r="Q598" s="68">
        <v>0.34684158701547302</v>
      </c>
    </row>
    <row r="599" spans="1:17" x14ac:dyDescent="0.35">
      <c r="A599" s="62" t="s">
        <v>136</v>
      </c>
      <c r="B599" s="63">
        <v>876349</v>
      </c>
      <c r="C599" s="63" t="s">
        <v>142</v>
      </c>
      <c r="D599" s="64">
        <v>42641</v>
      </c>
      <c r="E599" s="63" t="s">
        <v>138</v>
      </c>
      <c r="F599" s="65">
        <v>5067</v>
      </c>
      <c r="G599" s="66">
        <v>8.9566713020566499E-3</v>
      </c>
      <c r="H599" s="65">
        <v>430</v>
      </c>
      <c r="I599" s="67">
        <v>0.50621043512477804</v>
      </c>
      <c r="J599" s="67">
        <v>4.5339604770837099</v>
      </c>
      <c r="K599" s="65">
        <v>96</v>
      </c>
      <c r="L599" s="65">
        <v>45</v>
      </c>
      <c r="M599" s="66">
        <v>1.94075587334014E-2</v>
      </c>
      <c r="N599" s="67">
        <v>1879.1339430862399</v>
      </c>
      <c r="O599" s="67">
        <v>98.9017864782233</v>
      </c>
      <c r="P599" s="67">
        <v>495.58001598715799</v>
      </c>
      <c r="Q599" s="68">
        <v>0.26372788262939301</v>
      </c>
    </row>
    <row r="600" spans="1:17" x14ac:dyDescent="0.35">
      <c r="A600" s="62" t="s">
        <v>136</v>
      </c>
      <c r="B600" s="63">
        <v>876349</v>
      </c>
      <c r="C600" s="63" t="s">
        <v>142</v>
      </c>
      <c r="D600" s="64">
        <v>42642</v>
      </c>
      <c r="E600" s="63" t="s">
        <v>138</v>
      </c>
      <c r="F600" s="65">
        <v>59280</v>
      </c>
      <c r="G600" s="66">
        <v>9.7988899026764005E-3</v>
      </c>
      <c r="H600" s="65">
        <v>477</v>
      </c>
      <c r="I600" s="67">
        <v>0.503026211267531</v>
      </c>
      <c r="J600" s="67">
        <v>4.9290984623709697</v>
      </c>
      <c r="K600" s="65">
        <v>31</v>
      </c>
      <c r="L600" s="65">
        <v>37</v>
      </c>
      <c r="M600" s="66">
        <v>1.1639185257032E-2</v>
      </c>
      <c r="N600" s="67">
        <v>1204.2508292255</v>
      </c>
      <c r="O600" s="67">
        <v>100.354235768791</v>
      </c>
      <c r="P600" s="67">
        <v>518.62002381682396</v>
      </c>
      <c r="Q600" s="68">
        <v>0.43065780917947999</v>
      </c>
    </row>
    <row r="601" spans="1:17" x14ac:dyDescent="0.35">
      <c r="A601" s="62" t="s">
        <v>136</v>
      </c>
      <c r="B601" s="63">
        <v>876349</v>
      </c>
      <c r="C601" s="63" t="s">
        <v>142</v>
      </c>
      <c r="D601" s="64">
        <v>42643</v>
      </c>
      <c r="E601" s="63" t="s">
        <v>138</v>
      </c>
      <c r="F601" s="65">
        <v>24308</v>
      </c>
      <c r="G601" s="66">
        <v>9.7562950368391202E-3</v>
      </c>
      <c r="H601" s="65">
        <v>477</v>
      </c>
      <c r="I601" s="67">
        <v>0.50715354636497001</v>
      </c>
      <c r="J601" s="67">
        <v>4.94793962731592</v>
      </c>
      <c r="K601" s="65">
        <v>58</v>
      </c>
      <c r="L601" s="65">
        <v>72</v>
      </c>
      <c r="M601" s="66">
        <v>1.99170124481328E-2</v>
      </c>
      <c r="N601" s="67">
        <v>3021.8714323715799</v>
      </c>
      <c r="O601" s="67">
        <v>125.911309682149</v>
      </c>
      <c r="P601" s="67">
        <v>611.12002336978901</v>
      </c>
      <c r="Q601" s="68">
        <v>0.20223230440025</v>
      </c>
    </row>
    <row r="602" spans="1:17" x14ac:dyDescent="0.35">
      <c r="A602" s="62" t="s">
        <v>136</v>
      </c>
      <c r="B602" s="63">
        <v>876349</v>
      </c>
      <c r="C602" s="63" t="s">
        <v>142</v>
      </c>
      <c r="D602" s="64">
        <v>42644</v>
      </c>
      <c r="E602" s="63" t="s">
        <v>138</v>
      </c>
      <c r="F602" s="65">
        <v>62576</v>
      </c>
      <c r="G602" s="66">
        <v>9.7430235400214095E-3</v>
      </c>
      <c r="H602" s="65">
        <v>576</v>
      </c>
      <c r="I602" s="67">
        <v>0.51254326651665605</v>
      </c>
      <c r="J602" s="67">
        <v>4.99372111095124</v>
      </c>
      <c r="K602" s="65">
        <v>16</v>
      </c>
      <c r="L602" s="65">
        <v>65</v>
      </c>
      <c r="M602" s="66">
        <v>1.9896193771626301E-2</v>
      </c>
      <c r="N602" s="67">
        <v>3484.80029171876</v>
      </c>
      <c r="O602" s="67">
        <v>151.513056161685</v>
      </c>
      <c r="P602" s="67">
        <v>592.50001609325398</v>
      </c>
      <c r="Q602" s="68">
        <v>0.17002409506830701</v>
      </c>
    </row>
    <row r="603" spans="1:17" x14ac:dyDescent="0.35">
      <c r="A603" s="62" t="s">
        <v>136</v>
      </c>
      <c r="B603" s="63">
        <v>876349</v>
      </c>
      <c r="C603" s="63" t="s">
        <v>142</v>
      </c>
      <c r="D603" s="64">
        <v>42645</v>
      </c>
      <c r="E603" s="63" t="s">
        <v>138</v>
      </c>
      <c r="F603" s="65">
        <v>32517</v>
      </c>
      <c r="G603" s="66">
        <v>8.7217805195841207E-3</v>
      </c>
      <c r="H603" s="65">
        <v>517</v>
      </c>
      <c r="I603" s="67">
        <v>0.48864839142718502</v>
      </c>
      <c r="J603" s="67">
        <v>4.2618840212757299</v>
      </c>
      <c r="K603" s="65">
        <v>69</v>
      </c>
      <c r="L603" s="65">
        <v>45</v>
      </c>
      <c r="M603" s="66">
        <v>1.42276422764228E-2</v>
      </c>
      <c r="N603" s="67">
        <v>1109.00496290361</v>
      </c>
      <c r="O603" s="67">
        <v>79.214640207400905</v>
      </c>
      <c r="P603" s="67">
        <v>480.83001716435001</v>
      </c>
      <c r="Q603" s="68">
        <v>0.43356885969692399</v>
      </c>
    </row>
    <row r="604" spans="1:17" x14ac:dyDescent="0.35">
      <c r="A604" s="62" t="s">
        <v>136</v>
      </c>
      <c r="B604" s="63">
        <v>876349</v>
      </c>
      <c r="C604" s="63" t="s">
        <v>142</v>
      </c>
      <c r="D604" s="64">
        <v>42646</v>
      </c>
      <c r="E604" s="63" t="s">
        <v>138</v>
      </c>
      <c r="F604" s="65">
        <v>51639</v>
      </c>
      <c r="G604" s="66">
        <v>9.79343727134575E-3</v>
      </c>
      <c r="H604" s="65">
        <v>247</v>
      </c>
      <c r="I604" s="67">
        <v>0.471034496023509</v>
      </c>
      <c r="J604" s="67">
        <v>4.61304678944619</v>
      </c>
      <c r="K604" s="65">
        <v>11</v>
      </c>
      <c r="L604" s="65">
        <v>38</v>
      </c>
      <c r="M604" s="66">
        <v>8.6206896551724102E-3</v>
      </c>
      <c r="N604" s="67">
        <v>839.25415408531205</v>
      </c>
      <c r="O604" s="67">
        <v>93.250461565034698</v>
      </c>
      <c r="P604" s="67">
        <v>491.760013848543</v>
      </c>
      <c r="Q604" s="68">
        <v>0.58594885882275205</v>
      </c>
    </row>
    <row r="605" spans="1:17" x14ac:dyDescent="0.35">
      <c r="A605" s="62" t="s">
        <v>136</v>
      </c>
      <c r="B605" s="63">
        <v>876349</v>
      </c>
      <c r="C605" s="63" t="s">
        <v>142</v>
      </c>
      <c r="D605" s="64">
        <v>42647</v>
      </c>
      <c r="E605" s="63" t="s">
        <v>138</v>
      </c>
      <c r="F605" s="65">
        <v>36023</v>
      </c>
      <c r="G605" s="66">
        <v>1.0677333664092899E-2</v>
      </c>
      <c r="H605" s="65">
        <v>300</v>
      </c>
      <c r="I605" s="67">
        <v>0.46135529336255399</v>
      </c>
      <c r="J605" s="67">
        <v>4.9260444049274703</v>
      </c>
      <c r="K605" s="65">
        <v>28</v>
      </c>
      <c r="L605" s="65">
        <v>41</v>
      </c>
      <c r="M605" s="66">
        <v>1.8393030009680501E-2</v>
      </c>
      <c r="N605" s="67">
        <v>1761.8416442008099</v>
      </c>
      <c r="O605" s="67">
        <v>92.728507589516298</v>
      </c>
      <c r="P605" s="67">
        <v>476.58001804351801</v>
      </c>
      <c r="Q605" s="68">
        <v>0.27050105190339002</v>
      </c>
    </row>
    <row r="606" spans="1:17" x14ac:dyDescent="0.35">
      <c r="A606" s="62" t="s">
        <v>136</v>
      </c>
      <c r="B606" s="63">
        <v>876349</v>
      </c>
      <c r="C606" s="63" t="s">
        <v>142</v>
      </c>
      <c r="D606" s="64">
        <v>42648</v>
      </c>
      <c r="E606" s="63" t="s">
        <v>138</v>
      </c>
      <c r="F606" s="65">
        <v>29873</v>
      </c>
      <c r="G606" s="66">
        <v>9.9967621822891397E-3</v>
      </c>
      <c r="H606" s="65">
        <v>401</v>
      </c>
      <c r="I606" s="67">
        <v>0.46001013510140298</v>
      </c>
      <c r="J606" s="67">
        <v>4.5986119220514299</v>
      </c>
      <c r="K606" s="65">
        <v>51</v>
      </c>
      <c r="L606" s="65">
        <v>63</v>
      </c>
      <c r="M606" s="66">
        <v>2.0242914979757099E-2</v>
      </c>
      <c r="N606" s="67">
        <v>2813.5383242893299</v>
      </c>
      <c r="O606" s="67">
        <v>140.67691621446701</v>
      </c>
      <c r="P606" s="67">
        <v>454.49001348018601</v>
      </c>
      <c r="Q606" s="68">
        <v>0.16153681275871201</v>
      </c>
    </row>
    <row r="607" spans="1:17" x14ac:dyDescent="0.35">
      <c r="A607" s="62" t="s">
        <v>136</v>
      </c>
      <c r="B607" s="63">
        <v>876349</v>
      </c>
      <c r="C607" s="63" t="s">
        <v>142</v>
      </c>
      <c r="D607" s="64">
        <v>42649</v>
      </c>
      <c r="E607" s="63" t="s">
        <v>138</v>
      </c>
      <c r="F607" s="65">
        <v>15491</v>
      </c>
      <c r="G607" s="66">
        <v>9.8411862110492302E-3</v>
      </c>
      <c r="H607" s="65">
        <v>570</v>
      </c>
      <c r="I607" s="67">
        <v>0.457284904774243</v>
      </c>
      <c r="J607" s="67">
        <v>4.5002258993852404</v>
      </c>
      <c r="K607" s="65">
        <v>99</v>
      </c>
      <c r="L607" s="65">
        <v>65</v>
      </c>
      <c r="M607" s="66">
        <v>2.1988527724665401E-2</v>
      </c>
      <c r="N607" s="67">
        <v>2442.515021965</v>
      </c>
      <c r="O607" s="67">
        <v>106.196305302826</v>
      </c>
      <c r="P607" s="67">
        <v>478.32001039385801</v>
      </c>
      <c r="Q607" s="68">
        <v>0.19583093904947599</v>
      </c>
    </row>
    <row r="608" spans="1:17" x14ac:dyDescent="0.35">
      <c r="A608" s="62" t="s">
        <v>136</v>
      </c>
      <c r="B608" s="63">
        <v>876349</v>
      </c>
      <c r="C608" s="63" t="s">
        <v>142</v>
      </c>
      <c r="D608" s="64">
        <v>42650</v>
      </c>
      <c r="E608" s="63" t="s">
        <v>138</v>
      </c>
      <c r="F608" s="65">
        <v>60019</v>
      </c>
      <c r="G608" s="66">
        <v>1.0082884042810001E-2</v>
      </c>
      <c r="H608" s="65">
        <v>518</v>
      </c>
      <c r="I608" s="67">
        <v>0.44199522537701802</v>
      </c>
      <c r="J608" s="67">
        <v>4.4565866049521503</v>
      </c>
      <c r="K608" s="65">
        <v>29</v>
      </c>
      <c r="L608" s="65">
        <v>86</v>
      </c>
      <c r="M608" s="66">
        <v>2.4740622505985601E-2</v>
      </c>
      <c r="N608" s="67">
        <v>4933.1919301647604</v>
      </c>
      <c r="O608" s="67">
        <v>159.13522355370199</v>
      </c>
      <c r="P608" s="67">
        <v>553.82001739740394</v>
      </c>
      <c r="Q608" s="68">
        <v>0.11226403213931101</v>
      </c>
    </row>
    <row r="609" spans="1:17" x14ac:dyDescent="0.35">
      <c r="A609" s="62" t="s">
        <v>136</v>
      </c>
      <c r="B609" s="63">
        <v>876349</v>
      </c>
      <c r="C609" s="63" t="s">
        <v>142</v>
      </c>
      <c r="D609" s="64">
        <v>42651</v>
      </c>
      <c r="E609" s="63" t="s">
        <v>138</v>
      </c>
      <c r="F609" s="65">
        <v>24204</v>
      </c>
      <c r="G609" s="66">
        <v>9.0353164256932895E-3</v>
      </c>
      <c r="H609" s="65">
        <v>272</v>
      </c>
      <c r="I609" s="67">
        <v>0.46376706545650598</v>
      </c>
      <c r="J609" s="67">
        <v>4.19028218421475</v>
      </c>
      <c r="K609" s="65">
        <v>78</v>
      </c>
      <c r="L609" s="65">
        <v>53</v>
      </c>
      <c r="M609" s="66">
        <v>2.0986358866736599E-2</v>
      </c>
      <c r="N609" s="67">
        <v>2220.7493578094</v>
      </c>
      <c r="O609" s="67">
        <v>111.03746789047</v>
      </c>
      <c r="P609" s="67">
        <v>441.970013380051</v>
      </c>
      <c r="Q609" s="68">
        <v>0.19901841323327901</v>
      </c>
    </row>
    <row r="610" spans="1:17" x14ac:dyDescent="0.35">
      <c r="A610" s="62" t="s">
        <v>136</v>
      </c>
      <c r="B610" s="63">
        <v>876349</v>
      </c>
      <c r="C610" s="63" t="s">
        <v>142</v>
      </c>
      <c r="D610" s="64">
        <v>42652</v>
      </c>
      <c r="E610" s="63" t="s">
        <v>138</v>
      </c>
      <c r="F610" s="65">
        <v>2346</v>
      </c>
      <c r="G610" s="66">
        <v>8.6919293494494097E-3</v>
      </c>
      <c r="H610" s="65">
        <v>305</v>
      </c>
      <c r="I610" s="67">
        <v>0.45516609988534801</v>
      </c>
      <c r="J610" s="67">
        <v>3.9562715824678798</v>
      </c>
      <c r="K610" s="65">
        <v>87</v>
      </c>
      <c r="L610" s="65">
        <v>41</v>
      </c>
      <c r="M610" s="66">
        <v>2.06185567010309E-2</v>
      </c>
      <c r="N610" s="67">
        <v>2647.2251935239501</v>
      </c>
      <c r="O610" s="67">
        <v>147.06806630688601</v>
      </c>
      <c r="P610" s="67">
        <v>397.36000519990898</v>
      </c>
      <c r="Q610" s="68">
        <v>0.150104345550954</v>
      </c>
    </row>
    <row r="611" spans="1:17" x14ac:dyDescent="0.35">
      <c r="A611" s="62" t="s">
        <v>136</v>
      </c>
      <c r="B611" s="63">
        <v>876349</v>
      </c>
      <c r="C611" s="63" t="s">
        <v>142</v>
      </c>
      <c r="D611" s="64">
        <v>42653</v>
      </c>
      <c r="E611" s="63" t="s">
        <v>138</v>
      </c>
      <c r="F611" s="65">
        <v>60404</v>
      </c>
      <c r="G611" s="66">
        <v>8.9547031574050695E-3</v>
      </c>
      <c r="H611" s="65">
        <v>279</v>
      </c>
      <c r="I611" s="67">
        <v>0.48772729273675802</v>
      </c>
      <c r="J611" s="67">
        <v>4.36745312822248</v>
      </c>
      <c r="K611" s="65">
        <v>55</v>
      </c>
      <c r="L611" s="65">
        <v>53</v>
      </c>
      <c r="M611" s="66">
        <v>1.83982683982684E-2</v>
      </c>
      <c r="N611" s="67">
        <v>1368.9466127872299</v>
      </c>
      <c r="O611" s="67">
        <v>80.526271340425296</v>
      </c>
      <c r="P611" s="67">
        <v>450.66001848876499</v>
      </c>
      <c r="Q611" s="68">
        <v>0.32920204066337</v>
      </c>
    </row>
    <row r="612" spans="1:17" x14ac:dyDescent="0.35">
      <c r="A612" s="62" t="s">
        <v>136</v>
      </c>
      <c r="B612" s="63">
        <v>876349</v>
      </c>
      <c r="C612" s="63" t="s">
        <v>142</v>
      </c>
      <c r="D612" s="64">
        <v>42654</v>
      </c>
      <c r="E612" s="63" t="s">
        <v>138</v>
      </c>
      <c r="F612" s="65">
        <v>57677</v>
      </c>
      <c r="G612" s="66">
        <v>9.0312059629002704E-3</v>
      </c>
      <c r="H612" s="65">
        <v>353</v>
      </c>
      <c r="I612" s="67">
        <v>0.53035329839432199</v>
      </c>
      <c r="J612" s="67">
        <v>4.7897298709026304</v>
      </c>
      <c r="K612" s="65">
        <v>19</v>
      </c>
      <c r="L612" s="65">
        <v>53</v>
      </c>
      <c r="M612" s="66">
        <v>1.66830225711482E-2</v>
      </c>
      <c r="N612" s="67">
        <v>1175.72464172644</v>
      </c>
      <c r="O612" s="67">
        <v>69.160273042731603</v>
      </c>
      <c r="P612" s="67">
        <v>540.43001106381405</v>
      </c>
      <c r="Q612" s="68">
        <v>0.459656956981224</v>
      </c>
    </row>
    <row r="613" spans="1:17" x14ac:dyDescent="0.35">
      <c r="A613" s="62" t="s">
        <v>136</v>
      </c>
      <c r="B613" s="63">
        <v>876349</v>
      </c>
      <c r="C613" s="63" t="s">
        <v>142</v>
      </c>
      <c r="D613" s="64">
        <v>42655</v>
      </c>
      <c r="E613" s="63" t="s">
        <v>138</v>
      </c>
      <c r="F613" s="65">
        <v>36168</v>
      </c>
      <c r="G613" s="66">
        <v>9.4862175220398592E-3</v>
      </c>
      <c r="H613" s="65">
        <v>365</v>
      </c>
      <c r="I613" s="67">
        <v>0.52654564633629197</v>
      </c>
      <c r="J613" s="67">
        <v>4.99492653642913</v>
      </c>
      <c r="K613" s="65">
        <v>37</v>
      </c>
      <c r="L613" s="65">
        <v>62</v>
      </c>
      <c r="M613" s="66">
        <v>2.2571148184494599E-2</v>
      </c>
      <c r="N613" s="67">
        <v>3076.61714887569</v>
      </c>
      <c r="O613" s="67">
        <v>133.76596299459499</v>
      </c>
      <c r="P613" s="67">
        <v>536.55001361668099</v>
      </c>
      <c r="Q613" s="68">
        <v>0.174396094038791</v>
      </c>
    </row>
    <row r="614" spans="1:17" x14ac:dyDescent="0.35">
      <c r="A614" s="62" t="s">
        <v>136</v>
      </c>
      <c r="B614" s="63">
        <v>876349</v>
      </c>
      <c r="C614" s="63" t="s">
        <v>142</v>
      </c>
      <c r="D614" s="64">
        <v>42656</v>
      </c>
      <c r="E614" s="63" t="s">
        <v>138</v>
      </c>
      <c r="F614" s="65">
        <v>42377</v>
      </c>
      <c r="G614" s="66">
        <v>9.1832622849992596E-3</v>
      </c>
      <c r="H614" s="65">
        <v>456</v>
      </c>
      <c r="I614" s="67">
        <v>0.53172057060047295</v>
      </c>
      <c r="J614" s="67">
        <v>4.8829294621536103</v>
      </c>
      <c r="K614" s="65">
        <v>92</v>
      </c>
      <c r="L614" s="65">
        <v>49</v>
      </c>
      <c r="M614" s="66">
        <v>2.1939953810623601E-2</v>
      </c>
      <c r="N614" s="67">
        <v>2747.8349449020202</v>
      </c>
      <c r="O614" s="67">
        <v>144.62289183694801</v>
      </c>
      <c r="P614" s="67">
        <v>460.47001414000999</v>
      </c>
      <c r="Q614" s="68">
        <v>0.16757557254095901</v>
      </c>
    </row>
    <row r="615" spans="1:17" x14ac:dyDescent="0.35">
      <c r="A615" s="62" t="s">
        <v>136</v>
      </c>
      <c r="B615" s="63">
        <v>876349</v>
      </c>
      <c r="C615" s="63" t="s">
        <v>142</v>
      </c>
      <c r="D615" s="64">
        <v>42657</v>
      </c>
      <c r="E615" s="63" t="s">
        <v>138</v>
      </c>
      <c r="F615" s="65">
        <v>48329</v>
      </c>
      <c r="G615" s="66">
        <v>9.3753633057082602E-3</v>
      </c>
      <c r="H615" s="65">
        <v>377</v>
      </c>
      <c r="I615" s="67">
        <v>0.54000886827311301</v>
      </c>
      <c r="J615" s="67">
        <v>5.0627793283647904</v>
      </c>
      <c r="K615" s="65">
        <v>98</v>
      </c>
      <c r="L615" s="65">
        <v>70</v>
      </c>
      <c r="M615" s="66">
        <v>2.4800708591673999E-2</v>
      </c>
      <c r="N615" s="67">
        <v>3739.17459809515</v>
      </c>
      <c r="O615" s="67">
        <v>133.54194993197001</v>
      </c>
      <c r="P615" s="67">
        <v>609.67001228034496</v>
      </c>
      <c r="Q615" s="68">
        <v>0.163049356558779</v>
      </c>
    </row>
    <row r="616" spans="1:17" x14ac:dyDescent="0.35">
      <c r="A616" s="62" t="s">
        <v>136</v>
      </c>
      <c r="B616" s="63">
        <v>876349</v>
      </c>
      <c r="C616" s="63" t="s">
        <v>142</v>
      </c>
      <c r="D616" s="64">
        <v>42658</v>
      </c>
      <c r="E616" s="63" t="s">
        <v>138</v>
      </c>
      <c r="F616" s="65">
        <v>54002</v>
      </c>
      <c r="G616" s="66">
        <v>9.1154963437844305E-3</v>
      </c>
      <c r="H616" s="65">
        <v>219</v>
      </c>
      <c r="I616" s="67">
        <v>0.488434076104518</v>
      </c>
      <c r="J616" s="67">
        <v>4.4523190349104604</v>
      </c>
      <c r="K616" s="65">
        <v>72</v>
      </c>
      <c r="L616" s="65">
        <v>60</v>
      </c>
      <c r="M616" s="66">
        <v>1.8315018315018299E-2</v>
      </c>
      <c r="N616" s="67">
        <v>2776.3848255868102</v>
      </c>
      <c r="O616" s="67">
        <v>138.81924127933999</v>
      </c>
      <c r="P616" s="67">
        <v>533.37001110613301</v>
      </c>
      <c r="Q616" s="68">
        <v>0.19210953978377299</v>
      </c>
    </row>
    <row r="617" spans="1:17" x14ac:dyDescent="0.35">
      <c r="A617" s="62" t="s">
        <v>136</v>
      </c>
      <c r="B617" s="63">
        <v>876349</v>
      </c>
      <c r="C617" s="63" t="s">
        <v>142</v>
      </c>
      <c r="D617" s="64">
        <v>42659</v>
      </c>
      <c r="E617" s="63" t="s">
        <v>138</v>
      </c>
      <c r="F617" s="65">
        <v>292</v>
      </c>
      <c r="G617" s="66">
        <v>9.4261920014642592E-3</v>
      </c>
      <c r="H617" s="65">
        <v>169</v>
      </c>
      <c r="I617" s="67">
        <v>0.4963009867998</v>
      </c>
      <c r="J617" s="67">
        <v>4.6782283920910999</v>
      </c>
      <c r="K617" s="65">
        <v>67</v>
      </c>
      <c r="L617" s="65">
        <v>46</v>
      </c>
      <c r="M617" s="66">
        <v>2.1359223300970901E-2</v>
      </c>
      <c r="N617" s="67">
        <v>2406.2754527213701</v>
      </c>
      <c r="O617" s="67">
        <v>109.37615694188</v>
      </c>
      <c r="P617" s="67">
        <v>511.190016403794</v>
      </c>
      <c r="Q617" s="68">
        <v>0.212440357077851</v>
      </c>
    </row>
    <row r="618" spans="1:17" x14ac:dyDescent="0.35">
      <c r="A618" s="62" t="s">
        <v>136</v>
      </c>
      <c r="B618" s="63">
        <v>876349</v>
      </c>
      <c r="C618" s="63" t="s">
        <v>142</v>
      </c>
      <c r="D618" s="64">
        <v>42660</v>
      </c>
      <c r="E618" s="63" t="s">
        <v>138</v>
      </c>
      <c r="F618" s="65">
        <v>37307</v>
      </c>
      <c r="G618" s="66">
        <v>9.0493701803013304E-3</v>
      </c>
      <c r="H618" s="65">
        <v>251</v>
      </c>
      <c r="I618" s="67">
        <v>0.618574689777174</v>
      </c>
      <c r="J618" s="67">
        <v>5.5977113519586998</v>
      </c>
      <c r="K618" s="65">
        <v>77</v>
      </c>
      <c r="L618" s="65">
        <v>56</v>
      </c>
      <c r="M618" s="66">
        <v>1.66793025018954E-2</v>
      </c>
      <c r="N618" s="67">
        <v>2607.32591004707</v>
      </c>
      <c r="O618" s="67">
        <v>118.514814093049</v>
      </c>
      <c r="P618" s="67">
        <v>815.90001581609204</v>
      </c>
      <c r="Q618" s="68">
        <v>0.31292598009021499</v>
      </c>
    </row>
    <row r="619" spans="1:17" x14ac:dyDescent="0.35">
      <c r="A619" s="62" t="s">
        <v>136</v>
      </c>
      <c r="B619" s="63">
        <v>876349</v>
      </c>
      <c r="C619" s="63" t="s">
        <v>142</v>
      </c>
      <c r="D619" s="64">
        <v>42661</v>
      </c>
      <c r="E619" s="63" t="s">
        <v>138</v>
      </c>
      <c r="F619" s="65">
        <v>62872</v>
      </c>
      <c r="G619" s="66">
        <v>9.1645056086288503E-3</v>
      </c>
      <c r="H619" s="65">
        <v>288</v>
      </c>
      <c r="I619" s="67">
        <v>0.663638185253003</v>
      </c>
      <c r="J619" s="67">
        <v>6.0819158708514101</v>
      </c>
      <c r="K619" s="65">
        <v>99</v>
      </c>
      <c r="L619" s="65">
        <v>52</v>
      </c>
      <c r="M619" s="66">
        <v>9.2776673293571907E-3</v>
      </c>
      <c r="N619" s="67">
        <v>1228.71441738308</v>
      </c>
      <c r="O619" s="67">
        <v>87.765315527362901</v>
      </c>
      <c r="P619" s="67">
        <v>1001.43002154678</v>
      </c>
      <c r="Q619" s="68">
        <v>0.81502260198071896</v>
      </c>
    </row>
    <row r="620" spans="1:17" x14ac:dyDescent="0.35">
      <c r="A620" s="62" t="s">
        <v>136</v>
      </c>
      <c r="B620" s="63">
        <v>876349</v>
      </c>
      <c r="C620" s="63" t="s">
        <v>142</v>
      </c>
      <c r="D620" s="64">
        <v>42662</v>
      </c>
      <c r="E620" s="63" t="s">
        <v>138</v>
      </c>
      <c r="F620" s="65">
        <v>31945</v>
      </c>
      <c r="G620" s="66">
        <v>8.0198990941552795E-3</v>
      </c>
      <c r="H620" s="65">
        <v>250</v>
      </c>
      <c r="I620" s="67">
        <v>0.57629898521635303</v>
      </c>
      <c r="J620" s="67">
        <v>4.6218597094992404</v>
      </c>
      <c r="K620" s="65">
        <v>92</v>
      </c>
      <c r="L620" s="65">
        <v>48</v>
      </c>
      <c r="M620" s="66">
        <v>1.27897681854516E-2</v>
      </c>
      <c r="N620" s="67">
        <v>1249.50911814183</v>
      </c>
      <c r="O620" s="67">
        <v>78.094319883864401</v>
      </c>
      <c r="P620" s="67">
        <v>720.95003050565697</v>
      </c>
      <c r="Q620" s="68">
        <v>0.57698661021201403</v>
      </c>
    </row>
    <row r="621" spans="1:17" x14ac:dyDescent="0.35">
      <c r="A621" s="62" t="s">
        <v>136</v>
      </c>
      <c r="B621" s="63">
        <v>876349</v>
      </c>
      <c r="C621" s="63" t="s">
        <v>142</v>
      </c>
      <c r="D621" s="64">
        <v>42663</v>
      </c>
      <c r="E621" s="63" t="s">
        <v>138</v>
      </c>
      <c r="F621" s="65">
        <v>34921</v>
      </c>
      <c r="G621" s="66">
        <v>8.1890421853621706E-3</v>
      </c>
      <c r="H621" s="65">
        <v>530</v>
      </c>
      <c r="I621" s="67">
        <v>0.55773665473294398</v>
      </c>
      <c r="J621" s="67">
        <v>4.5673289939308503</v>
      </c>
      <c r="K621" s="65">
        <v>59</v>
      </c>
      <c r="L621" s="65">
        <v>60</v>
      </c>
      <c r="M621" s="66">
        <v>1.8930041152263401E-2</v>
      </c>
      <c r="N621" s="67">
        <v>3337.5309161728601</v>
      </c>
      <c r="O621" s="67">
        <v>145.110039833603</v>
      </c>
      <c r="P621" s="67">
        <v>677.65003550052597</v>
      </c>
      <c r="Q621" s="68">
        <v>0.203039328330054</v>
      </c>
    </row>
    <row r="622" spans="1:17" x14ac:dyDescent="0.35">
      <c r="A622" s="62" t="s">
        <v>136</v>
      </c>
      <c r="B622" s="63">
        <v>876349</v>
      </c>
      <c r="C622" s="63" t="s">
        <v>142</v>
      </c>
      <c r="D622" s="64">
        <v>42664</v>
      </c>
      <c r="E622" s="63" t="s">
        <v>138</v>
      </c>
      <c r="F622" s="65">
        <v>65441</v>
      </c>
      <c r="G622" s="66">
        <v>9.3909883100489703E-3</v>
      </c>
      <c r="H622" s="65">
        <v>448</v>
      </c>
      <c r="I622" s="67">
        <v>0.55738314392601496</v>
      </c>
      <c r="J622" s="67">
        <v>5.2343785888275498</v>
      </c>
      <c r="K622" s="65">
        <v>61</v>
      </c>
      <c r="L622" s="65">
        <v>90</v>
      </c>
      <c r="M622" s="66">
        <v>2.5974025974026E-2</v>
      </c>
      <c r="N622" s="67">
        <v>4502.1619776526604</v>
      </c>
      <c r="O622" s="67">
        <v>112.554049441316</v>
      </c>
      <c r="P622" s="67">
        <v>858.37004164606299</v>
      </c>
      <c r="Q622" s="68">
        <v>0.19065729885036301</v>
      </c>
    </row>
    <row r="623" spans="1:17" x14ac:dyDescent="0.35">
      <c r="A623" s="62" t="s">
        <v>136</v>
      </c>
      <c r="B623" s="63">
        <v>876349</v>
      </c>
      <c r="C623" s="63" t="s">
        <v>142</v>
      </c>
      <c r="D623" s="64">
        <v>42665</v>
      </c>
      <c r="E623" s="63" t="s">
        <v>138</v>
      </c>
      <c r="F623" s="65">
        <v>49488</v>
      </c>
      <c r="G623" s="66">
        <v>8.2639505815755195E-3</v>
      </c>
      <c r="H623" s="65">
        <v>253</v>
      </c>
      <c r="I623" s="67">
        <v>0.54007503238817101</v>
      </c>
      <c r="J623" s="67">
        <v>4.4631533779986396</v>
      </c>
      <c r="K623" s="65">
        <v>57</v>
      </c>
      <c r="L623" s="65">
        <v>56</v>
      </c>
      <c r="M623" s="66">
        <v>1.7500000000000002E-2</v>
      </c>
      <c r="N623" s="67">
        <v>2505.1465680043798</v>
      </c>
      <c r="O623" s="67">
        <v>119.29269371449401</v>
      </c>
      <c r="P623" s="67">
        <v>648.09003886580501</v>
      </c>
      <c r="Q623" s="68">
        <v>0.25870344160424802</v>
      </c>
    </row>
    <row r="624" spans="1:17" x14ac:dyDescent="0.35">
      <c r="A624" s="62" t="s">
        <v>136</v>
      </c>
      <c r="B624" s="63">
        <v>876349</v>
      </c>
      <c r="C624" s="63" t="s">
        <v>142</v>
      </c>
      <c r="D624" s="64">
        <v>42666</v>
      </c>
      <c r="E624" s="63" t="s">
        <v>138</v>
      </c>
      <c r="F624" s="65">
        <v>15453</v>
      </c>
      <c r="G624" s="66">
        <v>7.8693617225998394E-3</v>
      </c>
      <c r="H624" s="65">
        <v>150</v>
      </c>
      <c r="I624" s="67">
        <v>0.55555460771879295</v>
      </c>
      <c r="J624" s="67">
        <v>4.3718601647962396</v>
      </c>
      <c r="K624" s="65">
        <v>73</v>
      </c>
      <c r="L624" s="65">
        <v>42</v>
      </c>
      <c r="M624" s="66">
        <v>1.1353711790393E-2</v>
      </c>
      <c r="N624" s="67">
        <v>1384.1131998482199</v>
      </c>
      <c r="O624" s="67">
        <v>106.47024614217101</v>
      </c>
      <c r="P624" s="67">
        <v>636.11002583801701</v>
      </c>
      <c r="Q624" s="68">
        <v>0.45957948086021699</v>
      </c>
    </row>
    <row r="625" spans="1:17" x14ac:dyDescent="0.35">
      <c r="A625" s="62" t="s">
        <v>136</v>
      </c>
      <c r="B625" s="63">
        <v>876349</v>
      </c>
      <c r="C625" s="63" t="s">
        <v>142</v>
      </c>
      <c r="D625" s="64">
        <v>42667</v>
      </c>
      <c r="E625" s="63" t="s">
        <v>138</v>
      </c>
      <c r="F625" s="65">
        <v>7396</v>
      </c>
      <c r="G625" s="66">
        <v>9.4075305801690195E-3</v>
      </c>
      <c r="H625" s="65">
        <v>203</v>
      </c>
      <c r="I625" s="67">
        <v>0.55327685711915897</v>
      </c>
      <c r="J625" s="67">
        <v>5.2049689526482901</v>
      </c>
      <c r="K625" s="65">
        <v>62</v>
      </c>
      <c r="L625" s="65">
        <v>68</v>
      </c>
      <c r="M625" s="66">
        <v>2.4213075060532701E-2</v>
      </c>
      <c r="N625" s="67">
        <v>2702.6356029274498</v>
      </c>
      <c r="O625" s="67">
        <v>90.087853430915104</v>
      </c>
      <c r="P625" s="67">
        <v>685.51002597063803</v>
      </c>
      <c r="Q625" s="68">
        <v>0.25364500683262797</v>
      </c>
    </row>
    <row r="626" spans="1:17" x14ac:dyDescent="0.35">
      <c r="A626" s="62" t="s">
        <v>136</v>
      </c>
      <c r="B626" s="63">
        <v>876349</v>
      </c>
      <c r="C626" s="63" t="s">
        <v>142</v>
      </c>
      <c r="D626" s="64">
        <v>42668</v>
      </c>
      <c r="E626" s="63" t="s">
        <v>138</v>
      </c>
      <c r="F626" s="65">
        <v>30098</v>
      </c>
      <c r="G626" s="66">
        <v>9.3389827214242702E-3</v>
      </c>
      <c r="H626" s="65">
        <v>586</v>
      </c>
      <c r="I626" s="67">
        <v>0.49975028137882799</v>
      </c>
      <c r="J626" s="67">
        <v>4.6671592428237902</v>
      </c>
      <c r="K626" s="65">
        <v>45</v>
      </c>
      <c r="L626" s="65">
        <v>58</v>
      </c>
      <c r="M626" s="66">
        <v>1.87304890738814E-2</v>
      </c>
      <c r="N626" s="67">
        <v>1997.5256287786101</v>
      </c>
      <c r="O626" s="67">
        <v>110.973646043256</v>
      </c>
      <c r="P626" s="67">
        <v>480.26002040505398</v>
      </c>
      <c r="Q626" s="68">
        <v>0.24042746360091</v>
      </c>
    </row>
    <row r="627" spans="1:17" x14ac:dyDescent="0.35">
      <c r="A627" s="62" t="s">
        <v>136</v>
      </c>
      <c r="B627" s="63">
        <v>876349</v>
      </c>
      <c r="C627" s="63" t="s">
        <v>142</v>
      </c>
      <c r="D627" s="64">
        <v>42669</v>
      </c>
      <c r="E627" s="63" t="s">
        <v>138</v>
      </c>
      <c r="F627" s="65">
        <v>48427</v>
      </c>
      <c r="G627" s="66">
        <v>1.04578016788046E-2</v>
      </c>
      <c r="H627" s="65">
        <v>196</v>
      </c>
      <c r="I627" s="67">
        <v>0.47525617763032502</v>
      </c>
      <c r="J627" s="67">
        <v>4.9701348522846702</v>
      </c>
      <c r="K627" s="65">
        <v>65</v>
      </c>
      <c r="L627" s="65">
        <v>55</v>
      </c>
      <c r="M627" s="66">
        <v>1.7077798861480101E-2</v>
      </c>
      <c r="N627" s="67">
        <v>1481.2277837371</v>
      </c>
      <c r="O627" s="67">
        <v>82.290432429839001</v>
      </c>
      <c r="P627" s="67">
        <v>500.92001122236297</v>
      </c>
      <c r="Q627" s="68">
        <v>0.33817891935469502</v>
      </c>
    </row>
    <row r="628" spans="1:17" x14ac:dyDescent="0.35">
      <c r="A628" s="62" t="s">
        <v>136</v>
      </c>
      <c r="B628" s="63">
        <v>876349</v>
      </c>
      <c r="C628" s="63" t="s">
        <v>142</v>
      </c>
      <c r="D628" s="64">
        <v>42670</v>
      </c>
      <c r="E628" s="63" t="s">
        <v>138</v>
      </c>
      <c r="F628" s="65">
        <v>32993</v>
      </c>
      <c r="G628" s="66">
        <v>1.00862731366656E-2</v>
      </c>
      <c r="H628" s="65">
        <v>307</v>
      </c>
      <c r="I628" s="67">
        <v>0.48998072940277798</v>
      </c>
      <c r="J628" s="67">
        <v>4.9420794684590597</v>
      </c>
      <c r="K628" s="65">
        <v>62</v>
      </c>
      <c r="L628" s="65">
        <v>45</v>
      </c>
      <c r="M628" s="66">
        <v>1.44648023143684E-2</v>
      </c>
      <c r="N628" s="67">
        <v>1714.90796171089</v>
      </c>
      <c r="O628" s="67">
        <v>114.327197447393</v>
      </c>
      <c r="P628" s="67">
        <v>508.11001639068098</v>
      </c>
      <c r="Q628" s="68">
        <v>0.29628996292241899</v>
      </c>
    </row>
    <row r="629" spans="1:17" x14ac:dyDescent="0.35">
      <c r="A629" s="62" t="s">
        <v>136</v>
      </c>
      <c r="B629" s="63">
        <v>876349</v>
      </c>
      <c r="C629" s="63" t="s">
        <v>142</v>
      </c>
      <c r="D629" s="64">
        <v>42671</v>
      </c>
      <c r="E629" s="63" t="s">
        <v>138</v>
      </c>
      <c r="F629" s="65">
        <v>1660</v>
      </c>
      <c r="G629" s="66">
        <v>1.0534472969447701E-2</v>
      </c>
      <c r="H629" s="65">
        <v>466</v>
      </c>
      <c r="I629" s="67">
        <v>0.48373636542036003</v>
      </c>
      <c r="J629" s="67">
        <v>5.09590766585967</v>
      </c>
      <c r="K629" s="65">
        <v>24</v>
      </c>
      <c r="L629" s="65">
        <v>102</v>
      </c>
      <c r="M629" s="66">
        <v>2.4034959941733401E-2</v>
      </c>
      <c r="N629" s="67">
        <v>4745.8515688908601</v>
      </c>
      <c r="O629" s="67">
        <v>143.81368390578399</v>
      </c>
      <c r="P629" s="67">
        <v>664.17002972215403</v>
      </c>
      <c r="Q629" s="68">
        <v>0.13994749310656901</v>
      </c>
    </row>
    <row r="630" spans="1:17" x14ac:dyDescent="0.35">
      <c r="A630" s="62" t="s">
        <v>136</v>
      </c>
      <c r="B630" s="63">
        <v>876349</v>
      </c>
      <c r="C630" s="63" t="s">
        <v>142</v>
      </c>
      <c r="D630" s="64">
        <v>42672</v>
      </c>
      <c r="E630" s="63" t="s">
        <v>138</v>
      </c>
      <c r="F630" s="65">
        <v>19603</v>
      </c>
      <c r="G630" s="66">
        <v>9.0676319971746393E-3</v>
      </c>
      <c r="H630" s="65">
        <v>268</v>
      </c>
      <c r="I630" s="67">
        <v>0.48465434372599198</v>
      </c>
      <c r="J630" s="67">
        <v>4.3946672347394804</v>
      </c>
      <c r="K630" s="65">
        <v>31</v>
      </c>
      <c r="L630" s="65">
        <v>88</v>
      </c>
      <c r="M630" s="66">
        <v>2.53164556962025E-2</v>
      </c>
      <c r="N630" s="67">
        <v>3400.6274180515102</v>
      </c>
      <c r="O630" s="67">
        <v>130.79336223275001</v>
      </c>
      <c r="P630" s="67">
        <v>497.74001100659399</v>
      </c>
      <c r="Q630" s="68">
        <v>0.146367111070283</v>
      </c>
    </row>
    <row r="631" spans="1:17" x14ac:dyDescent="0.35">
      <c r="A631" s="62" t="s">
        <v>136</v>
      </c>
      <c r="B631" s="63">
        <v>876349</v>
      </c>
      <c r="C631" s="63" t="s">
        <v>142</v>
      </c>
      <c r="D631" s="64">
        <v>42673</v>
      </c>
      <c r="E631" s="63" t="s">
        <v>138</v>
      </c>
      <c r="F631" s="65">
        <v>43990</v>
      </c>
      <c r="G631" s="66">
        <v>8.4882979245375599E-3</v>
      </c>
      <c r="H631" s="65">
        <v>468</v>
      </c>
      <c r="I631" s="67">
        <v>0.48220810822151999</v>
      </c>
      <c r="J631" s="67">
        <v>4.0931260842119102</v>
      </c>
      <c r="K631" s="65">
        <v>43</v>
      </c>
      <c r="L631" s="65">
        <v>51</v>
      </c>
      <c r="M631" s="66">
        <v>1.9653179190751401E-2</v>
      </c>
      <c r="N631" s="67">
        <v>1652.79213469456</v>
      </c>
      <c r="O631" s="67">
        <v>97.223066746738695</v>
      </c>
      <c r="P631" s="67">
        <v>417.11001361161499</v>
      </c>
      <c r="Q631" s="68">
        <v>0.25236689167128601</v>
      </c>
    </row>
    <row r="632" spans="1:17" x14ac:dyDescent="0.35">
      <c r="A632" s="62" t="s">
        <v>136</v>
      </c>
      <c r="B632" s="63">
        <v>876349</v>
      </c>
      <c r="C632" s="63" t="s">
        <v>142</v>
      </c>
      <c r="D632" s="64">
        <v>42674</v>
      </c>
      <c r="E632" s="63" t="s">
        <v>138</v>
      </c>
      <c r="F632" s="65">
        <v>479</v>
      </c>
      <c r="G632" s="66">
        <v>1.05485232067511E-2</v>
      </c>
      <c r="H632" s="65">
        <v>292</v>
      </c>
      <c r="I632" s="67">
        <v>0.46074287705478201</v>
      </c>
      <c r="J632" s="67">
        <v>4.8601569309576202</v>
      </c>
      <c r="K632" s="65">
        <v>75</v>
      </c>
      <c r="L632" s="65">
        <v>52</v>
      </c>
      <c r="M632" s="66">
        <v>2.4761904761904801E-2</v>
      </c>
      <c r="N632" s="67">
        <v>3021.2797719120099</v>
      </c>
      <c r="O632" s="67">
        <v>116.203068150462</v>
      </c>
      <c r="P632" s="67">
        <v>483.78002090752102</v>
      </c>
      <c r="Q632" s="68">
        <v>0.16012420478404199</v>
      </c>
    </row>
    <row r="633" spans="1:17" x14ac:dyDescent="0.35">
      <c r="A633" s="62" t="s">
        <v>136</v>
      </c>
      <c r="B633" s="63">
        <v>876349</v>
      </c>
      <c r="C633" s="63" t="s">
        <v>142</v>
      </c>
      <c r="D633" s="64">
        <v>42675</v>
      </c>
      <c r="E633" s="63" t="s">
        <v>138</v>
      </c>
      <c r="F633" s="65">
        <v>5286</v>
      </c>
      <c r="G633" s="66">
        <v>9.0482255213184606E-3</v>
      </c>
      <c r="H633" s="65">
        <v>323</v>
      </c>
      <c r="I633" s="67">
        <v>0.49204833954259602</v>
      </c>
      <c r="J633" s="67">
        <v>4.45216434357169</v>
      </c>
      <c r="K633" s="65">
        <v>10</v>
      </c>
      <c r="L633" s="65">
        <v>53</v>
      </c>
      <c r="M633" s="66">
        <v>1.89075630252101E-2</v>
      </c>
      <c r="N633" s="67">
        <v>1803.6596679822301</v>
      </c>
      <c r="O633" s="67">
        <v>100.203314887902</v>
      </c>
      <c r="P633" s="67">
        <v>468.430019244552</v>
      </c>
      <c r="Q633" s="68">
        <v>0.25971086871870203</v>
      </c>
    </row>
    <row r="634" spans="1:17" x14ac:dyDescent="0.35">
      <c r="A634" s="62" t="s">
        <v>136</v>
      </c>
      <c r="B634" s="63">
        <v>876349</v>
      </c>
      <c r="C634" s="63" t="s">
        <v>142</v>
      </c>
      <c r="D634" s="64">
        <v>42676</v>
      </c>
      <c r="E634" s="63" t="s">
        <v>138</v>
      </c>
      <c r="F634" s="65">
        <v>1469</v>
      </c>
      <c r="G634" s="66">
        <v>8.7757278785126694E-3</v>
      </c>
      <c r="H634" s="65">
        <v>254</v>
      </c>
      <c r="I634" s="67">
        <v>0.496979554368701</v>
      </c>
      <c r="J634" s="67">
        <v>4.3613573303242097</v>
      </c>
      <c r="K634" s="65">
        <v>86</v>
      </c>
      <c r="L634" s="65">
        <v>40</v>
      </c>
      <c r="M634" s="66">
        <v>1.0830324909747301E-2</v>
      </c>
      <c r="N634" s="67">
        <v>762.63695986880202</v>
      </c>
      <c r="O634" s="67">
        <v>84.737439985422498</v>
      </c>
      <c r="P634" s="67">
        <v>412.99000968039002</v>
      </c>
      <c r="Q634" s="68">
        <v>0.54152897304038095</v>
      </c>
    </row>
    <row r="635" spans="1:17" x14ac:dyDescent="0.35">
      <c r="A635" s="62" t="s">
        <v>136</v>
      </c>
      <c r="B635" s="63">
        <v>876349</v>
      </c>
      <c r="C635" s="63" t="s">
        <v>142</v>
      </c>
      <c r="D635" s="64">
        <v>42677</v>
      </c>
      <c r="E635" s="63" t="s">
        <v>138</v>
      </c>
      <c r="F635" s="65">
        <v>43574</v>
      </c>
      <c r="G635" s="66">
        <v>9.4664200624465494E-3</v>
      </c>
      <c r="H635" s="65">
        <v>510</v>
      </c>
      <c r="I635" s="67">
        <v>0.48977943017546599</v>
      </c>
      <c r="J635" s="67">
        <v>4.6364578239866701</v>
      </c>
      <c r="K635" s="65">
        <v>26</v>
      </c>
      <c r="L635" s="65">
        <v>39</v>
      </c>
      <c r="M635" s="66">
        <v>1.6806722689075598E-2</v>
      </c>
      <c r="N635" s="67">
        <v>1728.32074709771</v>
      </c>
      <c r="O635" s="67">
        <v>108.020046693607</v>
      </c>
      <c r="P635" s="67">
        <v>466.27001752704399</v>
      </c>
      <c r="Q635" s="68">
        <v>0.26978210977911898</v>
      </c>
    </row>
    <row r="636" spans="1:17" x14ac:dyDescent="0.35">
      <c r="A636" s="62" t="s">
        <v>136</v>
      </c>
      <c r="B636" s="63">
        <v>876349</v>
      </c>
      <c r="C636" s="63" t="s">
        <v>142</v>
      </c>
      <c r="D636" s="64">
        <v>42678</v>
      </c>
      <c r="E636" s="63" t="s">
        <v>138</v>
      </c>
      <c r="F636" s="65">
        <v>57915</v>
      </c>
      <c r="G636" s="66">
        <v>9.0847062611642201E-3</v>
      </c>
      <c r="H636" s="65">
        <v>417</v>
      </c>
      <c r="I636" s="67">
        <v>0.47965402956501801</v>
      </c>
      <c r="J636" s="67">
        <v>4.3575159655819702</v>
      </c>
      <c r="K636" s="65">
        <v>73</v>
      </c>
      <c r="L636" s="65">
        <v>79</v>
      </c>
      <c r="M636" s="66">
        <v>2.44725738396624E-2</v>
      </c>
      <c r="N636" s="67">
        <v>2925.06895877734</v>
      </c>
      <c r="O636" s="67">
        <v>100.86444685439101</v>
      </c>
      <c r="P636" s="67">
        <v>568.39002503454697</v>
      </c>
      <c r="Q636" s="68">
        <v>0.19431679493536799</v>
      </c>
    </row>
    <row r="637" spans="1:17" x14ac:dyDescent="0.35">
      <c r="A637" s="62" t="s">
        <v>136</v>
      </c>
      <c r="B637" s="63">
        <v>873469</v>
      </c>
      <c r="C637" s="63" t="s">
        <v>143</v>
      </c>
      <c r="D637" s="64">
        <v>42552</v>
      </c>
      <c r="E637" s="63" t="s">
        <v>138</v>
      </c>
      <c r="F637" s="65">
        <v>3142</v>
      </c>
      <c r="G637" s="66">
        <v>5.3190300592244897E-3</v>
      </c>
      <c r="H637" s="65">
        <v>464</v>
      </c>
      <c r="I637" s="67">
        <v>0.32186974442618699</v>
      </c>
      <c r="J637" s="67">
        <v>1.7120348457578001</v>
      </c>
      <c r="K637" s="65">
        <v>80</v>
      </c>
      <c r="L637" s="65">
        <v>5</v>
      </c>
      <c r="M637" s="66">
        <v>6.3025210084033598E-3</v>
      </c>
      <c r="N637" s="67">
        <v>549.70178992388196</v>
      </c>
      <c r="O637" s="67">
        <v>183.23392997462699</v>
      </c>
      <c r="P637" s="67">
        <v>153.20999834686501</v>
      </c>
      <c r="Q637" s="68">
        <v>0.27871475253533401</v>
      </c>
    </row>
    <row r="638" spans="1:17" x14ac:dyDescent="0.35">
      <c r="A638" s="62" t="s">
        <v>136</v>
      </c>
      <c r="B638" s="63">
        <v>873469</v>
      </c>
      <c r="C638" s="63" t="s">
        <v>143</v>
      </c>
      <c r="D638" s="64">
        <v>42553</v>
      </c>
      <c r="E638" s="63" t="s">
        <v>138</v>
      </c>
      <c r="F638" s="65">
        <v>28235</v>
      </c>
      <c r="G638" s="66">
        <v>4.1493347646129903E-3</v>
      </c>
      <c r="H638" s="65">
        <v>533</v>
      </c>
      <c r="I638" s="67">
        <v>0.295024871863239</v>
      </c>
      <c r="J638" s="67">
        <v>1.2241569572476301</v>
      </c>
      <c r="K638" s="65">
        <v>83</v>
      </c>
      <c r="L638" s="65">
        <v>11</v>
      </c>
      <c r="M638" s="66">
        <v>1.7412935323383099E-2</v>
      </c>
      <c r="N638" s="67">
        <v>725.81899311396398</v>
      </c>
      <c r="O638" s="67">
        <v>103.688427587709</v>
      </c>
      <c r="P638" s="67">
        <v>118.599998489022</v>
      </c>
      <c r="Q638" s="68">
        <v>0.16340161888048099</v>
      </c>
    </row>
    <row r="639" spans="1:17" x14ac:dyDescent="0.35">
      <c r="A639" s="62" t="s">
        <v>136</v>
      </c>
      <c r="B639" s="63">
        <v>873469</v>
      </c>
      <c r="C639" s="63" t="s">
        <v>143</v>
      </c>
      <c r="D639" s="64">
        <v>42554</v>
      </c>
      <c r="E639" s="63" t="s">
        <v>138</v>
      </c>
      <c r="F639" s="65">
        <v>54222</v>
      </c>
      <c r="G639" s="66">
        <v>5.8613558830889999E-3</v>
      </c>
      <c r="H639" s="65">
        <v>300</v>
      </c>
      <c r="I639" s="67">
        <v>0.26182022374332597</v>
      </c>
      <c r="J639" s="67">
        <v>1.53462150874962</v>
      </c>
      <c r="K639" s="65">
        <v>58</v>
      </c>
      <c r="L639" s="65">
        <v>5</v>
      </c>
      <c r="M639" s="66">
        <v>1.1235955056179799E-2</v>
      </c>
      <c r="N639" s="67">
        <v>399.73205637628899</v>
      </c>
      <c r="O639" s="67">
        <v>79.946411275257802</v>
      </c>
      <c r="P639" s="67">
        <v>116.50999956578001</v>
      </c>
      <c r="Q639" s="68">
        <v>0.291470242897165</v>
      </c>
    </row>
    <row r="640" spans="1:17" x14ac:dyDescent="0.35">
      <c r="A640" s="62" t="s">
        <v>136</v>
      </c>
      <c r="B640" s="63">
        <v>873469</v>
      </c>
      <c r="C640" s="63" t="s">
        <v>143</v>
      </c>
      <c r="D640" s="64">
        <v>42555</v>
      </c>
      <c r="E640" s="63" t="s">
        <v>138</v>
      </c>
      <c r="F640" s="65">
        <v>49475</v>
      </c>
      <c r="G640" s="66">
        <v>4.3482599831772203E-3</v>
      </c>
      <c r="H640" s="65">
        <v>435</v>
      </c>
      <c r="I640" s="67">
        <v>0.255213113446705</v>
      </c>
      <c r="J640" s="67">
        <v>1.10973296838237</v>
      </c>
      <c r="K640" s="65">
        <v>96</v>
      </c>
      <c r="L640" s="65">
        <v>8</v>
      </c>
      <c r="M640" s="66">
        <v>9.8360655737704892E-3</v>
      </c>
      <c r="N640" s="67">
        <v>248.379288161571</v>
      </c>
      <c r="O640" s="67">
        <v>82.7930960538569</v>
      </c>
      <c r="P640" s="67">
        <v>77.839999601244898</v>
      </c>
      <c r="Q640" s="68">
        <v>0.31339166875544799</v>
      </c>
    </row>
    <row r="641" spans="1:17" x14ac:dyDescent="0.35">
      <c r="A641" s="62" t="s">
        <v>136</v>
      </c>
      <c r="B641" s="63">
        <v>873469</v>
      </c>
      <c r="C641" s="63" t="s">
        <v>143</v>
      </c>
      <c r="D641" s="64">
        <v>42556</v>
      </c>
      <c r="E641" s="63" t="s">
        <v>138</v>
      </c>
      <c r="F641" s="65">
        <v>68480</v>
      </c>
      <c r="G641" s="66">
        <v>4.4479285604730797E-3</v>
      </c>
      <c r="H641" s="65">
        <v>506</v>
      </c>
      <c r="I641" s="67">
        <v>0.30214559421000398</v>
      </c>
      <c r="J641" s="67">
        <v>1.34392201790779</v>
      </c>
      <c r="K641" s="65">
        <v>88</v>
      </c>
      <c r="L641" s="65">
        <v>6</v>
      </c>
      <c r="M641" s="66">
        <v>1.1494252873563199E-2</v>
      </c>
      <c r="N641" s="67">
        <v>130.261909952427</v>
      </c>
      <c r="O641" s="67">
        <v>43.420636650808902</v>
      </c>
      <c r="P641" s="67">
        <v>78.860000088810907</v>
      </c>
      <c r="Q641" s="68">
        <v>0.60539569946127503</v>
      </c>
    </row>
    <row r="642" spans="1:17" x14ac:dyDescent="0.35">
      <c r="A642" s="62" t="s">
        <v>136</v>
      </c>
      <c r="B642" s="63">
        <v>873469</v>
      </c>
      <c r="C642" s="63" t="s">
        <v>143</v>
      </c>
      <c r="D642" s="64">
        <v>42557</v>
      </c>
      <c r="E642" s="63" t="s">
        <v>138</v>
      </c>
      <c r="F642" s="65">
        <v>54452</v>
      </c>
      <c r="G642" s="66">
        <v>4.9680624556422996E-3</v>
      </c>
      <c r="H642" s="65">
        <v>164</v>
      </c>
      <c r="I642" s="67">
        <v>0.297216750075811</v>
      </c>
      <c r="J642" s="67">
        <v>1.4765913772396599</v>
      </c>
      <c r="K642" s="65">
        <v>96</v>
      </c>
      <c r="L642" s="65">
        <v>1</v>
      </c>
      <c r="M642" s="66">
        <v>0</v>
      </c>
      <c r="N642" s="67">
        <v>0</v>
      </c>
      <c r="O642" s="67">
        <v>0</v>
      </c>
      <c r="P642" s="67">
        <v>120.67000053077901</v>
      </c>
      <c r="Q642" s="68">
        <v>0</v>
      </c>
    </row>
    <row r="643" spans="1:17" x14ac:dyDescent="0.35">
      <c r="A643" s="62" t="s">
        <v>136</v>
      </c>
      <c r="B643" s="63">
        <v>873469</v>
      </c>
      <c r="C643" s="63" t="s">
        <v>143</v>
      </c>
      <c r="D643" s="64">
        <v>42558</v>
      </c>
      <c r="E643" s="63" t="s">
        <v>138</v>
      </c>
      <c r="F643" s="65">
        <v>18205</v>
      </c>
      <c r="G643" s="66">
        <v>6.4075630252100804E-3</v>
      </c>
      <c r="H643" s="65">
        <v>224</v>
      </c>
      <c r="I643" s="67">
        <v>0.278477752637947</v>
      </c>
      <c r="J643" s="67">
        <v>1.78436375114651</v>
      </c>
      <c r="K643" s="65">
        <v>54</v>
      </c>
      <c r="L643" s="65">
        <v>3</v>
      </c>
      <c r="M643" s="66">
        <v>4.6838407494145199E-3</v>
      </c>
      <c r="N643" s="67">
        <v>27.5736887995545</v>
      </c>
      <c r="O643" s="67">
        <v>13.7868443997772</v>
      </c>
      <c r="P643" s="67">
        <v>118.910000376403</v>
      </c>
      <c r="Q643" s="68">
        <v>4.3124444190551898</v>
      </c>
    </row>
    <row r="644" spans="1:17" x14ac:dyDescent="0.35">
      <c r="A644" s="62" t="s">
        <v>136</v>
      </c>
      <c r="B644" s="63">
        <v>873469</v>
      </c>
      <c r="C644" s="63" t="s">
        <v>143</v>
      </c>
      <c r="D644" s="64">
        <v>42559</v>
      </c>
      <c r="E644" s="63" t="s">
        <v>138</v>
      </c>
      <c r="F644" s="65">
        <v>55035</v>
      </c>
      <c r="G644" s="66">
        <v>5.47149164182484E-3</v>
      </c>
      <c r="H644" s="65">
        <v>152</v>
      </c>
      <c r="I644" s="67">
        <v>0.28463793348135602</v>
      </c>
      <c r="J644" s="67">
        <v>1.55739407398953</v>
      </c>
      <c r="K644" s="65">
        <v>15</v>
      </c>
      <c r="L644" s="65">
        <v>8</v>
      </c>
      <c r="M644" s="66">
        <v>1.03448275862069E-2</v>
      </c>
      <c r="N644" s="67">
        <v>505.964215041464</v>
      </c>
      <c r="O644" s="67">
        <v>84.327369173577296</v>
      </c>
      <c r="P644" s="67">
        <v>165.09000141918699</v>
      </c>
      <c r="Q644" s="68">
        <v>0.326287900431175</v>
      </c>
    </row>
    <row r="645" spans="1:17" x14ac:dyDescent="0.35">
      <c r="A645" s="62" t="s">
        <v>136</v>
      </c>
      <c r="B645" s="63">
        <v>873469</v>
      </c>
      <c r="C645" s="63" t="s">
        <v>143</v>
      </c>
      <c r="D645" s="64">
        <v>42560</v>
      </c>
      <c r="E645" s="63" t="s">
        <v>138</v>
      </c>
      <c r="F645" s="65">
        <v>36894</v>
      </c>
      <c r="G645" s="66">
        <v>4.62450990248316E-3</v>
      </c>
      <c r="H645" s="65">
        <v>295</v>
      </c>
      <c r="I645" s="67">
        <v>0.28762681332781298</v>
      </c>
      <c r="J645" s="67">
        <v>1.3301330464541501</v>
      </c>
      <c r="K645" s="65">
        <v>31</v>
      </c>
      <c r="L645" s="65">
        <v>4</v>
      </c>
      <c r="M645" s="66">
        <v>5.4347826086956503E-3</v>
      </c>
      <c r="N645" s="67">
        <v>384.00034575157798</v>
      </c>
      <c r="O645" s="67">
        <v>128.00011525052599</v>
      </c>
      <c r="P645" s="67">
        <v>158.770000956953</v>
      </c>
      <c r="Q645" s="68">
        <v>0.41346317187866799</v>
      </c>
    </row>
    <row r="646" spans="1:17" x14ac:dyDescent="0.35">
      <c r="A646" s="62" t="s">
        <v>136</v>
      </c>
      <c r="B646" s="63">
        <v>873469</v>
      </c>
      <c r="C646" s="63" t="s">
        <v>143</v>
      </c>
      <c r="D646" s="64">
        <v>42561</v>
      </c>
      <c r="E646" s="63" t="s">
        <v>138</v>
      </c>
      <c r="F646" s="65">
        <v>26804</v>
      </c>
      <c r="G646" s="66">
        <v>4.5616571528279796E-3</v>
      </c>
      <c r="H646" s="65">
        <v>536</v>
      </c>
      <c r="I646" s="67">
        <v>0.30194899863232699</v>
      </c>
      <c r="J646" s="67">
        <v>1.3773878094004</v>
      </c>
      <c r="K646" s="65">
        <v>25</v>
      </c>
      <c r="L646" s="65">
        <v>9</v>
      </c>
      <c r="M646" s="66">
        <v>1.0928961748633901E-2</v>
      </c>
      <c r="N646" s="67">
        <v>749.97840998073605</v>
      </c>
      <c r="O646" s="67">
        <v>124.996401663456</v>
      </c>
      <c r="P646" s="67">
        <v>165.77000024914699</v>
      </c>
      <c r="Q646" s="68">
        <v>0.22103302980869199</v>
      </c>
    </row>
    <row r="647" spans="1:17" x14ac:dyDescent="0.35">
      <c r="A647" s="62" t="s">
        <v>136</v>
      </c>
      <c r="B647" s="63">
        <v>873469</v>
      </c>
      <c r="C647" s="63" t="s">
        <v>143</v>
      </c>
      <c r="D647" s="64">
        <v>42562</v>
      </c>
      <c r="E647" s="63" t="s">
        <v>138</v>
      </c>
      <c r="F647" s="65">
        <v>45490</v>
      </c>
      <c r="G647" s="66">
        <v>5.2612092987002904E-3</v>
      </c>
      <c r="H647" s="65">
        <v>580</v>
      </c>
      <c r="I647" s="67">
        <v>0.31299999948177099</v>
      </c>
      <c r="J647" s="67">
        <v>1.64675850776668</v>
      </c>
      <c r="K647" s="65">
        <v>22</v>
      </c>
      <c r="L647" s="65">
        <v>4</v>
      </c>
      <c r="M647" s="66">
        <v>5.5555555555555601E-3</v>
      </c>
      <c r="N647" s="67">
        <v>427.30573610814702</v>
      </c>
      <c r="O647" s="67">
        <v>142.43524536938199</v>
      </c>
      <c r="P647" s="67">
        <v>169.01999972015599</v>
      </c>
      <c r="Q647" s="68">
        <v>0.39554816478611199</v>
      </c>
    </row>
    <row r="648" spans="1:17" x14ac:dyDescent="0.35">
      <c r="A648" s="62" t="s">
        <v>136</v>
      </c>
      <c r="B648" s="63">
        <v>873469</v>
      </c>
      <c r="C648" s="63" t="s">
        <v>143</v>
      </c>
      <c r="D648" s="64">
        <v>42563</v>
      </c>
      <c r="E648" s="63" t="s">
        <v>138</v>
      </c>
      <c r="F648" s="65">
        <v>38136</v>
      </c>
      <c r="G648" s="66">
        <v>5.3671763620607698E-3</v>
      </c>
      <c r="H648" s="65">
        <v>304</v>
      </c>
      <c r="I648" s="67">
        <v>0.24603125270611301</v>
      </c>
      <c r="J648" s="67">
        <v>1.32049312385245</v>
      </c>
      <c r="K648" s="65">
        <v>32</v>
      </c>
      <c r="L648" s="65">
        <v>3</v>
      </c>
      <c r="M648" s="66">
        <v>5.2083333333333296E-3</v>
      </c>
      <c r="N648" s="67">
        <v>182.16786898556001</v>
      </c>
      <c r="O648" s="67">
        <v>91.083934492780102</v>
      </c>
      <c r="P648" s="67">
        <v>94.476001039147405</v>
      </c>
      <c r="Q648" s="68">
        <v>0.51862055347771696</v>
      </c>
    </row>
    <row r="649" spans="1:17" x14ac:dyDescent="0.35">
      <c r="A649" s="62" t="s">
        <v>136</v>
      </c>
      <c r="B649" s="63">
        <v>873469</v>
      </c>
      <c r="C649" s="63" t="s">
        <v>143</v>
      </c>
      <c r="D649" s="64">
        <v>42564</v>
      </c>
      <c r="E649" s="63" t="s">
        <v>138</v>
      </c>
      <c r="F649" s="65">
        <v>4637</v>
      </c>
      <c r="G649" s="66">
        <v>6.0447668320088204E-3</v>
      </c>
      <c r="H649" s="65">
        <v>341</v>
      </c>
      <c r="I649" s="67">
        <v>0.23891176914467499</v>
      </c>
      <c r="J649" s="67">
        <v>1.44416593790228</v>
      </c>
      <c r="K649" s="65">
        <v>57</v>
      </c>
      <c r="L649" s="65">
        <v>6</v>
      </c>
      <c r="M649" s="66">
        <v>5.8823529411764696E-3</v>
      </c>
      <c r="N649" s="67">
        <v>240.772757413569</v>
      </c>
      <c r="O649" s="67">
        <v>120.386378706784</v>
      </c>
      <c r="P649" s="67">
        <v>81.230001509189606</v>
      </c>
      <c r="Q649" s="68">
        <v>0.33737206144822701</v>
      </c>
    </row>
    <row r="650" spans="1:17" x14ac:dyDescent="0.35">
      <c r="A650" s="62" t="s">
        <v>136</v>
      </c>
      <c r="B650" s="63">
        <v>873469</v>
      </c>
      <c r="C650" s="63" t="s">
        <v>143</v>
      </c>
      <c r="D650" s="64">
        <v>42565</v>
      </c>
      <c r="E650" s="63" t="s">
        <v>138</v>
      </c>
      <c r="F650" s="65">
        <v>3777</v>
      </c>
      <c r="G650" s="66">
        <v>7.40874321867063E-3</v>
      </c>
      <c r="H650" s="65">
        <v>311</v>
      </c>
      <c r="I650" s="67">
        <v>0.21263286084480801</v>
      </c>
      <c r="J650" s="67">
        <v>1.5753422658505001</v>
      </c>
      <c r="K650" s="65">
        <v>69</v>
      </c>
      <c r="L650" s="65">
        <v>6</v>
      </c>
      <c r="M650" s="66">
        <v>6.08519269776876E-3</v>
      </c>
      <c r="N650" s="67">
        <v>200.23338363374401</v>
      </c>
      <c r="O650" s="67">
        <v>66.744461211248094</v>
      </c>
      <c r="P650" s="67">
        <v>104.82800039649</v>
      </c>
      <c r="Q650" s="68">
        <v>0.52352908637969997</v>
      </c>
    </row>
    <row r="651" spans="1:17" x14ac:dyDescent="0.35">
      <c r="A651" s="62" t="s">
        <v>136</v>
      </c>
      <c r="B651" s="63">
        <v>873469</v>
      </c>
      <c r="C651" s="63" t="s">
        <v>143</v>
      </c>
      <c r="D651" s="64">
        <v>42566</v>
      </c>
      <c r="E651" s="63" t="s">
        <v>138</v>
      </c>
      <c r="F651" s="65">
        <v>63668</v>
      </c>
      <c r="G651" s="66">
        <v>6.2138938783436104E-3</v>
      </c>
      <c r="H651" s="65">
        <v>396</v>
      </c>
      <c r="I651" s="67">
        <v>0.23570312655647299</v>
      </c>
      <c r="J651" s="67">
        <v>1.4646342152157199</v>
      </c>
      <c r="K651" s="65">
        <v>38</v>
      </c>
      <c r="L651" s="65">
        <v>6</v>
      </c>
      <c r="M651" s="66">
        <v>3.90625E-3</v>
      </c>
      <c r="N651" s="67">
        <v>95.729968017979104</v>
      </c>
      <c r="O651" s="67">
        <v>47.864984008989502</v>
      </c>
      <c r="P651" s="67">
        <v>120.680000796914</v>
      </c>
      <c r="Q651" s="68">
        <v>1.2606292814622999</v>
      </c>
    </row>
    <row r="652" spans="1:17" x14ac:dyDescent="0.35">
      <c r="A652" s="62" t="s">
        <v>136</v>
      </c>
      <c r="B652" s="63">
        <v>873469</v>
      </c>
      <c r="C652" s="63" t="s">
        <v>143</v>
      </c>
      <c r="D652" s="64">
        <v>42567</v>
      </c>
      <c r="E652" s="63" t="s">
        <v>138</v>
      </c>
      <c r="F652" s="65">
        <v>58766</v>
      </c>
      <c r="G652" s="66">
        <v>5.1222758500154598E-3</v>
      </c>
      <c r="H652" s="65">
        <v>182</v>
      </c>
      <c r="I652" s="67">
        <v>0.207086613504436</v>
      </c>
      <c r="J652" s="67">
        <v>1.06075475921526</v>
      </c>
      <c r="K652" s="65">
        <v>70</v>
      </c>
      <c r="L652" s="65">
        <v>9</v>
      </c>
      <c r="M652" s="66">
        <v>7.8740157480314994E-3</v>
      </c>
      <c r="N652" s="67">
        <v>400.46676726748899</v>
      </c>
      <c r="O652" s="67">
        <v>133.48892242249599</v>
      </c>
      <c r="P652" s="67">
        <v>78.899999745190101</v>
      </c>
      <c r="Q652" s="68">
        <v>0.19702009303680701</v>
      </c>
    </row>
    <row r="653" spans="1:17" x14ac:dyDescent="0.35">
      <c r="A653" s="62" t="s">
        <v>136</v>
      </c>
      <c r="B653" s="63">
        <v>873469</v>
      </c>
      <c r="C653" s="63" t="s">
        <v>143</v>
      </c>
      <c r="D653" s="64">
        <v>42568</v>
      </c>
      <c r="E653" s="63" t="s">
        <v>138</v>
      </c>
      <c r="F653" s="65">
        <v>8194</v>
      </c>
      <c r="G653" s="66">
        <v>4.9442771985087402E-3</v>
      </c>
      <c r="H653" s="65">
        <v>590</v>
      </c>
      <c r="I653" s="67">
        <v>0.184193549617644</v>
      </c>
      <c r="J653" s="67">
        <v>0.91070396748690696</v>
      </c>
      <c r="K653" s="65">
        <v>59</v>
      </c>
      <c r="L653" s="65">
        <v>7</v>
      </c>
      <c r="M653" s="66">
        <v>2.4193548387096801E-2</v>
      </c>
      <c r="N653" s="67">
        <v>763.07373416177495</v>
      </c>
      <c r="O653" s="67">
        <v>127.17895569362901</v>
      </c>
      <c r="P653" s="67">
        <v>45.680000305175803</v>
      </c>
      <c r="Q653" s="68">
        <v>5.9863153795163097E-2</v>
      </c>
    </row>
    <row r="654" spans="1:17" x14ac:dyDescent="0.35">
      <c r="A654" s="62" t="s">
        <v>136</v>
      </c>
      <c r="B654" s="63">
        <v>873469</v>
      </c>
      <c r="C654" s="63" t="s">
        <v>143</v>
      </c>
      <c r="D654" s="64">
        <v>42569</v>
      </c>
      <c r="E654" s="63" t="s">
        <v>138</v>
      </c>
      <c r="F654" s="65">
        <v>46989</v>
      </c>
      <c r="G654" s="66">
        <v>5.1512230389203504E-3</v>
      </c>
      <c r="H654" s="65">
        <v>590</v>
      </c>
      <c r="I654" s="67">
        <v>0.17859649087427701</v>
      </c>
      <c r="J654" s="67">
        <v>0.91999035846190202</v>
      </c>
      <c r="K654" s="65">
        <v>13</v>
      </c>
      <c r="L654" s="65">
        <v>7</v>
      </c>
      <c r="M654" s="66">
        <v>1.7543859649122799E-2</v>
      </c>
      <c r="N654" s="67">
        <v>304.73680172251801</v>
      </c>
      <c r="O654" s="67">
        <v>101.578933907506</v>
      </c>
      <c r="P654" s="67">
        <v>30.5399999395013</v>
      </c>
      <c r="Q654" s="68">
        <v>0.10021762966230099</v>
      </c>
    </row>
    <row r="655" spans="1:17" x14ac:dyDescent="0.35">
      <c r="A655" s="62" t="s">
        <v>136</v>
      </c>
      <c r="B655" s="63">
        <v>873469</v>
      </c>
      <c r="C655" s="63" t="s">
        <v>143</v>
      </c>
      <c r="D655" s="64">
        <v>42570</v>
      </c>
      <c r="E655" s="63" t="s">
        <v>138</v>
      </c>
      <c r="F655" s="65">
        <v>64670</v>
      </c>
      <c r="G655" s="66">
        <v>6.3588715893325102E-3</v>
      </c>
      <c r="H655" s="65">
        <v>513</v>
      </c>
      <c r="I655" s="67">
        <v>0.164363637115016</v>
      </c>
      <c r="J655" s="67">
        <v>1.0451672623700301</v>
      </c>
      <c r="K655" s="65">
        <v>38</v>
      </c>
      <c r="L655" s="65">
        <v>11</v>
      </c>
      <c r="M655" s="66">
        <v>3.6363636363636397E-2</v>
      </c>
      <c r="N655" s="67">
        <v>791.38215610960196</v>
      </c>
      <c r="O655" s="67">
        <v>131.89702601826701</v>
      </c>
      <c r="P655" s="67">
        <v>27.1200001239777</v>
      </c>
      <c r="Q655" s="68">
        <v>3.4269157972045203E-2</v>
      </c>
    </row>
    <row r="656" spans="1:17" x14ac:dyDescent="0.35">
      <c r="A656" s="62" t="s">
        <v>136</v>
      </c>
      <c r="B656" s="63">
        <v>873469</v>
      </c>
      <c r="C656" s="63" t="s">
        <v>143</v>
      </c>
      <c r="D656" s="64">
        <v>42571</v>
      </c>
      <c r="E656" s="63" t="s">
        <v>138</v>
      </c>
      <c r="F656" s="65">
        <v>60139</v>
      </c>
      <c r="G656" s="66">
        <v>5.8215350223546902E-3</v>
      </c>
      <c r="H656" s="65">
        <v>283</v>
      </c>
      <c r="I656" s="67">
        <v>0.168960000634193</v>
      </c>
      <c r="J656" s="67">
        <v>0.983606561069028</v>
      </c>
      <c r="K656" s="65">
        <v>83</v>
      </c>
      <c r="L656" s="65">
        <v>3</v>
      </c>
      <c r="M656" s="66">
        <v>2.4E-2</v>
      </c>
      <c r="N656" s="67">
        <v>226.03509378511501</v>
      </c>
      <c r="O656" s="67">
        <v>75.345031261705103</v>
      </c>
      <c r="P656" s="67">
        <v>21.120000079274199</v>
      </c>
      <c r="Q656" s="68">
        <v>9.3436818706356797E-2</v>
      </c>
    </row>
    <row r="657" spans="1:17" x14ac:dyDescent="0.35">
      <c r="A657" s="62" t="s">
        <v>136</v>
      </c>
      <c r="B657" s="63">
        <v>873469</v>
      </c>
      <c r="C657" s="63" t="s">
        <v>143</v>
      </c>
      <c r="D657" s="64">
        <v>42572</v>
      </c>
      <c r="E657" s="63" t="s">
        <v>138</v>
      </c>
      <c r="F657" s="65">
        <v>65253</v>
      </c>
      <c r="G657" s="66">
        <v>6.92908742444346E-3</v>
      </c>
      <c r="H657" s="65">
        <v>195</v>
      </c>
      <c r="I657" s="67">
        <v>0.164255320391756</v>
      </c>
      <c r="J657" s="67">
        <v>1.13813947492445</v>
      </c>
      <c r="K657" s="65">
        <v>53</v>
      </c>
      <c r="L657" s="65">
        <v>0</v>
      </c>
      <c r="M657" s="66">
        <v>0</v>
      </c>
      <c r="N657" s="67">
        <v>0</v>
      </c>
      <c r="O657" s="67">
        <v>0</v>
      </c>
      <c r="P657" s="67">
        <v>23.160000175237698</v>
      </c>
      <c r="Q657" s="68">
        <v>0</v>
      </c>
    </row>
    <row r="658" spans="1:17" x14ac:dyDescent="0.35">
      <c r="A658" s="62" t="s">
        <v>136</v>
      </c>
      <c r="B658" s="63">
        <v>873469</v>
      </c>
      <c r="C658" s="63" t="s">
        <v>143</v>
      </c>
      <c r="D658" s="64">
        <v>42573</v>
      </c>
      <c r="E658" s="63" t="s">
        <v>138</v>
      </c>
      <c r="F658" s="65">
        <v>65162</v>
      </c>
      <c r="G658" s="66">
        <v>6.6644075454648103E-3</v>
      </c>
      <c r="H658" s="65">
        <v>591</v>
      </c>
      <c r="I658" s="67">
        <v>0.179604520274084</v>
      </c>
      <c r="J658" s="67">
        <v>1.1969577201141901</v>
      </c>
      <c r="K658" s="65">
        <v>93</v>
      </c>
      <c r="L658" s="65">
        <v>5</v>
      </c>
      <c r="M658" s="66">
        <v>1.6949152542372899E-2</v>
      </c>
      <c r="N658" s="67">
        <v>186.27366237358501</v>
      </c>
      <c r="O658" s="67">
        <v>62.0912207911949</v>
      </c>
      <c r="P658" s="67">
        <v>31.790000088512901</v>
      </c>
      <c r="Q658" s="68">
        <v>0.17066288214570999</v>
      </c>
    </row>
    <row r="659" spans="1:17" x14ac:dyDescent="0.35">
      <c r="A659" s="62" t="s">
        <v>136</v>
      </c>
      <c r="B659" s="63">
        <v>873469</v>
      </c>
      <c r="C659" s="63" t="s">
        <v>143</v>
      </c>
      <c r="D659" s="64">
        <v>42574</v>
      </c>
      <c r="E659" s="63" t="s">
        <v>138</v>
      </c>
      <c r="F659" s="65">
        <v>15728</v>
      </c>
      <c r="G659" s="66">
        <v>7.2588413375533197E-3</v>
      </c>
      <c r="H659" s="65">
        <v>258</v>
      </c>
      <c r="I659" s="67">
        <v>0.19516587472781199</v>
      </c>
      <c r="J659" s="67">
        <v>1.4166781191539899</v>
      </c>
      <c r="K659" s="65">
        <v>94</v>
      </c>
      <c r="L659" s="65">
        <v>5</v>
      </c>
      <c r="M659" s="66">
        <v>9.4786729857819895E-3</v>
      </c>
      <c r="N659" s="67">
        <v>355.64871375939299</v>
      </c>
      <c r="O659" s="67">
        <v>177.82435687969701</v>
      </c>
      <c r="P659" s="67">
        <v>41.179999567568302</v>
      </c>
      <c r="Q659" s="68">
        <v>0.115788411357584</v>
      </c>
    </row>
    <row r="660" spans="1:17" x14ac:dyDescent="0.35">
      <c r="A660" s="62" t="s">
        <v>136</v>
      </c>
      <c r="B660" s="63">
        <v>873469</v>
      </c>
      <c r="C660" s="63" t="s">
        <v>143</v>
      </c>
      <c r="D660" s="64">
        <v>42575</v>
      </c>
      <c r="E660" s="63" t="s">
        <v>138</v>
      </c>
      <c r="F660" s="65">
        <v>17363</v>
      </c>
      <c r="G660" s="66">
        <v>8.1618854438327108E-3</v>
      </c>
      <c r="H660" s="65">
        <v>310</v>
      </c>
      <c r="I660" s="67">
        <v>0.18606509396133999</v>
      </c>
      <c r="J660" s="67">
        <v>1.51864198200843</v>
      </c>
      <c r="K660" s="65">
        <v>53</v>
      </c>
      <c r="L660" s="65">
        <v>3</v>
      </c>
      <c r="M660" s="66">
        <v>2.9585798816567999E-3</v>
      </c>
      <c r="N660" s="67">
        <v>107.05333086189</v>
      </c>
      <c r="O660" s="67">
        <v>107.05333086189</v>
      </c>
      <c r="P660" s="67">
        <v>62.890001758933103</v>
      </c>
      <c r="Q660" s="68">
        <v>0.58746422229559103</v>
      </c>
    </row>
    <row r="661" spans="1:17" x14ac:dyDescent="0.35">
      <c r="A661" s="62" t="s">
        <v>136</v>
      </c>
      <c r="B661" s="63">
        <v>873469</v>
      </c>
      <c r="C661" s="63" t="s">
        <v>143</v>
      </c>
      <c r="D661" s="64">
        <v>42576</v>
      </c>
      <c r="E661" s="63" t="s">
        <v>138</v>
      </c>
      <c r="F661" s="65">
        <v>29145</v>
      </c>
      <c r="G661" s="66">
        <v>5.6967120064397598E-3</v>
      </c>
      <c r="H661" s="65">
        <v>323</v>
      </c>
      <c r="I661" s="67">
        <v>0.20416667174709899</v>
      </c>
      <c r="J661" s="67">
        <v>1.16307873025654</v>
      </c>
      <c r="K661" s="65">
        <v>36</v>
      </c>
      <c r="L661" s="65">
        <v>7</v>
      </c>
      <c r="M661" s="66">
        <v>1.0869565217391301E-2</v>
      </c>
      <c r="N661" s="67">
        <v>365.32975858862602</v>
      </c>
      <c r="O661" s="67">
        <v>121.776586196209</v>
      </c>
      <c r="P661" s="67">
        <v>56.350001402199297</v>
      </c>
      <c r="Q661" s="68">
        <v>0.15424421382998099</v>
      </c>
    </row>
    <row r="662" spans="1:17" x14ac:dyDescent="0.35">
      <c r="A662" s="62" t="s">
        <v>136</v>
      </c>
      <c r="B662" s="63">
        <v>873469</v>
      </c>
      <c r="C662" s="63" t="s">
        <v>143</v>
      </c>
      <c r="D662" s="64">
        <v>42577</v>
      </c>
      <c r="E662" s="63" t="s">
        <v>138</v>
      </c>
      <c r="F662" s="65">
        <v>59895</v>
      </c>
      <c r="G662" s="66">
        <v>8.62227114290956E-3</v>
      </c>
      <c r="H662" s="65">
        <v>509</v>
      </c>
      <c r="I662" s="67">
        <v>0.18361702355298601</v>
      </c>
      <c r="J662" s="67">
        <v>1.58319576352786</v>
      </c>
      <c r="K662" s="65">
        <v>49</v>
      </c>
      <c r="L662" s="65">
        <v>7</v>
      </c>
      <c r="M662" s="66">
        <v>1.77304964539007E-2</v>
      </c>
      <c r="N662" s="67">
        <v>358.717268242194</v>
      </c>
      <c r="O662" s="67">
        <v>71.743453648438901</v>
      </c>
      <c r="P662" s="67">
        <v>51.780000641942003</v>
      </c>
      <c r="Q662" s="68">
        <v>0.14434766660572901</v>
      </c>
    </row>
    <row r="663" spans="1:17" x14ac:dyDescent="0.35">
      <c r="A663" s="62" t="s">
        <v>136</v>
      </c>
      <c r="B663" s="63">
        <v>873469</v>
      </c>
      <c r="C663" s="63" t="s">
        <v>143</v>
      </c>
      <c r="D663" s="64">
        <v>42578</v>
      </c>
      <c r="E663" s="63" t="s">
        <v>138</v>
      </c>
      <c r="F663" s="65">
        <v>1440</v>
      </c>
      <c r="G663" s="66">
        <v>7.1337367456836701E-3</v>
      </c>
      <c r="H663" s="65">
        <v>282</v>
      </c>
      <c r="I663" s="67">
        <v>0.18392996327654401</v>
      </c>
      <c r="J663" s="67">
        <v>1.3121079376581299</v>
      </c>
      <c r="K663" s="65">
        <v>24</v>
      </c>
      <c r="L663" s="65">
        <v>2</v>
      </c>
      <c r="M663" s="66">
        <v>3.8910505836575902E-3</v>
      </c>
      <c r="N663" s="67">
        <v>105.238136398997</v>
      </c>
      <c r="O663" s="67">
        <v>105.238136398997</v>
      </c>
      <c r="P663" s="67">
        <v>47.2700005620718</v>
      </c>
      <c r="Q663" s="68">
        <v>0.449171775361486</v>
      </c>
    </row>
    <row r="664" spans="1:17" x14ac:dyDescent="0.35">
      <c r="A664" s="62" t="s">
        <v>136</v>
      </c>
      <c r="B664" s="63">
        <v>873469</v>
      </c>
      <c r="C664" s="63" t="s">
        <v>143</v>
      </c>
      <c r="D664" s="64">
        <v>42579</v>
      </c>
      <c r="E664" s="63" t="s">
        <v>138</v>
      </c>
      <c r="F664" s="65">
        <v>46951</v>
      </c>
      <c r="G664" s="66">
        <v>7.3288590604026803E-3</v>
      </c>
      <c r="H664" s="65">
        <v>557</v>
      </c>
      <c r="I664" s="67">
        <v>0.19439560758980201</v>
      </c>
      <c r="J664" s="67">
        <v>1.4246980099870099</v>
      </c>
      <c r="K664" s="65">
        <v>55</v>
      </c>
      <c r="L664" s="65">
        <v>1</v>
      </c>
      <c r="M664" s="66">
        <v>3.66300366300366E-3</v>
      </c>
      <c r="N664" s="67">
        <v>272.06327253868102</v>
      </c>
      <c r="O664" s="67">
        <v>272.06327253868102</v>
      </c>
      <c r="P664" s="67">
        <v>53.070000872016003</v>
      </c>
      <c r="Q664" s="68">
        <v>0.19506492139423401</v>
      </c>
    </row>
    <row r="665" spans="1:17" x14ac:dyDescent="0.35">
      <c r="A665" s="62" t="s">
        <v>136</v>
      </c>
      <c r="B665" s="63">
        <v>873469</v>
      </c>
      <c r="C665" s="63" t="s">
        <v>143</v>
      </c>
      <c r="D665" s="64">
        <v>42580</v>
      </c>
      <c r="E665" s="63" t="s">
        <v>138</v>
      </c>
      <c r="F665" s="65">
        <v>17528</v>
      </c>
      <c r="G665" s="66">
        <v>7.3765299658758903E-3</v>
      </c>
      <c r="H665" s="65">
        <v>293</v>
      </c>
      <c r="I665" s="67">
        <v>0.18734072095139201</v>
      </c>
      <c r="J665" s="67">
        <v>1.38192444192674</v>
      </c>
      <c r="K665" s="65">
        <v>92</v>
      </c>
      <c r="L665" s="65">
        <v>3</v>
      </c>
      <c r="M665" s="66">
        <v>5.5401662049861496E-3</v>
      </c>
      <c r="N665" s="67">
        <v>339.355185178417</v>
      </c>
      <c r="O665" s="67">
        <v>169.67759258920799</v>
      </c>
      <c r="P665" s="67">
        <v>67.630000263452501</v>
      </c>
      <c r="Q665" s="68">
        <v>0.19928972126327099</v>
      </c>
    </row>
    <row r="666" spans="1:17" x14ac:dyDescent="0.35">
      <c r="A666" s="62" t="s">
        <v>136</v>
      </c>
      <c r="B666" s="63">
        <v>873469</v>
      </c>
      <c r="C666" s="63" t="s">
        <v>143</v>
      </c>
      <c r="D666" s="64">
        <v>42581</v>
      </c>
      <c r="E666" s="63" t="s">
        <v>138</v>
      </c>
      <c r="F666" s="65">
        <v>35667</v>
      </c>
      <c r="G666" s="66">
        <v>7.8923200551027396E-3</v>
      </c>
      <c r="H666" s="65">
        <v>236</v>
      </c>
      <c r="I666" s="67">
        <v>0.19360000275752801</v>
      </c>
      <c r="J666" s="67">
        <v>1.52795318443118</v>
      </c>
      <c r="K666" s="65">
        <v>71</v>
      </c>
      <c r="L666" s="65">
        <v>3</v>
      </c>
      <c r="M666" s="66">
        <v>5.4545454545454602E-3</v>
      </c>
      <c r="N666" s="67">
        <v>532.630307433908</v>
      </c>
      <c r="O666" s="67">
        <v>177.543435811303</v>
      </c>
      <c r="P666" s="67">
        <v>106.48000151664</v>
      </c>
      <c r="Q666" s="68">
        <v>0.199913523565035</v>
      </c>
    </row>
    <row r="667" spans="1:17" x14ac:dyDescent="0.35">
      <c r="A667" s="62" t="s">
        <v>136</v>
      </c>
      <c r="B667" s="63">
        <v>873469</v>
      </c>
      <c r="C667" s="63" t="s">
        <v>143</v>
      </c>
      <c r="D667" s="64">
        <v>42582</v>
      </c>
      <c r="E667" s="63" t="s">
        <v>138</v>
      </c>
      <c r="F667" s="65">
        <v>39923</v>
      </c>
      <c r="G667" s="66">
        <v>5.9475993326330101E-3</v>
      </c>
      <c r="H667" s="65">
        <v>546</v>
      </c>
      <c r="I667" s="67">
        <v>0.194519483230331</v>
      </c>
      <c r="J667" s="67">
        <v>1.1569239486448299</v>
      </c>
      <c r="K667" s="65">
        <v>14</v>
      </c>
      <c r="L667" s="65">
        <v>1</v>
      </c>
      <c r="M667" s="66">
        <v>0</v>
      </c>
      <c r="N667" s="67">
        <v>0</v>
      </c>
      <c r="O667" s="67">
        <v>0</v>
      </c>
      <c r="P667" s="67">
        <v>74.890001043677302</v>
      </c>
      <c r="Q667" s="68">
        <v>0</v>
      </c>
    </row>
    <row r="668" spans="1:17" x14ac:dyDescent="0.35">
      <c r="A668" s="62" t="s">
        <v>136</v>
      </c>
      <c r="B668" s="63">
        <v>873469</v>
      </c>
      <c r="C668" s="63" t="s">
        <v>143</v>
      </c>
      <c r="D668" s="64">
        <v>42583</v>
      </c>
      <c r="E668" s="63" t="s">
        <v>138</v>
      </c>
      <c r="F668" s="65">
        <v>25691</v>
      </c>
      <c r="G668" s="66">
        <v>6.47111413853293E-3</v>
      </c>
      <c r="H668" s="65">
        <v>528</v>
      </c>
      <c r="I668" s="67">
        <v>0.18787280957034799</v>
      </c>
      <c r="J668" s="67">
        <v>1.21574639425658</v>
      </c>
      <c r="K668" s="65">
        <v>29</v>
      </c>
      <c r="L668" s="65">
        <v>3</v>
      </c>
      <c r="M668" s="66">
        <v>2.1929824561403499E-3</v>
      </c>
      <c r="N668" s="67">
        <v>102.47456326446</v>
      </c>
      <c r="O668" s="67">
        <v>102.47456326446</v>
      </c>
      <c r="P668" s="67">
        <v>85.670001164078698</v>
      </c>
      <c r="Q668" s="68">
        <v>0.83601235696888598</v>
      </c>
    </row>
    <row r="669" spans="1:17" x14ac:dyDescent="0.35">
      <c r="A669" s="62" t="s">
        <v>136</v>
      </c>
      <c r="B669" s="63">
        <v>873469</v>
      </c>
      <c r="C669" s="63" t="s">
        <v>143</v>
      </c>
      <c r="D669" s="64">
        <v>42584</v>
      </c>
      <c r="E669" s="63" t="s">
        <v>138</v>
      </c>
      <c r="F669" s="65">
        <v>31989</v>
      </c>
      <c r="G669" s="66">
        <v>5.5779932379987603E-3</v>
      </c>
      <c r="H669" s="65">
        <v>233</v>
      </c>
      <c r="I669" s="67">
        <v>0.19403302263609101</v>
      </c>
      <c r="J669" s="67">
        <v>1.0823148882125799</v>
      </c>
      <c r="K669" s="65">
        <v>18</v>
      </c>
      <c r="L669" s="65">
        <v>6</v>
      </c>
      <c r="M669" s="66">
        <v>9.4339622641509396E-3</v>
      </c>
      <c r="N669" s="67">
        <v>764.95945176126099</v>
      </c>
      <c r="O669" s="67">
        <v>191.23986294031499</v>
      </c>
      <c r="P669" s="67">
        <v>82.270001597702503</v>
      </c>
      <c r="Q669" s="68">
        <v>0.107548186257823</v>
      </c>
    </row>
    <row r="670" spans="1:17" x14ac:dyDescent="0.35">
      <c r="A670" s="62" t="s">
        <v>136</v>
      </c>
      <c r="B670" s="63">
        <v>873469</v>
      </c>
      <c r="C670" s="63" t="s">
        <v>143</v>
      </c>
      <c r="D670" s="64">
        <v>42585</v>
      </c>
      <c r="E670" s="63" t="s">
        <v>138</v>
      </c>
      <c r="F670" s="65">
        <v>26428</v>
      </c>
      <c r="G670" s="66">
        <v>5.8975357240703104E-3</v>
      </c>
      <c r="H670" s="65">
        <v>496</v>
      </c>
      <c r="I670" s="67">
        <v>0.178924207272769</v>
      </c>
      <c r="J670" s="67">
        <v>1.05521190429211</v>
      </c>
      <c r="K670" s="65">
        <v>73</v>
      </c>
      <c r="L670" s="65">
        <v>2</v>
      </c>
      <c r="M670" s="66">
        <v>2.4449877750611199E-3</v>
      </c>
      <c r="N670" s="67">
        <v>28.3669611362984</v>
      </c>
      <c r="O670" s="67">
        <v>28.3669611362984</v>
      </c>
      <c r="P670" s="67">
        <v>73.180000774562401</v>
      </c>
      <c r="Q670" s="68">
        <v>2.5797617313657599</v>
      </c>
    </row>
    <row r="671" spans="1:17" x14ac:dyDescent="0.35">
      <c r="A671" s="62" t="s">
        <v>136</v>
      </c>
      <c r="B671" s="63">
        <v>873469</v>
      </c>
      <c r="C671" s="63" t="s">
        <v>143</v>
      </c>
      <c r="D671" s="64">
        <v>42586</v>
      </c>
      <c r="E671" s="63" t="s">
        <v>138</v>
      </c>
      <c r="F671" s="65">
        <v>45297</v>
      </c>
      <c r="G671" s="66">
        <v>5.55479122239802E-3</v>
      </c>
      <c r="H671" s="65">
        <v>388</v>
      </c>
      <c r="I671" s="67">
        <v>0.20439629016830499</v>
      </c>
      <c r="J671" s="67">
        <v>1.1353787185176201</v>
      </c>
      <c r="K671" s="65">
        <v>52</v>
      </c>
      <c r="L671" s="65">
        <v>2</v>
      </c>
      <c r="M671" s="66">
        <v>3.09597523219814E-3</v>
      </c>
      <c r="N671" s="67">
        <v>83.290221136507199</v>
      </c>
      <c r="O671" s="67">
        <v>83.290221136507199</v>
      </c>
      <c r="P671" s="67">
        <v>66.020001724362402</v>
      </c>
      <c r="Q671" s="68">
        <v>0.79265009533543995</v>
      </c>
    </row>
    <row r="672" spans="1:17" x14ac:dyDescent="0.35">
      <c r="A672" s="62" t="s">
        <v>136</v>
      </c>
      <c r="B672" s="63">
        <v>873469</v>
      </c>
      <c r="C672" s="63" t="s">
        <v>143</v>
      </c>
      <c r="D672" s="64">
        <v>42587</v>
      </c>
      <c r="E672" s="63" t="s">
        <v>138</v>
      </c>
      <c r="F672" s="65">
        <v>31602</v>
      </c>
      <c r="G672" s="66">
        <v>6.1242953580624999E-3</v>
      </c>
      <c r="H672" s="65">
        <v>203</v>
      </c>
      <c r="I672" s="67">
        <v>0.208579551343891</v>
      </c>
      <c r="J672" s="67">
        <v>1.27740277808215</v>
      </c>
      <c r="K672" s="65">
        <v>21</v>
      </c>
      <c r="L672" s="65">
        <v>3</v>
      </c>
      <c r="M672" s="66">
        <v>5.6818181818181802E-3</v>
      </c>
      <c r="N672" s="67">
        <v>235.04052949087401</v>
      </c>
      <c r="O672" s="67">
        <v>117.520264745437</v>
      </c>
      <c r="P672" s="67">
        <v>73.420002073049503</v>
      </c>
      <c r="Q672" s="68">
        <v>0.31237166726983701</v>
      </c>
    </row>
    <row r="673" spans="1:17" x14ac:dyDescent="0.35">
      <c r="A673" s="62" t="s">
        <v>136</v>
      </c>
      <c r="B673" s="63">
        <v>873469</v>
      </c>
      <c r="C673" s="63" t="s">
        <v>143</v>
      </c>
      <c r="D673" s="64">
        <v>42588</v>
      </c>
      <c r="E673" s="63" t="s">
        <v>138</v>
      </c>
      <c r="F673" s="65">
        <v>23726</v>
      </c>
      <c r="G673" s="66">
        <v>4.54756860110589E-3</v>
      </c>
      <c r="H673" s="65">
        <v>342</v>
      </c>
      <c r="I673" s="67">
        <v>0.193143941744259</v>
      </c>
      <c r="J673" s="67">
        <v>0.87833532497001598</v>
      </c>
      <c r="K673" s="65">
        <v>11</v>
      </c>
      <c r="L673" s="65">
        <v>4</v>
      </c>
      <c r="M673" s="66">
        <v>1.13636363636364E-2</v>
      </c>
      <c r="N673" s="67">
        <v>334.15244270715499</v>
      </c>
      <c r="O673" s="67">
        <v>111.384147569052</v>
      </c>
      <c r="P673" s="67">
        <v>50.990000620484402</v>
      </c>
      <c r="Q673" s="68">
        <v>0.15259502581332601</v>
      </c>
    </row>
    <row r="674" spans="1:17" x14ac:dyDescent="0.35">
      <c r="A674" s="62" t="s">
        <v>136</v>
      </c>
      <c r="B674" s="63">
        <v>873469</v>
      </c>
      <c r="C674" s="63" t="s">
        <v>143</v>
      </c>
      <c r="D674" s="64">
        <v>42589</v>
      </c>
      <c r="E674" s="63" t="s">
        <v>138</v>
      </c>
      <c r="F674" s="65">
        <v>14648</v>
      </c>
      <c r="G674" s="66">
        <v>5.6532779744582996E-3</v>
      </c>
      <c r="H674" s="65">
        <v>486</v>
      </c>
      <c r="I674" s="67">
        <v>0.21275410139169801</v>
      </c>
      <c r="J674" s="67">
        <v>1.20275807537336</v>
      </c>
      <c r="K674" s="65">
        <v>97</v>
      </c>
      <c r="L674" s="65">
        <v>4</v>
      </c>
      <c r="M674" s="66">
        <v>9.8360655737704892E-3</v>
      </c>
      <c r="N674" s="67">
        <v>180.720819195996</v>
      </c>
      <c r="O674" s="67">
        <v>60.240273065331799</v>
      </c>
      <c r="P674" s="67">
        <v>64.890000924467998</v>
      </c>
      <c r="Q674" s="68">
        <v>0.35906212252221698</v>
      </c>
    </row>
    <row r="675" spans="1:17" x14ac:dyDescent="0.35">
      <c r="A675" s="62" t="s">
        <v>136</v>
      </c>
      <c r="B675" s="63">
        <v>873469</v>
      </c>
      <c r="C675" s="63" t="s">
        <v>143</v>
      </c>
      <c r="D675" s="64">
        <v>42590</v>
      </c>
      <c r="E675" s="63" t="s">
        <v>138</v>
      </c>
      <c r="F675" s="65">
        <v>34444</v>
      </c>
      <c r="G675" s="66">
        <v>5.4035626012102602E-3</v>
      </c>
      <c r="H675" s="65">
        <v>549</v>
      </c>
      <c r="I675" s="67">
        <v>0.20665615644270699</v>
      </c>
      <c r="J675" s="67">
        <v>1.11667947826367</v>
      </c>
      <c r="K675" s="65">
        <v>64</v>
      </c>
      <c r="L675" s="65">
        <v>5</v>
      </c>
      <c r="M675" s="66">
        <v>6.3091482649842304E-3</v>
      </c>
      <c r="N675" s="67">
        <v>471.93482161020501</v>
      </c>
      <c r="O675" s="67">
        <v>235.96741080510199</v>
      </c>
      <c r="P675" s="67">
        <v>65.510001592338099</v>
      </c>
      <c r="Q675" s="68">
        <v>0.138811544714635</v>
      </c>
    </row>
    <row r="676" spans="1:17" x14ac:dyDescent="0.35">
      <c r="A676" s="62" t="s">
        <v>136</v>
      </c>
      <c r="B676" s="63">
        <v>873469</v>
      </c>
      <c r="C676" s="63" t="s">
        <v>143</v>
      </c>
      <c r="D676" s="64">
        <v>42591</v>
      </c>
      <c r="E676" s="63" t="s">
        <v>138</v>
      </c>
      <c r="F676" s="65">
        <v>33025</v>
      </c>
      <c r="G676" s="66">
        <v>5.0587045010705598E-3</v>
      </c>
      <c r="H676" s="65">
        <v>151</v>
      </c>
      <c r="I676" s="67">
        <v>0.198604654711346</v>
      </c>
      <c r="J676" s="67">
        <v>1.00468226072185</v>
      </c>
      <c r="K676" s="65">
        <v>29</v>
      </c>
      <c r="L676" s="65">
        <v>2</v>
      </c>
      <c r="M676" s="66">
        <v>4.65116279069767E-3</v>
      </c>
      <c r="N676" s="67">
        <v>49.922401729504102</v>
      </c>
      <c r="O676" s="67">
        <v>49.922401729504102</v>
      </c>
      <c r="P676" s="67">
        <v>42.700000762939503</v>
      </c>
      <c r="Q676" s="68">
        <v>0.855327453881365</v>
      </c>
    </row>
    <row r="677" spans="1:17" x14ac:dyDescent="0.35">
      <c r="A677" s="62" t="s">
        <v>136</v>
      </c>
      <c r="B677" s="63">
        <v>873469</v>
      </c>
      <c r="C677" s="63" t="s">
        <v>143</v>
      </c>
      <c r="D677" s="64">
        <v>42592</v>
      </c>
      <c r="E677" s="63" t="s">
        <v>138</v>
      </c>
      <c r="F677" s="65">
        <v>66895</v>
      </c>
      <c r="G677" s="66">
        <v>4.8355899419729202E-3</v>
      </c>
      <c r="H677" s="65">
        <v>401</v>
      </c>
      <c r="I677" s="67">
        <v>0.204387100810005</v>
      </c>
      <c r="J677" s="67">
        <v>0.98833220894586504</v>
      </c>
      <c r="K677" s="65">
        <v>59</v>
      </c>
      <c r="L677" s="65">
        <v>8</v>
      </c>
      <c r="M677" s="66">
        <v>2.5806451612903201E-2</v>
      </c>
      <c r="N677" s="67">
        <v>708.785980482475</v>
      </c>
      <c r="O677" s="67">
        <v>177.19649512061901</v>
      </c>
      <c r="P677" s="67">
        <v>31.680000625550701</v>
      </c>
      <c r="Q677" s="68">
        <v>4.46961445315072E-2</v>
      </c>
    </row>
    <row r="678" spans="1:17" x14ac:dyDescent="0.35">
      <c r="A678" s="62" t="s">
        <v>136</v>
      </c>
      <c r="B678" s="63">
        <v>873469</v>
      </c>
      <c r="C678" s="63" t="s">
        <v>143</v>
      </c>
      <c r="D678" s="64">
        <v>42593</v>
      </c>
      <c r="E678" s="63" t="s">
        <v>138</v>
      </c>
      <c r="F678" s="65">
        <v>41459</v>
      </c>
      <c r="G678" s="66">
        <v>6.1573003129677499E-3</v>
      </c>
      <c r="H678" s="65">
        <v>282</v>
      </c>
      <c r="I678" s="67">
        <v>0.17204420070951201</v>
      </c>
      <c r="J678" s="67">
        <v>1.05932781087296</v>
      </c>
      <c r="K678" s="65">
        <v>24</v>
      </c>
      <c r="L678" s="65">
        <v>1</v>
      </c>
      <c r="M678" s="66">
        <v>5.5248618784530402E-3</v>
      </c>
      <c r="N678" s="67">
        <v>112.73495430246599</v>
      </c>
      <c r="O678" s="67">
        <v>112.73495430246599</v>
      </c>
      <c r="P678" s="67">
        <v>31.1400003284216</v>
      </c>
      <c r="Q678" s="68">
        <v>0.27622311572392599</v>
      </c>
    </row>
    <row r="679" spans="1:17" x14ac:dyDescent="0.35">
      <c r="A679" s="62" t="s">
        <v>136</v>
      </c>
      <c r="B679" s="63">
        <v>873469</v>
      </c>
      <c r="C679" s="63" t="s">
        <v>143</v>
      </c>
      <c r="D679" s="64">
        <v>42594</v>
      </c>
      <c r="E679" s="63" t="s">
        <v>138</v>
      </c>
      <c r="F679" s="65">
        <v>40653</v>
      </c>
      <c r="G679" s="66">
        <v>6.2103113547989997E-3</v>
      </c>
      <c r="H679" s="65">
        <v>444</v>
      </c>
      <c r="I679" s="67">
        <v>0.19590090362875301</v>
      </c>
      <c r="J679" s="67">
        <v>1.21660560622103</v>
      </c>
      <c r="K679" s="65">
        <v>68</v>
      </c>
      <c r="L679" s="65">
        <v>1</v>
      </c>
      <c r="M679" s="66">
        <v>0</v>
      </c>
      <c r="N679" s="67">
        <v>0</v>
      </c>
      <c r="O679" s="67">
        <v>0</v>
      </c>
      <c r="P679" s="67">
        <v>43.490000605583198</v>
      </c>
      <c r="Q679" s="68">
        <v>0</v>
      </c>
    </row>
    <row r="680" spans="1:17" x14ac:dyDescent="0.35">
      <c r="A680" s="62" t="s">
        <v>136</v>
      </c>
      <c r="B680" s="63">
        <v>873469</v>
      </c>
      <c r="C680" s="63" t="s">
        <v>143</v>
      </c>
      <c r="D680" s="64">
        <v>42595</v>
      </c>
      <c r="E680" s="63" t="s">
        <v>138</v>
      </c>
      <c r="F680" s="65">
        <v>9382</v>
      </c>
      <c r="G680" s="66">
        <v>5.2235078664779801E-3</v>
      </c>
      <c r="H680" s="65">
        <v>500</v>
      </c>
      <c r="I680" s="67">
        <v>0.18549801133187199</v>
      </c>
      <c r="J680" s="67">
        <v>0.96895032140805404</v>
      </c>
      <c r="K680" s="65">
        <v>68</v>
      </c>
      <c r="L680" s="65">
        <v>2</v>
      </c>
      <c r="M680" s="66">
        <v>7.9681274900398405E-3</v>
      </c>
      <c r="N680" s="67">
        <v>130.02242028949601</v>
      </c>
      <c r="O680" s="67">
        <v>65.011210144748205</v>
      </c>
      <c r="P680" s="67">
        <v>46.5600008442998</v>
      </c>
      <c r="Q680" s="68">
        <v>0.35809209473745701</v>
      </c>
    </row>
    <row r="681" spans="1:17" x14ac:dyDescent="0.35">
      <c r="A681" s="62" t="s">
        <v>136</v>
      </c>
      <c r="B681" s="63">
        <v>873469</v>
      </c>
      <c r="C681" s="63" t="s">
        <v>143</v>
      </c>
      <c r="D681" s="64">
        <v>42596</v>
      </c>
      <c r="E681" s="63" t="s">
        <v>138</v>
      </c>
      <c r="F681" s="65">
        <v>68886</v>
      </c>
      <c r="G681" s="66">
        <v>5.2759530336729896E-3</v>
      </c>
      <c r="H681" s="65">
        <v>295</v>
      </c>
      <c r="I681" s="67">
        <v>0.201617650578127</v>
      </c>
      <c r="J681" s="67">
        <v>1.0637252552096901</v>
      </c>
      <c r="K681" s="65">
        <v>28</v>
      </c>
      <c r="L681" s="65">
        <v>2</v>
      </c>
      <c r="M681" s="66">
        <v>4.9019607843137298E-3</v>
      </c>
      <c r="N681" s="67">
        <v>17.201242251198</v>
      </c>
      <c r="O681" s="67">
        <v>17.201242251198</v>
      </c>
      <c r="P681" s="67">
        <v>41.130000717937897</v>
      </c>
      <c r="Q681" s="68">
        <v>2.3911064164609002</v>
      </c>
    </row>
    <row r="682" spans="1:17" x14ac:dyDescent="0.35">
      <c r="A682" s="62" t="s">
        <v>136</v>
      </c>
      <c r="B682" s="63">
        <v>873469</v>
      </c>
      <c r="C682" s="63" t="s">
        <v>143</v>
      </c>
      <c r="D682" s="64">
        <v>42597</v>
      </c>
      <c r="E682" s="63" t="s">
        <v>138</v>
      </c>
      <c r="F682" s="65">
        <v>49167</v>
      </c>
      <c r="G682" s="66">
        <v>4.9130995516796696E-3</v>
      </c>
      <c r="H682" s="65">
        <v>425</v>
      </c>
      <c r="I682" s="67">
        <v>0.18925000410526999</v>
      </c>
      <c r="J682" s="67">
        <v>0.92980411032497601</v>
      </c>
      <c r="K682" s="65">
        <v>77</v>
      </c>
      <c r="L682" s="65">
        <v>5</v>
      </c>
      <c r="M682" s="66">
        <v>1.2500000000000001E-2</v>
      </c>
      <c r="N682" s="67">
        <v>51.603725109044397</v>
      </c>
      <c r="O682" s="67">
        <v>25.801862554522199</v>
      </c>
      <c r="P682" s="67">
        <v>30.2800006568432</v>
      </c>
      <c r="Q682" s="68">
        <v>0.58677935735953501</v>
      </c>
    </row>
    <row r="683" spans="1:17" x14ac:dyDescent="0.35">
      <c r="A683" s="62" t="s">
        <v>136</v>
      </c>
      <c r="B683" s="63">
        <v>873469</v>
      </c>
      <c r="C683" s="63" t="s">
        <v>143</v>
      </c>
      <c r="D683" s="64">
        <v>42598</v>
      </c>
      <c r="E683" s="63" t="s">
        <v>138</v>
      </c>
      <c r="F683" s="65">
        <v>19704</v>
      </c>
      <c r="G683" s="66">
        <v>6.4587434808137303E-3</v>
      </c>
      <c r="H683" s="65">
        <v>166</v>
      </c>
      <c r="I683" s="67">
        <v>0.220695187860632</v>
      </c>
      <c r="J683" s="67">
        <v>1.4254136058418201</v>
      </c>
      <c r="K683" s="65">
        <v>82</v>
      </c>
      <c r="L683" s="65">
        <v>3</v>
      </c>
      <c r="M683" s="66">
        <v>5.3475935828877002E-3</v>
      </c>
      <c r="N683" s="67">
        <v>34.445594725762597</v>
      </c>
      <c r="O683" s="67">
        <v>34.445594725762597</v>
      </c>
      <c r="P683" s="67">
        <v>41.270000129938097</v>
      </c>
      <c r="Q683" s="68">
        <v>1.19812128251835</v>
      </c>
    </row>
    <row r="684" spans="1:17" x14ac:dyDescent="0.35">
      <c r="A684" s="62" t="s">
        <v>136</v>
      </c>
      <c r="B684" s="63">
        <v>873469</v>
      </c>
      <c r="C684" s="63" t="s">
        <v>143</v>
      </c>
      <c r="D684" s="64">
        <v>42599</v>
      </c>
      <c r="E684" s="63" t="s">
        <v>138</v>
      </c>
      <c r="F684" s="65">
        <v>39031</v>
      </c>
      <c r="G684" s="66">
        <v>5.8770165266437899E-3</v>
      </c>
      <c r="H684" s="65">
        <v>479</v>
      </c>
      <c r="I684" s="67">
        <v>0.162416111602879</v>
      </c>
      <c r="J684" s="67">
        <v>0.954522172083343</v>
      </c>
      <c r="K684" s="65">
        <v>15</v>
      </c>
      <c r="L684" s="65">
        <v>4</v>
      </c>
      <c r="M684" s="66">
        <v>1.34228187919463E-2</v>
      </c>
      <c r="N684" s="67">
        <v>106.742541159735</v>
      </c>
      <c r="O684" s="67">
        <v>53.371270579867499</v>
      </c>
      <c r="P684" s="67">
        <v>24.200000628828999</v>
      </c>
      <c r="Q684" s="68">
        <v>0.22671373911376999</v>
      </c>
    </row>
    <row r="685" spans="1:17" x14ac:dyDescent="0.35">
      <c r="A685" s="62" t="s">
        <v>136</v>
      </c>
      <c r="B685" s="63">
        <v>873469</v>
      </c>
      <c r="C685" s="63" t="s">
        <v>143</v>
      </c>
      <c r="D685" s="64">
        <v>42600</v>
      </c>
      <c r="E685" s="63" t="s">
        <v>138</v>
      </c>
      <c r="F685" s="65">
        <v>31663</v>
      </c>
      <c r="G685" s="66">
        <v>7.0702794242167698E-3</v>
      </c>
      <c r="H685" s="65">
        <v>506</v>
      </c>
      <c r="I685" s="67">
        <v>0.17754491543520001</v>
      </c>
      <c r="J685" s="67">
        <v>1.2552921624758</v>
      </c>
      <c r="K685" s="65">
        <v>99</v>
      </c>
      <c r="L685" s="65">
        <v>1</v>
      </c>
      <c r="M685" s="66">
        <v>0</v>
      </c>
      <c r="N685" s="67">
        <v>0</v>
      </c>
      <c r="O685" s="67">
        <v>0</v>
      </c>
      <c r="P685" s="67">
        <v>29.650000877678401</v>
      </c>
      <c r="Q685" s="68">
        <v>0</v>
      </c>
    </row>
    <row r="686" spans="1:17" x14ac:dyDescent="0.35">
      <c r="A686" s="62" t="s">
        <v>136</v>
      </c>
      <c r="B686" s="63">
        <v>873469</v>
      </c>
      <c r="C686" s="63" t="s">
        <v>143</v>
      </c>
      <c r="D686" s="64">
        <v>42601</v>
      </c>
      <c r="E686" s="63" t="s">
        <v>138</v>
      </c>
      <c r="F686" s="65">
        <v>31892</v>
      </c>
      <c r="G686" s="66">
        <v>6.8720236301163399E-3</v>
      </c>
      <c r="H686" s="65">
        <v>473</v>
      </c>
      <c r="I686" s="67">
        <v>0.14372807486276901</v>
      </c>
      <c r="J686" s="67">
        <v>0.98770272676807802</v>
      </c>
      <c r="K686" s="65">
        <v>33</v>
      </c>
      <c r="L686" s="65">
        <v>2</v>
      </c>
      <c r="M686" s="66">
        <v>4.3859649122806998E-3</v>
      </c>
      <c r="N686" s="67">
        <v>86.1786488603571</v>
      </c>
      <c r="O686" s="67">
        <v>86.1786488603571</v>
      </c>
      <c r="P686" s="67">
        <v>32.770001068711302</v>
      </c>
      <c r="Q686" s="68">
        <v>0.380256612305577</v>
      </c>
    </row>
    <row r="687" spans="1:17" x14ac:dyDescent="0.35">
      <c r="A687" s="62" t="s">
        <v>136</v>
      </c>
      <c r="B687" s="63">
        <v>873469</v>
      </c>
      <c r="C687" s="63" t="s">
        <v>143</v>
      </c>
      <c r="D687" s="64">
        <v>42602</v>
      </c>
      <c r="E687" s="63" t="s">
        <v>138</v>
      </c>
      <c r="F687" s="65">
        <v>10912</v>
      </c>
      <c r="G687" s="66">
        <v>5.49867273416761E-3</v>
      </c>
      <c r="H687" s="65">
        <v>586</v>
      </c>
      <c r="I687" s="67">
        <v>0.14733990634162999</v>
      </c>
      <c r="J687" s="67">
        <v>0.81017392565553203</v>
      </c>
      <c r="K687" s="65">
        <v>72</v>
      </c>
      <c r="L687" s="65">
        <v>3</v>
      </c>
      <c r="M687" s="66">
        <v>0</v>
      </c>
      <c r="N687" s="67">
        <v>0</v>
      </c>
      <c r="O687" s="67">
        <v>0</v>
      </c>
      <c r="P687" s="67">
        <v>29.910000987350902</v>
      </c>
      <c r="Q687" s="68">
        <v>0</v>
      </c>
    </row>
    <row r="688" spans="1:17" x14ac:dyDescent="0.35">
      <c r="A688" s="62" t="s">
        <v>136</v>
      </c>
      <c r="B688" s="63">
        <v>873469</v>
      </c>
      <c r="C688" s="63" t="s">
        <v>143</v>
      </c>
      <c r="D688" s="64">
        <v>42603</v>
      </c>
      <c r="E688" s="63" t="s">
        <v>138</v>
      </c>
      <c r="F688" s="65">
        <v>41056</v>
      </c>
      <c r="G688" s="66">
        <v>5.3869523004165497E-3</v>
      </c>
      <c r="H688" s="65">
        <v>248</v>
      </c>
      <c r="I688" s="67">
        <v>0.17168605201985901</v>
      </c>
      <c r="J688" s="67">
        <v>0.92486457287781698</v>
      </c>
      <c r="K688" s="65">
        <v>67</v>
      </c>
      <c r="L688" s="65">
        <v>3</v>
      </c>
      <c r="M688" s="66">
        <v>1.16279069767442E-2</v>
      </c>
      <c r="N688" s="67">
        <v>115.321607173651</v>
      </c>
      <c r="O688" s="67">
        <v>57.660803586825303</v>
      </c>
      <c r="P688" s="67">
        <v>29.5300009474158</v>
      </c>
      <c r="Q688" s="68">
        <v>0.25606650541168502</v>
      </c>
    </row>
    <row r="689" spans="1:17" x14ac:dyDescent="0.35">
      <c r="A689" s="62" t="s">
        <v>136</v>
      </c>
      <c r="B689" s="63">
        <v>873469</v>
      </c>
      <c r="C689" s="63" t="s">
        <v>143</v>
      </c>
      <c r="D689" s="64">
        <v>42604</v>
      </c>
      <c r="E689" s="63" t="s">
        <v>138</v>
      </c>
      <c r="F689" s="65">
        <v>28386</v>
      </c>
      <c r="G689" s="66">
        <v>5.5947559600851701E-3</v>
      </c>
      <c r="H689" s="65">
        <v>566</v>
      </c>
      <c r="I689" s="67">
        <v>0.141492538042923</v>
      </c>
      <c r="J689" s="67">
        <v>0.79161622052321901</v>
      </c>
      <c r="K689" s="65">
        <v>85</v>
      </c>
      <c r="L689" s="65">
        <v>1</v>
      </c>
      <c r="M689" s="66">
        <v>7.4626865671641798E-3</v>
      </c>
      <c r="N689" s="67">
        <v>34.445594725762597</v>
      </c>
      <c r="O689" s="67">
        <v>34.445594725762597</v>
      </c>
      <c r="P689" s="67">
        <v>18.9600000977516</v>
      </c>
      <c r="Q689" s="68">
        <v>0.55043323387797505</v>
      </c>
    </row>
    <row r="690" spans="1:17" x14ac:dyDescent="0.35">
      <c r="A690" s="62" t="s">
        <v>136</v>
      </c>
      <c r="B690" s="63">
        <v>873469</v>
      </c>
      <c r="C690" s="63" t="s">
        <v>143</v>
      </c>
      <c r="D690" s="64">
        <v>42605</v>
      </c>
      <c r="E690" s="63" t="s">
        <v>138</v>
      </c>
      <c r="F690" s="65">
        <v>24711</v>
      </c>
      <c r="G690" s="66">
        <v>5.40540540540541E-3</v>
      </c>
      <c r="H690" s="65">
        <v>433</v>
      </c>
      <c r="I690" s="67">
        <v>0.127373736464616</v>
      </c>
      <c r="J690" s="67">
        <v>0.68850668359251899</v>
      </c>
      <c r="K690" s="65">
        <v>49</v>
      </c>
      <c r="L690" s="65">
        <v>3</v>
      </c>
      <c r="M690" s="66">
        <v>2.02020202020202E-2</v>
      </c>
      <c r="N690" s="67">
        <v>199.862041233284</v>
      </c>
      <c r="O690" s="67">
        <v>99.931020616642201</v>
      </c>
      <c r="P690" s="67">
        <v>12.609999909997001</v>
      </c>
      <c r="Q690" s="68">
        <v>6.3093521071758904E-2</v>
      </c>
    </row>
    <row r="691" spans="1:17" x14ac:dyDescent="0.35">
      <c r="A691" s="62" t="s">
        <v>136</v>
      </c>
      <c r="B691" s="63">
        <v>873469</v>
      </c>
      <c r="C691" s="63" t="s">
        <v>143</v>
      </c>
      <c r="D691" s="64">
        <v>42606</v>
      </c>
      <c r="E691" s="63" t="s">
        <v>138</v>
      </c>
      <c r="F691" s="65">
        <v>37291</v>
      </c>
      <c r="G691" s="66">
        <v>5.7114721811915301E-3</v>
      </c>
      <c r="H691" s="65">
        <v>397</v>
      </c>
      <c r="I691" s="67">
        <v>0.13724138035342601</v>
      </c>
      <c r="J691" s="67">
        <v>0.78385032599691895</v>
      </c>
      <c r="K691" s="65">
        <v>96</v>
      </c>
      <c r="L691" s="65">
        <v>5</v>
      </c>
      <c r="M691" s="66">
        <v>1.72413793103448E-2</v>
      </c>
      <c r="N691" s="67">
        <v>242.88670855116101</v>
      </c>
      <c r="O691" s="67">
        <v>121.443354275581</v>
      </c>
      <c r="P691" s="67">
        <v>15.9200001209974</v>
      </c>
      <c r="Q691" s="68">
        <v>6.5544962159360301E-2</v>
      </c>
    </row>
    <row r="692" spans="1:17" x14ac:dyDescent="0.35">
      <c r="A692" s="62" t="s">
        <v>136</v>
      </c>
      <c r="B692" s="63">
        <v>873469</v>
      </c>
      <c r="C692" s="63" t="s">
        <v>143</v>
      </c>
      <c r="D692" s="64">
        <v>42607</v>
      </c>
      <c r="E692" s="63" t="s">
        <v>138</v>
      </c>
      <c r="F692" s="65">
        <v>27887</v>
      </c>
      <c r="G692" s="66">
        <v>6.0248447204968901E-3</v>
      </c>
      <c r="H692" s="65">
        <v>177</v>
      </c>
      <c r="I692" s="67">
        <v>0.15525773044714</v>
      </c>
      <c r="J692" s="67">
        <v>0.935403717600781</v>
      </c>
      <c r="K692" s="65">
        <v>88</v>
      </c>
      <c r="L692" s="65">
        <v>2</v>
      </c>
      <c r="M692" s="66">
        <v>1.03092783505155E-2</v>
      </c>
      <c r="N692" s="67">
        <v>76.608034552613503</v>
      </c>
      <c r="O692" s="67">
        <v>76.608034552613503</v>
      </c>
      <c r="P692" s="67">
        <v>15.0599998533726</v>
      </c>
      <c r="Q692" s="68">
        <v>0.19658512245252199</v>
      </c>
    </row>
    <row r="693" spans="1:17" x14ac:dyDescent="0.35">
      <c r="A693" s="62" t="s">
        <v>136</v>
      </c>
      <c r="B693" s="63">
        <v>873469</v>
      </c>
      <c r="C693" s="63" t="s">
        <v>143</v>
      </c>
      <c r="D693" s="64">
        <v>42608</v>
      </c>
      <c r="E693" s="63" t="s">
        <v>138</v>
      </c>
      <c r="F693" s="65">
        <v>8435</v>
      </c>
      <c r="G693" s="66">
        <v>7.0662396421127503E-3</v>
      </c>
      <c r="H693" s="65">
        <v>381</v>
      </c>
      <c r="I693" s="67">
        <v>0.15841726599622999</v>
      </c>
      <c r="J693" s="67">
        <v>1.11941436497768</v>
      </c>
      <c r="K693" s="65">
        <v>38</v>
      </c>
      <c r="L693" s="65">
        <v>3</v>
      </c>
      <c r="M693" s="66">
        <v>0</v>
      </c>
      <c r="N693" s="67">
        <v>0</v>
      </c>
      <c r="O693" s="67">
        <v>0</v>
      </c>
      <c r="P693" s="67">
        <v>22.019999973475901</v>
      </c>
      <c r="Q693" s="68">
        <v>0</v>
      </c>
    </row>
    <row r="694" spans="1:17" x14ac:dyDescent="0.35">
      <c r="A694" s="62" t="s">
        <v>136</v>
      </c>
      <c r="B694" s="63">
        <v>873469</v>
      </c>
      <c r="C694" s="63" t="s">
        <v>143</v>
      </c>
      <c r="D694" s="64">
        <v>42609</v>
      </c>
      <c r="E694" s="63" t="s">
        <v>138</v>
      </c>
      <c r="F694" s="65">
        <v>48374</v>
      </c>
      <c r="G694" s="66">
        <v>3.9563497239250497E-3</v>
      </c>
      <c r="H694" s="65">
        <v>529</v>
      </c>
      <c r="I694" s="67">
        <v>0.13021978244676699</v>
      </c>
      <c r="J694" s="67">
        <v>0.51519500033284604</v>
      </c>
      <c r="K694" s="65">
        <v>36</v>
      </c>
      <c r="L694" s="65">
        <v>0</v>
      </c>
      <c r="M694" s="66">
        <v>0</v>
      </c>
      <c r="N694" s="67">
        <v>0</v>
      </c>
      <c r="O694" s="67">
        <v>0</v>
      </c>
      <c r="P694" s="67">
        <v>11.850000202655799</v>
      </c>
      <c r="Q694" s="68">
        <v>0</v>
      </c>
    </row>
    <row r="695" spans="1:17" x14ac:dyDescent="0.35">
      <c r="A695" s="62" t="s">
        <v>136</v>
      </c>
      <c r="B695" s="63">
        <v>873469</v>
      </c>
      <c r="C695" s="63" t="s">
        <v>143</v>
      </c>
      <c r="D695" s="64">
        <v>42610</v>
      </c>
      <c r="E695" s="63" t="s">
        <v>138</v>
      </c>
      <c r="F695" s="65">
        <v>43551</v>
      </c>
      <c r="G695" s="66">
        <v>6.98662220634354E-3</v>
      </c>
      <c r="H695" s="65">
        <v>440</v>
      </c>
      <c r="I695" s="67">
        <v>0.13045454791493</v>
      </c>
      <c r="J695" s="67">
        <v>0.91143664138095903</v>
      </c>
      <c r="K695" s="65">
        <v>15</v>
      </c>
      <c r="L695" s="65">
        <v>1</v>
      </c>
      <c r="M695" s="66">
        <v>5.6818181818181802E-3</v>
      </c>
      <c r="N695" s="67">
        <v>15.4768070037416</v>
      </c>
      <c r="O695" s="67">
        <v>15.4768070037416</v>
      </c>
      <c r="P695" s="67">
        <v>22.960000433027702</v>
      </c>
      <c r="Q695" s="68">
        <v>1.4835101599106999</v>
      </c>
    </row>
    <row r="696" spans="1:17" x14ac:dyDescent="0.35">
      <c r="A696" s="62" t="s">
        <v>136</v>
      </c>
      <c r="B696" s="63">
        <v>873469</v>
      </c>
      <c r="C696" s="63" t="s">
        <v>143</v>
      </c>
      <c r="D696" s="64">
        <v>42611</v>
      </c>
      <c r="E696" s="63" t="s">
        <v>138</v>
      </c>
      <c r="F696" s="65">
        <v>56754</v>
      </c>
      <c r="G696" s="66">
        <v>7.7236236350492699E-3</v>
      </c>
      <c r="H696" s="65">
        <v>194</v>
      </c>
      <c r="I696" s="67">
        <v>0.137339904280425</v>
      </c>
      <c r="J696" s="67">
        <v>1.0607617307357</v>
      </c>
      <c r="K696" s="65">
        <v>96</v>
      </c>
      <c r="L696" s="65">
        <v>4</v>
      </c>
      <c r="M696" s="66">
        <v>4.92610837438424E-3</v>
      </c>
      <c r="N696" s="67">
        <v>112.82118132739799</v>
      </c>
      <c r="O696" s="67">
        <v>112.82118132739799</v>
      </c>
      <c r="P696" s="67">
        <v>27.880000568926299</v>
      </c>
      <c r="Q696" s="68">
        <v>0.24711672259503201</v>
      </c>
    </row>
    <row r="697" spans="1:17" x14ac:dyDescent="0.35">
      <c r="A697" s="62" t="s">
        <v>136</v>
      </c>
      <c r="B697" s="63">
        <v>873469</v>
      </c>
      <c r="C697" s="63" t="s">
        <v>143</v>
      </c>
      <c r="D697" s="64">
        <v>42612</v>
      </c>
      <c r="E697" s="63" t="s">
        <v>138</v>
      </c>
      <c r="F697" s="65">
        <v>47760</v>
      </c>
      <c r="G697" s="66">
        <v>6.5982404692082096E-3</v>
      </c>
      <c r="H697" s="65">
        <v>397</v>
      </c>
      <c r="I697" s="67">
        <v>0.14921568850286601</v>
      </c>
      <c r="J697" s="67">
        <v>0.98456099452038004</v>
      </c>
      <c r="K697" s="65">
        <v>82</v>
      </c>
      <c r="L697" s="65">
        <v>1</v>
      </c>
      <c r="M697" s="66">
        <v>0</v>
      </c>
      <c r="N697" s="67">
        <v>0</v>
      </c>
      <c r="O697" s="67">
        <v>0</v>
      </c>
      <c r="P697" s="67">
        <v>22.8300003409386</v>
      </c>
      <c r="Q697" s="68">
        <v>0</v>
      </c>
    </row>
    <row r="698" spans="1:17" x14ac:dyDescent="0.35">
      <c r="A698" s="62" t="s">
        <v>136</v>
      </c>
      <c r="B698" s="63">
        <v>873469</v>
      </c>
      <c r="C698" s="63" t="s">
        <v>143</v>
      </c>
      <c r="D698" s="64">
        <v>42613</v>
      </c>
      <c r="E698" s="63" t="s">
        <v>138</v>
      </c>
      <c r="F698" s="65">
        <v>54917</v>
      </c>
      <c r="G698" s="66">
        <v>5.9903587126045703E-3</v>
      </c>
      <c r="H698" s="65">
        <v>227</v>
      </c>
      <c r="I698" s="67">
        <v>0.14035503411963099</v>
      </c>
      <c r="J698" s="67">
        <v>0.84077700149644496</v>
      </c>
      <c r="K698" s="65">
        <v>76</v>
      </c>
      <c r="L698" s="65">
        <v>2</v>
      </c>
      <c r="M698" s="66">
        <v>0</v>
      </c>
      <c r="N698" s="67">
        <v>0</v>
      </c>
      <c r="O698" s="67">
        <v>0</v>
      </c>
      <c r="P698" s="67">
        <v>23.720000766217701</v>
      </c>
      <c r="Q698" s="68">
        <v>0</v>
      </c>
    </row>
    <row r="699" spans="1:17" x14ac:dyDescent="0.35">
      <c r="A699" s="62" t="s">
        <v>136</v>
      </c>
      <c r="B699" s="63">
        <v>873469</v>
      </c>
      <c r="C699" s="63" t="s">
        <v>143</v>
      </c>
      <c r="D699" s="64">
        <v>42614</v>
      </c>
      <c r="E699" s="63" t="s">
        <v>138</v>
      </c>
      <c r="F699" s="65">
        <v>27110</v>
      </c>
      <c r="G699" s="66">
        <v>6.57816406715085E-3</v>
      </c>
      <c r="H699" s="65">
        <v>501</v>
      </c>
      <c r="I699" s="67">
        <v>0.14271493593222401</v>
      </c>
      <c r="J699" s="67">
        <v>0.93880226339509298</v>
      </c>
      <c r="K699" s="65">
        <v>82</v>
      </c>
      <c r="L699" s="65">
        <v>6</v>
      </c>
      <c r="M699" s="66">
        <v>9.0497737556561094E-3</v>
      </c>
      <c r="N699" s="67">
        <v>237.631188444869</v>
      </c>
      <c r="O699" s="67">
        <v>118.815594222434</v>
      </c>
      <c r="P699" s="67">
        <v>31.540000841021499</v>
      </c>
      <c r="Q699" s="68">
        <v>0.13272668898147999</v>
      </c>
    </row>
    <row r="700" spans="1:17" x14ac:dyDescent="0.35">
      <c r="A700" s="62" t="s">
        <v>136</v>
      </c>
      <c r="B700" s="63">
        <v>873469</v>
      </c>
      <c r="C700" s="63" t="s">
        <v>143</v>
      </c>
      <c r="D700" s="64">
        <v>42615</v>
      </c>
      <c r="E700" s="63" t="s">
        <v>138</v>
      </c>
      <c r="F700" s="65">
        <v>38989</v>
      </c>
      <c r="G700" s="66">
        <v>6.1557723407585198E-3</v>
      </c>
      <c r="H700" s="65">
        <v>245</v>
      </c>
      <c r="I700" s="67">
        <v>0.13533898597677901</v>
      </c>
      <c r="J700" s="67">
        <v>0.83311598650216001</v>
      </c>
      <c r="K700" s="65">
        <v>79</v>
      </c>
      <c r="L700" s="65">
        <v>6</v>
      </c>
      <c r="M700" s="66">
        <v>1.6949152542372899E-2</v>
      </c>
      <c r="N700" s="67">
        <v>659.096920781481</v>
      </c>
      <c r="O700" s="67">
        <v>164.77423019537</v>
      </c>
      <c r="P700" s="67">
        <v>31.940000690519799</v>
      </c>
      <c r="Q700" s="68">
        <v>4.8460248687930502E-2</v>
      </c>
    </row>
    <row r="701" spans="1:17" x14ac:dyDescent="0.35">
      <c r="A701" s="62" t="s">
        <v>136</v>
      </c>
      <c r="B701" s="63">
        <v>873469</v>
      </c>
      <c r="C701" s="63" t="s">
        <v>143</v>
      </c>
      <c r="D701" s="64">
        <v>42616</v>
      </c>
      <c r="E701" s="63" t="s">
        <v>138</v>
      </c>
      <c r="F701" s="65">
        <v>66658</v>
      </c>
      <c r="G701" s="66">
        <v>6.6232211730283298E-3</v>
      </c>
      <c r="H701" s="65">
        <v>576</v>
      </c>
      <c r="I701" s="67">
        <v>0.127228917875683</v>
      </c>
      <c r="J701" s="67">
        <v>0.84266526269570297</v>
      </c>
      <c r="K701" s="65">
        <v>79</v>
      </c>
      <c r="L701" s="65">
        <v>2</v>
      </c>
      <c r="M701" s="66">
        <v>0</v>
      </c>
      <c r="N701" s="67">
        <v>0</v>
      </c>
      <c r="O701" s="67">
        <v>0</v>
      </c>
      <c r="P701" s="67">
        <v>31.680000551044898</v>
      </c>
      <c r="Q701" s="68">
        <v>0</v>
      </c>
    </row>
    <row r="702" spans="1:17" x14ac:dyDescent="0.35">
      <c r="A702" s="62" t="s">
        <v>136</v>
      </c>
      <c r="B702" s="63">
        <v>873469</v>
      </c>
      <c r="C702" s="63" t="s">
        <v>143</v>
      </c>
      <c r="D702" s="64">
        <v>42617</v>
      </c>
      <c r="E702" s="63" t="s">
        <v>138</v>
      </c>
      <c r="F702" s="65">
        <v>46106</v>
      </c>
      <c r="G702" s="66">
        <v>5.7997557997558E-3</v>
      </c>
      <c r="H702" s="65">
        <v>411</v>
      </c>
      <c r="I702" s="67">
        <v>0.12906432922994901</v>
      </c>
      <c r="J702" s="67">
        <v>0.74854159199298798</v>
      </c>
      <c r="K702" s="65">
        <v>31</v>
      </c>
      <c r="L702" s="65">
        <v>3</v>
      </c>
      <c r="M702" s="66">
        <v>1.7543859649122799E-2</v>
      </c>
      <c r="N702" s="67">
        <v>170.826353885076</v>
      </c>
      <c r="O702" s="67">
        <v>56.942117961692098</v>
      </c>
      <c r="P702" s="67">
        <v>22.070000298321201</v>
      </c>
      <c r="Q702" s="68">
        <v>0.12919552397148801</v>
      </c>
    </row>
    <row r="703" spans="1:17" x14ac:dyDescent="0.35">
      <c r="A703" s="62" t="s">
        <v>136</v>
      </c>
      <c r="B703" s="63">
        <v>873469</v>
      </c>
      <c r="C703" s="63" t="s">
        <v>143</v>
      </c>
      <c r="D703" s="64">
        <v>42618</v>
      </c>
      <c r="E703" s="63" t="s">
        <v>138</v>
      </c>
      <c r="F703" s="65">
        <v>49149</v>
      </c>
      <c r="G703" s="66">
        <v>6.3442830960101504E-3</v>
      </c>
      <c r="H703" s="65">
        <v>460</v>
      </c>
      <c r="I703" s="67">
        <v>0.13205555735362901</v>
      </c>
      <c r="J703" s="67">
        <v>0.837797840252827</v>
      </c>
      <c r="K703" s="65">
        <v>38</v>
      </c>
      <c r="L703" s="65">
        <v>2</v>
      </c>
      <c r="M703" s="66">
        <v>1.1111111111111099E-2</v>
      </c>
      <c r="N703" s="67">
        <v>148.73445428272501</v>
      </c>
      <c r="O703" s="67">
        <v>74.367227141362406</v>
      </c>
      <c r="P703" s="67">
        <v>23.7700003236532</v>
      </c>
      <c r="Q703" s="68">
        <v>0.15981502361564201</v>
      </c>
    </row>
    <row r="704" spans="1:17" x14ac:dyDescent="0.35">
      <c r="A704" s="62" t="s">
        <v>136</v>
      </c>
      <c r="B704" s="63">
        <v>873469</v>
      </c>
      <c r="C704" s="63" t="s">
        <v>143</v>
      </c>
      <c r="D704" s="64">
        <v>42619</v>
      </c>
      <c r="E704" s="63" t="s">
        <v>138</v>
      </c>
      <c r="F704" s="65">
        <v>56244</v>
      </c>
      <c r="G704" s="66">
        <v>5.6439349631535896E-3</v>
      </c>
      <c r="H704" s="65">
        <v>333</v>
      </c>
      <c r="I704" s="67">
        <v>0.148549223965314</v>
      </c>
      <c r="J704" s="67">
        <v>0.83840215888716696</v>
      </c>
      <c r="K704" s="65">
        <v>58</v>
      </c>
      <c r="L704" s="65">
        <v>3</v>
      </c>
      <c r="M704" s="66">
        <v>5.1813471502590702E-3</v>
      </c>
      <c r="N704" s="67">
        <v>98.685952487766897</v>
      </c>
      <c r="O704" s="67">
        <v>98.685952487766897</v>
      </c>
      <c r="P704" s="67">
        <v>28.6700002253056</v>
      </c>
      <c r="Q704" s="68">
        <v>0.29051754077014602</v>
      </c>
    </row>
    <row r="705" spans="1:17" x14ac:dyDescent="0.35">
      <c r="A705" s="62" t="s">
        <v>136</v>
      </c>
      <c r="B705" s="63">
        <v>873469</v>
      </c>
      <c r="C705" s="63" t="s">
        <v>143</v>
      </c>
      <c r="D705" s="64">
        <v>42620</v>
      </c>
      <c r="E705" s="63" t="s">
        <v>138</v>
      </c>
      <c r="F705" s="65">
        <v>26572</v>
      </c>
      <c r="G705" s="66">
        <v>6.58402579121827E-3</v>
      </c>
      <c r="H705" s="65">
        <v>330</v>
      </c>
      <c r="I705" s="67">
        <v>0.14124138113753501</v>
      </c>
      <c r="J705" s="67">
        <v>0.92993689619682396</v>
      </c>
      <c r="K705" s="65">
        <v>86</v>
      </c>
      <c r="L705" s="65">
        <v>1</v>
      </c>
      <c r="M705" s="66">
        <v>6.8965517241379301E-3</v>
      </c>
      <c r="N705" s="67">
        <v>96.878030226758199</v>
      </c>
      <c r="O705" s="67">
        <v>96.878030226758199</v>
      </c>
      <c r="P705" s="67">
        <v>20.4800002649426</v>
      </c>
      <c r="Q705" s="68">
        <v>0.21139984181146099</v>
      </c>
    </row>
    <row r="706" spans="1:17" x14ac:dyDescent="0.35">
      <c r="A706" s="62" t="s">
        <v>136</v>
      </c>
      <c r="B706" s="63">
        <v>873469</v>
      </c>
      <c r="C706" s="63" t="s">
        <v>143</v>
      </c>
      <c r="D706" s="64">
        <v>42621</v>
      </c>
      <c r="E706" s="63" t="s">
        <v>138</v>
      </c>
      <c r="F706" s="65">
        <v>46329</v>
      </c>
      <c r="G706" s="66">
        <v>7.5573672880501997E-3</v>
      </c>
      <c r="H706" s="65">
        <v>154</v>
      </c>
      <c r="I706" s="67">
        <v>0.146363637618946</v>
      </c>
      <c r="J706" s="67">
        <v>1.1061237671014601</v>
      </c>
      <c r="K706" s="65">
        <v>38</v>
      </c>
      <c r="L706" s="65">
        <v>3</v>
      </c>
      <c r="M706" s="66">
        <v>1.8181818181818198E-2</v>
      </c>
      <c r="N706" s="67">
        <v>338.962876888187</v>
      </c>
      <c r="O706" s="67">
        <v>112.98762562939601</v>
      </c>
      <c r="P706" s="67">
        <v>24.150000207126102</v>
      </c>
      <c r="Q706" s="68">
        <v>7.1246740731116795E-2</v>
      </c>
    </row>
    <row r="707" spans="1:17" x14ac:dyDescent="0.35">
      <c r="A707" s="62" t="s">
        <v>136</v>
      </c>
      <c r="B707" s="63">
        <v>873469</v>
      </c>
      <c r="C707" s="63" t="s">
        <v>143</v>
      </c>
      <c r="D707" s="64">
        <v>42622</v>
      </c>
      <c r="E707" s="63" t="s">
        <v>138</v>
      </c>
      <c r="F707" s="65">
        <v>56548</v>
      </c>
      <c r="G707" s="66">
        <v>7.38022100769937E-3</v>
      </c>
      <c r="H707" s="65">
        <v>505</v>
      </c>
      <c r="I707" s="67">
        <v>0.14281081134403101</v>
      </c>
      <c r="J707" s="67">
        <v>1.05397535000781</v>
      </c>
      <c r="K707" s="65">
        <v>32</v>
      </c>
      <c r="L707" s="65">
        <v>1</v>
      </c>
      <c r="M707" s="66">
        <v>5.40540540540541E-3</v>
      </c>
      <c r="N707" s="67">
        <v>198.209718670077</v>
      </c>
      <c r="O707" s="67">
        <v>198.209718670077</v>
      </c>
      <c r="P707" s="67">
        <v>26.420000098645701</v>
      </c>
      <c r="Q707" s="68">
        <v>0.13329316178800599</v>
      </c>
    </row>
    <row r="708" spans="1:17" x14ac:dyDescent="0.35">
      <c r="A708" s="62" t="s">
        <v>136</v>
      </c>
      <c r="B708" s="63">
        <v>873469</v>
      </c>
      <c r="C708" s="63" t="s">
        <v>143</v>
      </c>
      <c r="D708" s="64">
        <v>42623</v>
      </c>
      <c r="E708" s="63" t="s">
        <v>138</v>
      </c>
      <c r="F708" s="65">
        <v>29514</v>
      </c>
      <c r="G708" s="66">
        <v>6.14934793706781E-3</v>
      </c>
      <c r="H708" s="65">
        <v>491</v>
      </c>
      <c r="I708" s="67">
        <v>0.152566040714957</v>
      </c>
      <c r="J708" s="67">
        <v>0.93818166773712197</v>
      </c>
      <c r="K708" s="65">
        <v>70</v>
      </c>
      <c r="L708" s="65">
        <v>5</v>
      </c>
      <c r="M708" s="66">
        <v>7.5471698113207496E-3</v>
      </c>
      <c r="N708" s="67">
        <v>113.546168092424</v>
      </c>
      <c r="O708" s="67">
        <v>56.773084046212198</v>
      </c>
      <c r="P708" s="67">
        <v>40.430000789463499</v>
      </c>
      <c r="Q708" s="68">
        <v>0.35606662442852599</v>
      </c>
    </row>
    <row r="709" spans="1:17" x14ac:dyDescent="0.35">
      <c r="A709" s="62" t="s">
        <v>136</v>
      </c>
      <c r="B709" s="63">
        <v>873469</v>
      </c>
      <c r="C709" s="63" t="s">
        <v>143</v>
      </c>
      <c r="D709" s="64">
        <v>42624</v>
      </c>
      <c r="E709" s="63" t="s">
        <v>138</v>
      </c>
      <c r="F709" s="65">
        <v>34116</v>
      </c>
      <c r="G709" s="66">
        <v>5.7030438338601603E-3</v>
      </c>
      <c r="H709" s="65">
        <v>158</v>
      </c>
      <c r="I709" s="67">
        <v>0.186899225898953</v>
      </c>
      <c r="J709" s="67">
        <v>1.06589447781626</v>
      </c>
      <c r="K709" s="65">
        <v>78</v>
      </c>
      <c r="L709" s="65">
        <v>2</v>
      </c>
      <c r="M709" s="66">
        <v>3.8759689922480598E-3</v>
      </c>
      <c r="N709" s="67">
        <v>307.34632683658202</v>
      </c>
      <c r="O709" s="67">
        <v>307.34632683658202</v>
      </c>
      <c r="P709" s="67">
        <v>48.220000281929998</v>
      </c>
      <c r="Q709" s="68">
        <v>0.15689141555145</v>
      </c>
    </row>
    <row r="710" spans="1:17" x14ac:dyDescent="0.35">
      <c r="A710" s="62" t="s">
        <v>136</v>
      </c>
      <c r="B710" s="63">
        <v>873469</v>
      </c>
      <c r="C710" s="63" t="s">
        <v>143</v>
      </c>
      <c r="D710" s="64">
        <v>42625</v>
      </c>
      <c r="E710" s="63" t="s">
        <v>138</v>
      </c>
      <c r="F710" s="65">
        <v>27695</v>
      </c>
      <c r="G710" s="66">
        <v>5.7927122392077701E-3</v>
      </c>
      <c r="H710" s="65">
        <v>156</v>
      </c>
      <c r="I710" s="67">
        <v>0.19887966925425199</v>
      </c>
      <c r="J710" s="67">
        <v>1.1520526942186999</v>
      </c>
      <c r="K710" s="65">
        <v>76</v>
      </c>
      <c r="L710" s="65">
        <v>1</v>
      </c>
      <c r="M710" s="66">
        <v>0</v>
      </c>
      <c r="N710" s="67">
        <v>0</v>
      </c>
      <c r="O710" s="67">
        <v>0</v>
      </c>
      <c r="P710" s="67">
        <v>47.930000290274599</v>
      </c>
      <c r="Q710" s="68">
        <v>0</v>
      </c>
    </row>
    <row r="711" spans="1:17" x14ac:dyDescent="0.35">
      <c r="A711" s="62" t="s">
        <v>136</v>
      </c>
      <c r="B711" s="63">
        <v>873469</v>
      </c>
      <c r="C711" s="63" t="s">
        <v>143</v>
      </c>
      <c r="D711" s="64">
        <v>42626</v>
      </c>
      <c r="E711" s="63" t="s">
        <v>138</v>
      </c>
      <c r="F711" s="65">
        <v>25958</v>
      </c>
      <c r="G711" s="66">
        <v>5.8131783152449304E-3</v>
      </c>
      <c r="H711" s="65">
        <v>465</v>
      </c>
      <c r="I711" s="67">
        <v>0.20169724756424601</v>
      </c>
      <c r="J711" s="67">
        <v>1.17250206578506</v>
      </c>
      <c r="K711" s="65">
        <v>60</v>
      </c>
      <c r="L711" s="65">
        <v>1</v>
      </c>
      <c r="M711" s="66">
        <v>4.5871559633027499E-3</v>
      </c>
      <c r="N711" s="67">
        <v>182.33530293676699</v>
      </c>
      <c r="O711" s="67">
        <v>182.33530293676699</v>
      </c>
      <c r="P711" s="67">
        <v>43.969999969005599</v>
      </c>
      <c r="Q711" s="68">
        <v>0.24114913163170701</v>
      </c>
    </row>
    <row r="712" spans="1:17" x14ac:dyDescent="0.35">
      <c r="A712" s="62" t="s">
        <v>136</v>
      </c>
      <c r="B712" s="63">
        <v>873469</v>
      </c>
      <c r="C712" s="63" t="s">
        <v>143</v>
      </c>
      <c r="D712" s="64">
        <v>42627</v>
      </c>
      <c r="E712" s="63" t="s">
        <v>138</v>
      </c>
      <c r="F712" s="65">
        <v>15603</v>
      </c>
      <c r="G712" s="66">
        <v>6.0407667386609097E-3</v>
      </c>
      <c r="H712" s="65">
        <v>233</v>
      </c>
      <c r="I712" s="67">
        <v>0.18916201283478901</v>
      </c>
      <c r="J712" s="67">
        <v>1.1426835953505401</v>
      </c>
      <c r="K712" s="65">
        <v>36</v>
      </c>
      <c r="L712" s="65">
        <v>0</v>
      </c>
      <c r="M712" s="66">
        <v>0</v>
      </c>
      <c r="N712" s="67">
        <v>0</v>
      </c>
      <c r="O712" s="67">
        <v>0</v>
      </c>
      <c r="P712" s="67">
        <v>33.860000297427199</v>
      </c>
      <c r="Q712" s="68">
        <v>0</v>
      </c>
    </row>
    <row r="713" spans="1:17" x14ac:dyDescent="0.35">
      <c r="A713" s="62" t="s">
        <v>136</v>
      </c>
      <c r="B713" s="63">
        <v>873469</v>
      </c>
      <c r="C713" s="63" t="s">
        <v>143</v>
      </c>
      <c r="D713" s="64">
        <v>42628</v>
      </c>
      <c r="E713" s="63" t="s">
        <v>138</v>
      </c>
      <c r="F713" s="65">
        <v>3735</v>
      </c>
      <c r="G713" s="66">
        <v>5.9193765922373699E-3</v>
      </c>
      <c r="H713" s="65">
        <v>565</v>
      </c>
      <c r="I713" s="67">
        <v>0.203164558008879</v>
      </c>
      <c r="J713" s="67">
        <v>1.20260752905001</v>
      </c>
      <c r="K713" s="65">
        <v>60</v>
      </c>
      <c r="L713" s="65">
        <v>4</v>
      </c>
      <c r="M713" s="66">
        <v>1.8987341772151899E-2</v>
      </c>
      <c r="N713" s="67">
        <v>169.194813011836</v>
      </c>
      <c r="O713" s="67">
        <v>56.398271003945403</v>
      </c>
      <c r="P713" s="67">
        <v>32.100000165402903</v>
      </c>
      <c r="Q713" s="68">
        <v>0.18972212914799799</v>
      </c>
    </row>
    <row r="714" spans="1:17" x14ac:dyDescent="0.35">
      <c r="A714" s="62" t="s">
        <v>136</v>
      </c>
      <c r="B714" s="63">
        <v>873469</v>
      </c>
      <c r="C714" s="63" t="s">
        <v>143</v>
      </c>
      <c r="D714" s="64">
        <v>42629</v>
      </c>
      <c r="E714" s="63" t="s">
        <v>138</v>
      </c>
      <c r="F714" s="65">
        <v>14819</v>
      </c>
      <c r="G714" s="66">
        <v>5.8983163491360202E-3</v>
      </c>
      <c r="H714" s="65">
        <v>199</v>
      </c>
      <c r="I714" s="67">
        <v>0.22169014020984701</v>
      </c>
      <c r="J714" s="67">
        <v>1.3075985784419999</v>
      </c>
      <c r="K714" s="65">
        <v>77</v>
      </c>
      <c r="L714" s="65">
        <v>1</v>
      </c>
      <c r="M714" s="66">
        <v>4.6948356807511703E-3</v>
      </c>
      <c r="N714" s="67">
        <v>21.959608094655898</v>
      </c>
      <c r="O714" s="67">
        <v>21.959608094655898</v>
      </c>
      <c r="P714" s="67">
        <v>47.219999864697499</v>
      </c>
      <c r="Q714" s="68">
        <v>2.15031159304655</v>
      </c>
    </row>
    <row r="715" spans="1:17" x14ac:dyDescent="0.35">
      <c r="A715" s="62" t="s">
        <v>136</v>
      </c>
      <c r="B715" s="63">
        <v>873469</v>
      </c>
      <c r="C715" s="63" t="s">
        <v>143</v>
      </c>
      <c r="D715" s="64">
        <v>42630</v>
      </c>
      <c r="E715" s="63" t="s">
        <v>138</v>
      </c>
      <c r="F715" s="65">
        <v>27542</v>
      </c>
      <c r="G715" s="66">
        <v>4.8761070753308797E-3</v>
      </c>
      <c r="H715" s="65">
        <v>343</v>
      </c>
      <c r="I715" s="67">
        <v>0.22285714608674101</v>
      </c>
      <c r="J715" s="67">
        <v>1.08667530682161</v>
      </c>
      <c r="K715" s="65">
        <v>62</v>
      </c>
      <c r="L715" s="65">
        <v>3</v>
      </c>
      <c r="M715" s="66">
        <v>5.1020408163265302E-3</v>
      </c>
      <c r="N715" s="67">
        <v>156.71575707579299</v>
      </c>
      <c r="O715" s="67">
        <v>156.71575707579299</v>
      </c>
      <c r="P715" s="67">
        <v>43.680000633001299</v>
      </c>
      <c r="Q715" s="68">
        <v>0.278721179337928</v>
      </c>
    </row>
    <row r="716" spans="1:17" x14ac:dyDescent="0.35">
      <c r="A716" s="62" t="s">
        <v>136</v>
      </c>
      <c r="B716" s="63">
        <v>873469</v>
      </c>
      <c r="C716" s="63" t="s">
        <v>143</v>
      </c>
      <c r="D716" s="64">
        <v>42631</v>
      </c>
      <c r="E716" s="63" t="s">
        <v>138</v>
      </c>
      <c r="F716" s="65">
        <v>46579</v>
      </c>
      <c r="G716" s="66">
        <v>5.31681648761237E-3</v>
      </c>
      <c r="H716" s="65">
        <v>587</v>
      </c>
      <c r="I716" s="67">
        <v>0.25190721905415803</v>
      </c>
      <c r="J716" s="67">
        <v>1.3393444556157299</v>
      </c>
      <c r="K716" s="65">
        <v>71</v>
      </c>
      <c r="L716" s="65">
        <v>5</v>
      </c>
      <c r="M716" s="66">
        <v>2.57731958762887E-2</v>
      </c>
      <c r="N716" s="67">
        <v>526.67783065514698</v>
      </c>
      <c r="O716" s="67">
        <v>105.335566131029</v>
      </c>
      <c r="P716" s="67">
        <v>48.870000496506698</v>
      </c>
      <c r="Q716" s="68">
        <v>9.2789173289705706E-2</v>
      </c>
    </row>
    <row r="717" spans="1:17" x14ac:dyDescent="0.35">
      <c r="A717" s="62" t="s">
        <v>136</v>
      </c>
      <c r="B717" s="63">
        <v>873469</v>
      </c>
      <c r="C717" s="63" t="s">
        <v>143</v>
      </c>
      <c r="D717" s="64">
        <v>42632</v>
      </c>
      <c r="E717" s="63" t="s">
        <v>138</v>
      </c>
      <c r="F717" s="65">
        <v>46627</v>
      </c>
      <c r="G717" s="66">
        <v>6.1277743571700799E-3</v>
      </c>
      <c r="H717" s="65">
        <v>369</v>
      </c>
      <c r="I717" s="67">
        <v>0.231626794989885</v>
      </c>
      <c r="J717" s="67">
        <v>1.41935673477251</v>
      </c>
      <c r="K717" s="65">
        <v>11</v>
      </c>
      <c r="L717" s="65">
        <v>1</v>
      </c>
      <c r="M717" s="66">
        <v>4.78468899521531E-3</v>
      </c>
      <c r="N717" s="67">
        <v>53.532058173506897</v>
      </c>
      <c r="O717" s="67">
        <v>53.532058173506897</v>
      </c>
      <c r="P717" s="67">
        <v>48.4100001528859</v>
      </c>
      <c r="Q717" s="68">
        <v>0.90431793218150802</v>
      </c>
    </row>
    <row r="718" spans="1:17" x14ac:dyDescent="0.35">
      <c r="A718" s="62" t="s">
        <v>136</v>
      </c>
      <c r="B718" s="63">
        <v>873469</v>
      </c>
      <c r="C718" s="63" t="s">
        <v>143</v>
      </c>
      <c r="D718" s="64">
        <v>42633</v>
      </c>
      <c r="E718" s="63" t="s">
        <v>138</v>
      </c>
      <c r="F718" s="65">
        <v>54498</v>
      </c>
      <c r="G718" s="66">
        <v>4.9517937955007498E-3</v>
      </c>
      <c r="H718" s="65">
        <v>503</v>
      </c>
      <c r="I718" s="67">
        <v>0.236158942248648</v>
      </c>
      <c r="J718" s="67">
        <v>1.16941038497887</v>
      </c>
      <c r="K718" s="65">
        <v>23</v>
      </c>
      <c r="L718" s="65">
        <v>4</v>
      </c>
      <c r="M718" s="66">
        <v>1.3245033112582801E-2</v>
      </c>
      <c r="N718" s="67">
        <v>185.86295760595701</v>
      </c>
      <c r="O718" s="67">
        <v>92.931478802978503</v>
      </c>
      <c r="P718" s="67">
        <v>35.660000279545798</v>
      </c>
      <c r="Q718" s="68">
        <v>0.19186179289768801</v>
      </c>
    </row>
    <row r="719" spans="1:17" x14ac:dyDescent="0.35">
      <c r="A719" s="62" t="s">
        <v>136</v>
      </c>
      <c r="B719" s="63">
        <v>873469</v>
      </c>
      <c r="C719" s="63" t="s">
        <v>143</v>
      </c>
      <c r="D719" s="64">
        <v>42634</v>
      </c>
      <c r="E719" s="63" t="s">
        <v>138</v>
      </c>
      <c r="F719" s="65">
        <v>2055</v>
      </c>
      <c r="G719" s="66">
        <v>6.4834622346552602E-3</v>
      </c>
      <c r="H719" s="65">
        <v>341</v>
      </c>
      <c r="I719" s="67">
        <v>0.240507615853082</v>
      </c>
      <c r="J719" s="67">
        <v>1.5593220445304301</v>
      </c>
      <c r="K719" s="65">
        <v>50</v>
      </c>
      <c r="L719" s="65">
        <v>1</v>
      </c>
      <c r="M719" s="66">
        <v>5.0761421319797002E-3</v>
      </c>
      <c r="N719" s="67">
        <v>17.5941447772638</v>
      </c>
      <c r="O719" s="67">
        <v>17.5941447772638</v>
      </c>
      <c r="P719" s="67">
        <v>47.380000323057203</v>
      </c>
      <c r="Q719" s="68">
        <v>2.6929413690106898</v>
      </c>
    </row>
    <row r="720" spans="1:17" x14ac:dyDescent="0.35">
      <c r="A720" s="62" t="s">
        <v>136</v>
      </c>
      <c r="B720" s="63">
        <v>873469</v>
      </c>
      <c r="C720" s="63" t="s">
        <v>143</v>
      </c>
      <c r="D720" s="64">
        <v>42635</v>
      </c>
      <c r="E720" s="63" t="s">
        <v>138</v>
      </c>
      <c r="F720" s="65">
        <v>42911</v>
      </c>
      <c r="G720" s="66">
        <v>6.5736021862766803E-3</v>
      </c>
      <c r="H720" s="65">
        <v>459</v>
      </c>
      <c r="I720" s="67">
        <v>0.23168539393986201</v>
      </c>
      <c r="J720" s="67">
        <v>1.52300761213145</v>
      </c>
      <c r="K720" s="65">
        <v>30</v>
      </c>
      <c r="L720" s="65">
        <v>1</v>
      </c>
      <c r="M720" s="66">
        <v>0</v>
      </c>
      <c r="N720" s="67">
        <v>0</v>
      </c>
      <c r="O720" s="67">
        <v>0</v>
      </c>
      <c r="P720" s="67">
        <v>41.240000121295502</v>
      </c>
      <c r="Q720" s="68">
        <v>0</v>
      </c>
    </row>
    <row r="721" spans="1:17" x14ac:dyDescent="0.35">
      <c r="A721" s="62" t="s">
        <v>136</v>
      </c>
      <c r="B721" s="63">
        <v>873469</v>
      </c>
      <c r="C721" s="63" t="s">
        <v>143</v>
      </c>
      <c r="D721" s="64">
        <v>42636</v>
      </c>
      <c r="E721" s="63" t="s">
        <v>138</v>
      </c>
      <c r="F721" s="65">
        <v>39374</v>
      </c>
      <c r="G721" s="66">
        <v>6.6738553900853896E-3</v>
      </c>
      <c r="H721" s="65">
        <v>371</v>
      </c>
      <c r="I721" s="67">
        <v>0.25786026463107797</v>
      </c>
      <c r="J721" s="67">
        <v>1.72092211699696</v>
      </c>
      <c r="K721" s="65">
        <v>95</v>
      </c>
      <c r="L721" s="65">
        <v>2</v>
      </c>
      <c r="M721" s="66">
        <v>8.7336244541484694E-3</v>
      </c>
      <c r="N721" s="67">
        <v>188.20001898393099</v>
      </c>
      <c r="O721" s="67">
        <v>94.100009491965295</v>
      </c>
      <c r="P721" s="67">
        <v>59.050000600516803</v>
      </c>
      <c r="Q721" s="68">
        <v>0.31376192690798199</v>
      </c>
    </row>
    <row r="722" spans="1:17" x14ac:dyDescent="0.35">
      <c r="A722" s="62" t="s">
        <v>136</v>
      </c>
      <c r="B722" s="63">
        <v>873469</v>
      </c>
      <c r="C722" s="63" t="s">
        <v>143</v>
      </c>
      <c r="D722" s="64">
        <v>42637</v>
      </c>
      <c r="E722" s="63" t="s">
        <v>138</v>
      </c>
      <c r="F722" s="65">
        <v>13655</v>
      </c>
      <c r="G722" s="66">
        <v>4.8544867593873602E-3</v>
      </c>
      <c r="H722" s="65">
        <v>183</v>
      </c>
      <c r="I722" s="67">
        <v>0.22855000317096699</v>
      </c>
      <c r="J722" s="67">
        <v>1.1094929642514</v>
      </c>
      <c r="K722" s="65">
        <v>22</v>
      </c>
      <c r="L722" s="65">
        <v>5</v>
      </c>
      <c r="M722" s="66">
        <v>0.01</v>
      </c>
      <c r="N722" s="67">
        <v>85.2367913494855</v>
      </c>
      <c r="O722" s="67">
        <v>42.6183956747428</v>
      </c>
      <c r="P722" s="67">
        <v>45.710000634193399</v>
      </c>
      <c r="Q722" s="68">
        <v>0.53627078061601996</v>
      </c>
    </row>
    <row r="723" spans="1:17" x14ac:dyDescent="0.35">
      <c r="A723" s="62" t="s">
        <v>136</v>
      </c>
      <c r="B723" s="63">
        <v>873469</v>
      </c>
      <c r="C723" s="63" t="s">
        <v>143</v>
      </c>
      <c r="D723" s="64">
        <v>42638</v>
      </c>
      <c r="E723" s="63" t="s">
        <v>138</v>
      </c>
      <c r="F723" s="65">
        <v>2178</v>
      </c>
      <c r="G723" s="66">
        <v>5.7944294462369096E-3</v>
      </c>
      <c r="H723" s="65">
        <v>502</v>
      </c>
      <c r="I723" s="67">
        <v>0.274128793682339</v>
      </c>
      <c r="J723" s="67">
        <v>1.58841995417435</v>
      </c>
      <c r="K723" s="65">
        <v>69</v>
      </c>
      <c r="L723" s="65">
        <v>4</v>
      </c>
      <c r="M723" s="66">
        <v>1.13636363636364E-2</v>
      </c>
      <c r="N723" s="67">
        <v>412.99937694242402</v>
      </c>
      <c r="O723" s="67">
        <v>137.66645898080799</v>
      </c>
      <c r="P723" s="67">
        <v>72.370001532137394</v>
      </c>
      <c r="Q723" s="68">
        <v>0.17523029227772</v>
      </c>
    </row>
    <row r="724" spans="1:17" x14ac:dyDescent="0.35">
      <c r="A724" s="62" t="s">
        <v>136</v>
      </c>
      <c r="B724" s="63">
        <v>873469</v>
      </c>
      <c r="C724" s="63" t="s">
        <v>143</v>
      </c>
      <c r="D724" s="64">
        <v>42639</v>
      </c>
      <c r="E724" s="63" t="s">
        <v>138</v>
      </c>
      <c r="F724" s="65">
        <v>48235</v>
      </c>
      <c r="G724" s="66">
        <v>3.9382787784879598E-3</v>
      </c>
      <c r="H724" s="65">
        <v>405</v>
      </c>
      <c r="I724" s="67">
        <v>0.314480885578309</v>
      </c>
      <c r="J724" s="67">
        <v>1.23851339791316</v>
      </c>
      <c r="K724" s="65">
        <v>77</v>
      </c>
      <c r="L724" s="65">
        <v>4</v>
      </c>
      <c r="M724" s="66">
        <v>2.1857923497267801E-2</v>
      </c>
      <c r="N724" s="67">
        <v>256.28361734345998</v>
      </c>
      <c r="O724" s="67">
        <v>64.070904335865094</v>
      </c>
      <c r="P724" s="67">
        <v>57.5500020608306</v>
      </c>
      <c r="Q724" s="68">
        <v>0.22455591448791101</v>
      </c>
    </row>
    <row r="725" spans="1:17" x14ac:dyDescent="0.35">
      <c r="A725" s="62" t="s">
        <v>136</v>
      </c>
      <c r="B725" s="63">
        <v>873469</v>
      </c>
      <c r="C725" s="63" t="s">
        <v>143</v>
      </c>
      <c r="D725" s="64">
        <v>42640</v>
      </c>
      <c r="E725" s="63" t="s">
        <v>138</v>
      </c>
      <c r="F725" s="65">
        <v>8909</v>
      </c>
      <c r="G725" s="66">
        <v>4.8524736460483003E-3</v>
      </c>
      <c r="H725" s="65">
        <v>378</v>
      </c>
      <c r="I725" s="67">
        <v>0.28488506882012599</v>
      </c>
      <c r="J725" s="67">
        <v>1.3823972886023199</v>
      </c>
      <c r="K725" s="65">
        <v>22</v>
      </c>
      <c r="L725" s="65">
        <v>4</v>
      </c>
      <c r="M725" s="66">
        <v>5.74712643678161E-3</v>
      </c>
      <c r="N725" s="67">
        <v>52.826529258205198</v>
      </c>
      <c r="O725" s="67">
        <v>52.826529258205198</v>
      </c>
      <c r="P725" s="67">
        <v>49.570001974701903</v>
      </c>
      <c r="Q725" s="68">
        <v>0.93835432065608304</v>
      </c>
    </row>
    <row r="726" spans="1:17" x14ac:dyDescent="0.35">
      <c r="A726" s="62" t="s">
        <v>136</v>
      </c>
      <c r="B726" s="63">
        <v>873469</v>
      </c>
      <c r="C726" s="63" t="s">
        <v>143</v>
      </c>
      <c r="D726" s="64">
        <v>42641</v>
      </c>
      <c r="E726" s="63" t="s">
        <v>138</v>
      </c>
      <c r="F726" s="65">
        <v>10310</v>
      </c>
      <c r="G726" s="66">
        <v>4.4703230653643901E-3</v>
      </c>
      <c r="H726" s="65">
        <v>588</v>
      </c>
      <c r="I726" s="67">
        <v>0.243613448714008</v>
      </c>
      <c r="J726" s="67">
        <v>1.0890308188191899</v>
      </c>
      <c r="K726" s="65">
        <v>79</v>
      </c>
      <c r="L726" s="65">
        <v>1</v>
      </c>
      <c r="M726" s="66">
        <v>0</v>
      </c>
      <c r="N726" s="67">
        <v>0</v>
      </c>
      <c r="O726" s="67">
        <v>0</v>
      </c>
      <c r="P726" s="67">
        <v>28.990000396966899</v>
      </c>
      <c r="Q726" s="68">
        <v>0</v>
      </c>
    </row>
    <row r="727" spans="1:17" x14ac:dyDescent="0.35">
      <c r="A727" s="62" t="s">
        <v>136</v>
      </c>
      <c r="B727" s="63">
        <v>873469</v>
      </c>
      <c r="C727" s="63" t="s">
        <v>143</v>
      </c>
      <c r="D727" s="64">
        <v>42642</v>
      </c>
      <c r="E727" s="63" t="s">
        <v>138</v>
      </c>
      <c r="F727" s="65">
        <v>45950</v>
      </c>
      <c r="G727" s="66">
        <v>6.5273072791869804E-3</v>
      </c>
      <c r="H727" s="65">
        <v>364</v>
      </c>
      <c r="I727" s="67">
        <v>0.25493671287652803</v>
      </c>
      <c r="J727" s="67">
        <v>1.66405026169096</v>
      </c>
      <c r="K727" s="65">
        <v>25</v>
      </c>
      <c r="L727" s="65">
        <v>0</v>
      </c>
      <c r="M727" s="66">
        <v>0</v>
      </c>
      <c r="N727" s="67">
        <v>0</v>
      </c>
      <c r="O727" s="67">
        <v>0</v>
      </c>
      <c r="P727" s="67">
        <v>40.280000634491401</v>
      </c>
      <c r="Q727" s="68">
        <v>0</v>
      </c>
    </row>
    <row r="728" spans="1:17" x14ac:dyDescent="0.35">
      <c r="A728" s="62" t="s">
        <v>136</v>
      </c>
      <c r="B728" s="63">
        <v>873469</v>
      </c>
      <c r="C728" s="63" t="s">
        <v>143</v>
      </c>
      <c r="D728" s="64">
        <v>42643</v>
      </c>
      <c r="E728" s="63" t="s">
        <v>138</v>
      </c>
      <c r="F728" s="65">
        <v>30249</v>
      </c>
      <c r="G728" s="66">
        <v>5.1423437935627803E-3</v>
      </c>
      <c r="H728" s="65">
        <v>410</v>
      </c>
      <c r="I728" s="67">
        <v>0.25819277386349399</v>
      </c>
      <c r="J728" s="67">
        <v>1.3277160082196899</v>
      </c>
      <c r="K728" s="65">
        <v>64</v>
      </c>
      <c r="L728" s="65">
        <v>4</v>
      </c>
      <c r="M728" s="66">
        <v>1.8072289156626498E-2</v>
      </c>
      <c r="N728" s="67">
        <v>211.35020523078001</v>
      </c>
      <c r="O728" s="67">
        <v>70.450068410260101</v>
      </c>
      <c r="P728" s="67">
        <v>42.86000046134</v>
      </c>
      <c r="Q728" s="68">
        <v>0.20279138321412901</v>
      </c>
    </row>
    <row r="729" spans="1:17" x14ac:dyDescent="0.35">
      <c r="A729" s="62" t="s">
        <v>136</v>
      </c>
      <c r="B729" s="63">
        <v>873469</v>
      </c>
      <c r="C729" s="63" t="s">
        <v>143</v>
      </c>
      <c r="D729" s="64">
        <v>42644</v>
      </c>
      <c r="E729" s="63" t="s">
        <v>138</v>
      </c>
      <c r="F729" s="65">
        <v>10857</v>
      </c>
      <c r="G729" s="66">
        <v>4.08563033440604E-3</v>
      </c>
      <c r="H729" s="65">
        <v>422</v>
      </c>
      <c r="I729" s="67">
        <v>0.27780822587952197</v>
      </c>
      <c r="J729" s="67">
        <v>1.1350217148009001</v>
      </c>
      <c r="K729" s="65">
        <v>11</v>
      </c>
      <c r="L729" s="65">
        <v>1</v>
      </c>
      <c r="M729" s="66">
        <v>0</v>
      </c>
      <c r="N729" s="67">
        <v>0</v>
      </c>
      <c r="O729" s="67">
        <v>0</v>
      </c>
      <c r="P729" s="67">
        <v>40.560000978410201</v>
      </c>
      <c r="Q729" s="68">
        <v>0</v>
      </c>
    </row>
    <row r="730" spans="1:17" x14ac:dyDescent="0.35">
      <c r="A730" s="62" t="s">
        <v>136</v>
      </c>
      <c r="B730" s="63">
        <v>873469</v>
      </c>
      <c r="C730" s="63" t="s">
        <v>143</v>
      </c>
      <c r="D730" s="64">
        <v>42645</v>
      </c>
      <c r="E730" s="63" t="s">
        <v>138</v>
      </c>
      <c r="F730" s="65">
        <v>23987</v>
      </c>
      <c r="G730" s="66">
        <v>4.21726736694131E-3</v>
      </c>
      <c r="H730" s="65">
        <v>414</v>
      </c>
      <c r="I730" s="67">
        <v>0.30546296967400399</v>
      </c>
      <c r="J730" s="67">
        <v>1.2882190138151599</v>
      </c>
      <c r="K730" s="65">
        <v>61</v>
      </c>
      <c r="L730" s="65">
        <v>0</v>
      </c>
      <c r="M730" s="66">
        <v>0</v>
      </c>
      <c r="N730" s="67">
        <v>0</v>
      </c>
      <c r="O730" s="67">
        <v>0</v>
      </c>
      <c r="P730" s="67">
        <v>32.990000724792502</v>
      </c>
      <c r="Q730" s="68">
        <v>0</v>
      </c>
    </row>
    <row r="731" spans="1:17" x14ac:dyDescent="0.35">
      <c r="A731" s="62" t="s">
        <v>136</v>
      </c>
      <c r="B731" s="63">
        <v>873469</v>
      </c>
      <c r="C731" s="63" t="s">
        <v>143</v>
      </c>
      <c r="D731" s="64">
        <v>42646</v>
      </c>
      <c r="E731" s="63" t="s">
        <v>138</v>
      </c>
      <c r="F731" s="65">
        <v>22344</v>
      </c>
      <c r="G731" s="66">
        <v>3.9871926538995999E-3</v>
      </c>
      <c r="H731" s="65">
        <v>349</v>
      </c>
      <c r="I731" s="67">
        <v>0.282121217837839</v>
      </c>
      <c r="J731" s="67">
        <v>1.12487164727224</v>
      </c>
      <c r="K731" s="65">
        <v>11</v>
      </c>
      <c r="L731" s="65">
        <v>1</v>
      </c>
      <c r="M731" s="66">
        <v>1.5151515151515201E-2</v>
      </c>
      <c r="N731" s="67">
        <v>37.071403996941903</v>
      </c>
      <c r="O731" s="67">
        <v>37.071403996941903</v>
      </c>
      <c r="P731" s="67">
        <v>18.620000377297401</v>
      </c>
      <c r="Q731" s="68">
        <v>0.50227394621561705</v>
      </c>
    </row>
    <row r="732" spans="1:17" x14ac:dyDescent="0.35">
      <c r="A732" s="62" t="s">
        <v>136</v>
      </c>
      <c r="B732" s="63">
        <v>873469</v>
      </c>
      <c r="C732" s="63" t="s">
        <v>143</v>
      </c>
      <c r="D732" s="64">
        <v>42647</v>
      </c>
      <c r="E732" s="63" t="s">
        <v>138</v>
      </c>
      <c r="F732" s="65">
        <v>34950</v>
      </c>
      <c r="G732" s="66">
        <v>3.6545083983414201E-3</v>
      </c>
      <c r="H732" s="65">
        <v>303</v>
      </c>
      <c r="I732" s="67">
        <v>0.35307692378186301</v>
      </c>
      <c r="J732" s="67">
        <v>1.2903225832213701</v>
      </c>
      <c r="K732" s="65">
        <v>94</v>
      </c>
      <c r="L732" s="65">
        <v>1</v>
      </c>
      <c r="M732" s="66">
        <v>1.9230769230769201E-2</v>
      </c>
      <c r="N732" s="67">
        <v>83.7751882747948</v>
      </c>
      <c r="O732" s="67">
        <v>83.7751882747948</v>
      </c>
      <c r="P732" s="67">
        <v>18.360000036656899</v>
      </c>
      <c r="Q732" s="68">
        <v>0.21915796806607399</v>
      </c>
    </row>
    <row r="733" spans="1:17" x14ac:dyDescent="0.35">
      <c r="A733" s="62" t="s">
        <v>136</v>
      </c>
      <c r="B733" s="63">
        <v>873469</v>
      </c>
      <c r="C733" s="63" t="s">
        <v>143</v>
      </c>
      <c r="D733" s="64">
        <v>42648</v>
      </c>
      <c r="E733" s="63" t="s">
        <v>138</v>
      </c>
      <c r="F733" s="65">
        <v>626</v>
      </c>
      <c r="G733" s="66">
        <v>5.9637404580152702E-3</v>
      </c>
      <c r="H733" s="65">
        <v>392</v>
      </c>
      <c r="I733" s="67">
        <v>0.26973333736260702</v>
      </c>
      <c r="J733" s="67">
        <v>1.6086196169048601</v>
      </c>
      <c r="K733" s="65">
        <v>25</v>
      </c>
      <c r="L733" s="65">
        <v>2</v>
      </c>
      <c r="M733" s="66">
        <v>2.66666666666667E-2</v>
      </c>
      <c r="N733" s="67">
        <v>432.30823342898702</v>
      </c>
      <c r="O733" s="67">
        <v>216.15411671449399</v>
      </c>
      <c r="P733" s="67">
        <v>20.230000302195499</v>
      </c>
      <c r="Q733" s="68">
        <v>4.6795315790622301E-2</v>
      </c>
    </row>
    <row r="734" spans="1:17" x14ac:dyDescent="0.35">
      <c r="A734" s="62" t="s">
        <v>136</v>
      </c>
      <c r="B734" s="63">
        <v>873469</v>
      </c>
      <c r="C734" s="63" t="s">
        <v>143</v>
      </c>
      <c r="D734" s="64">
        <v>42649</v>
      </c>
      <c r="E734" s="63" t="s">
        <v>138</v>
      </c>
      <c r="F734" s="65">
        <v>47611</v>
      </c>
      <c r="G734" s="66">
        <v>5.2116234996841398E-3</v>
      </c>
      <c r="H734" s="65">
        <v>282</v>
      </c>
      <c r="I734" s="67">
        <v>0.26666666770523201</v>
      </c>
      <c r="J734" s="67">
        <v>1.3897662719950501</v>
      </c>
      <c r="K734" s="65">
        <v>63</v>
      </c>
      <c r="L734" s="65">
        <v>8</v>
      </c>
      <c r="M734" s="66">
        <v>4.5454545454545497E-2</v>
      </c>
      <c r="N734" s="67">
        <v>325.38000371777201</v>
      </c>
      <c r="O734" s="67">
        <v>108.460001239257</v>
      </c>
      <c r="P734" s="67">
        <v>17.600000068545299</v>
      </c>
      <c r="Q734" s="68">
        <v>5.4090601350570998E-2</v>
      </c>
    </row>
    <row r="735" spans="1:17" x14ac:dyDescent="0.35">
      <c r="A735" s="62" t="s">
        <v>136</v>
      </c>
      <c r="B735" s="63">
        <v>873469</v>
      </c>
      <c r="C735" s="63" t="s">
        <v>143</v>
      </c>
      <c r="D735" s="64">
        <v>42650</v>
      </c>
      <c r="E735" s="63" t="s">
        <v>138</v>
      </c>
      <c r="F735" s="65">
        <v>1317</v>
      </c>
      <c r="G735" s="66">
        <v>5.9224605584034199E-3</v>
      </c>
      <c r="H735" s="65">
        <v>483</v>
      </c>
      <c r="I735" s="67">
        <v>0.30016807347786501</v>
      </c>
      <c r="J735" s="67">
        <v>1.7777335760646</v>
      </c>
      <c r="K735" s="65">
        <v>18</v>
      </c>
      <c r="L735" s="65">
        <v>7</v>
      </c>
      <c r="M735" s="66">
        <v>5.0420168067226899E-2</v>
      </c>
      <c r="N735" s="67">
        <v>1252.51856150245</v>
      </c>
      <c r="O735" s="67">
        <v>208.75309358374099</v>
      </c>
      <c r="P735" s="67">
        <v>35.720000743866002</v>
      </c>
      <c r="Q735" s="68">
        <v>2.85185400374573E-2</v>
      </c>
    </row>
    <row r="736" spans="1:17" x14ac:dyDescent="0.35">
      <c r="A736" s="62" t="s">
        <v>136</v>
      </c>
      <c r="B736" s="63">
        <v>873469</v>
      </c>
      <c r="C736" s="63" t="s">
        <v>143</v>
      </c>
      <c r="D736" s="64">
        <v>42651</v>
      </c>
      <c r="E736" s="63" t="s">
        <v>138</v>
      </c>
      <c r="F736" s="65">
        <v>58157</v>
      </c>
      <c r="G736" s="66">
        <v>4.5274476513865302E-3</v>
      </c>
      <c r="H736" s="65">
        <v>518</v>
      </c>
      <c r="I736" s="67">
        <v>0.29572916698331603</v>
      </c>
      <c r="J736" s="67">
        <v>1.3388983225051101</v>
      </c>
      <c r="K736" s="65">
        <v>64</v>
      </c>
      <c r="L736" s="65">
        <v>4</v>
      </c>
      <c r="M736" s="66">
        <v>3.125E-2</v>
      </c>
      <c r="N736" s="67">
        <v>434.384941001291</v>
      </c>
      <c r="O736" s="67">
        <v>144.79498033376399</v>
      </c>
      <c r="P736" s="67">
        <v>28.390000030398401</v>
      </c>
      <c r="Q736" s="68">
        <v>6.5356777711854497E-2</v>
      </c>
    </row>
    <row r="737" spans="1:17" x14ac:dyDescent="0.35">
      <c r="A737" s="62" t="s">
        <v>136</v>
      </c>
      <c r="B737" s="63">
        <v>873469</v>
      </c>
      <c r="C737" s="63" t="s">
        <v>143</v>
      </c>
      <c r="D737" s="64">
        <v>42652</v>
      </c>
      <c r="E737" s="63" t="s">
        <v>138</v>
      </c>
      <c r="F737" s="65">
        <v>20402</v>
      </c>
      <c r="G737" s="66">
        <v>4.4024075666380096E-3</v>
      </c>
      <c r="H737" s="65">
        <v>400</v>
      </c>
      <c r="I737" s="67">
        <v>0.29585937818046698</v>
      </c>
      <c r="J737" s="67">
        <v>1.3024935651625</v>
      </c>
      <c r="K737" s="65">
        <v>81</v>
      </c>
      <c r="L737" s="65">
        <v>4</v>
      </c>
      <c r="M737" s="66">
        <v>7.8125E-3</v>
      </c>
      <c r="N737" s="67">
        <v>211.95652713283499</v>
      </c>
      <c r="O737" s="67">
        <v>211.95652713283499</v>
      </c>
      <c r="P737" s="67">
        <v>37.870000407099702</v>
      </c>
      <c r="Q737" s="68">
        <v>0.17866871532277201</v>
      </c>
    </row>
    <row r="738" spans="1:17" x14ac:dyDescent="0.35">
      <c r="A738" s="62" t="s">
        <v>136</v>
      </c>
      <c r="B738" s="63">
        <v>873469</v>
      </c>
      <c r="C738" s="63" t="s">
        <v>143</v>
      </c>
      <c r="D738" s="64">
        <v>42653</v>
      </c>
      <c r="E738" s="63" t="s">
        <v>138</v>
      </c>
      <c r="F738" s="65">
        <v>43894</v>
      </c>
      <c r="G738" s="66">
        <v>3.76048597049465E-3</v>
      </c>
      <c r="H738" s="65">
        <v>424</v>
      </c>
      <c r="I738" s="67">
        <v>0.31807692475043797</v>
      </c>
      <c r="J738" s="67">
        <v>1.1961238130620999</v>
      </c>
      <c r="K738" s="65">
        <v>55</v>
      </c>
      <c r="L738" s="65">
        <v>6</v>
      </c>
      <c r="M738" s="66">
        <v>7.6923076923076901E-3</v>
      </c>
      <c r="N738" s="67">
        <v>45.90844888913</v>
      </c>
      <c r="O738" s="67">
        <v>45.90844888913</v>
      </c>
      <c r="P738" s="67">
        <v>41.350000217557003</v>
      </c>
      <c r="Q738" s="68">
        <v>0.90070567004819202</v>
      </c>
    </row>
    <row r="739" spans="1:17" x14ac:dyDescent="0.35">
      <c r="A739" s="62" t="s">
        <v>136</v>
      </c>
      <c r="B739" s="63">
        <v>873469</v>
      </c>
      <c r="C739" s="63" t="s">
        <v>143</v>
      </c>
      <c r="D739" s="64">
        <v>42654</v>
      </c>
      <c r="E739" s="63" t="s">
        <v>138</v>
      </c>
      <c r="F739" s="65">
        <v>59545</v>
      </c>
      <c r="G739" s="66">
        <v>4.7556517727224299E-3</v>
      </c>
      <c r="H739" s="65">
        <v>512</v>
      </c>
      <c r="I739" s="67">
        <v>0.34238806044432701</v>
      </c>
      <c r="J739" s="67">
        <v>1.6282783866110599</v>
      </c>
      <c r="K739" s="65">
        <v>22</v>
      </c>
      <c r="L739" s="65">
        <v>5</v>
      </c>
      <c r="M739" s="66">
        <v>2.2388059701492501E-2</v>
      </c>
      <c r="N739" s="67">
        <v>283.27148008700499</v>
      </c>
      <c r="O739" s="67">
        <v>94.423826695668396</v>
      </c>
      <c r="P739" s="67">
        <v>45.880000099539799</v>
      </c>
      <c r="Q739" s="68">
        <v>0.161964769928296</v>
      </c>
    </row>
    <row r="740" spans="1:17" x14ac:dyDescent="0.35">
      <c r="A740" s="62" t="s">
        <v>136</v>
      </c>
      <c r="B740" s="63">
        <v>873469</v>
      </c>
      <c r="C740" s="63" t="s">
        <v>143</v>
      </c>
      <c r="D740" s="64">
        <v>42655</v>
      </c>
      <c r="E740" s="63" t="s">
        <v>138</v>
      </c>
      <c r="F740" s="65">
        <v>50119</v>
      </c>
      <c r="G740" s="66">
        <v>4.2395912599195599E-3</v>
      </c>
      <c r="H740" s="65">
        <v>284</v>
      </c>
      <c r="I740" s="67">
        <v>0.32756410567806299</v>
      </c>
      <c r="J740" s="67">
        <v>1.3887379194960801</v>
      </c>
      <c r="K740" s="65">
        <v>37</v>
      </c>
      <c r="L740" s="65">
        <v>3</v>
      </c>
      <c r="M740" s="66">
        <v>1.2820512820512799E-2</v>
      </c>
      <c r="N740" s="67">
        <v>119.16755576486</v>
      </c>
      <c r="O740" s="67">
        <v>119.16755576486</v>
      </c>
      <c r="P740" s="67">
        <v>25.550000242888899</v>
      </c>
      <c r="Q740" s="68">
        <v>0.21440399678335201</v>
      </c>
    </row>
    <row r="741" spans="1:17" x14ac:dyDescent="0.35">
      <c r="A741" s="62" t="s">
        <v>136</v>
      </c>
      <c r="B741" s="63">
        <v>873469</v>
      </c>
      <c r="C741" s="63" t="s">
        <v>143</v>
      </c>
      <c r="D741" s="64">
        <v>42656</v>
      </c>
      <c r="E741" s="63" t="s">
        <v>138</v>
      </c>
      <c r="F741" s="65">
        <v>63633</v>
      </c>
      <c r="G741" s="66">
        <v>4.1697691734921801E-3</v>
      </c>
      <c r="H741" s="65">
        <v>195</v>
      </c>
      <c r="I741" s="67">
        <v>0.32428572074111001</v>
      </c>
      <c r="J741" s="67">
        <v>1.35219660174998</v>
      </c>
      <c r="K741" s="65">
        <v>47</v>
      </c>
      <c r="L741" s="65">
        <v>0</v>
      </c>
      <c r="M741" s="66">
        <v>0</v>
      </c>
      <c r="N741" s="67">
        <v>0</v>
      </c>
      <c r="O741" s="67">
        <v>0</v>
      </c>
      <c r="P741" s="67">
        <v>18.160000361502199</v>
      </c>
      <c r="Q741" s="68">
        <v>0</v>
      </c>
    </row>
    <row r="742" spans="1:17" x14ac:dyDescent="0.35">
      <c r="A742" s="62" t="s">
        <v>136</v>
      </c>
      <c r="B742" s="63">
        <v>873469</v>
      </c>
      <c r="C742" s="63" t="s">
        <v>143</v>
      </c>
      <c r="D742" s="64">
        <v>42657</v>
      </c>
      <c r="E742" s="63" t="s">
        <v>138</v>
      </c>
      <c r="F742" s="65">
        <v>36051</v>
      </c>
      <c r="G742" s="66">
        <v>4.7553976496310501E-3</v>
      </c>
      <c r="H742" s="65">
        <v>218</v>
      </c>
      <c r="I742" s="67">
        <v>0.26793104084743902</v>
      </c>
      <c r="J742" s="67">
        <v>1.27411864190911</v>
      </c>
      <c r="K742" s="65">
        <v>46</v>
      </c>
      <c r="L742" s="65">
        <v>1</v>
      </c>
      <c r="M742" s="66">
        <v>1.1494252873563199E-2</v>
      </c>
      <c r="N742" s="67">
        <v>132.51148546150799</v>
      </c>
      <c r="O742" s="67">
        <v>132.51148546150799</v>
      </c>
      <c r="P742" s="67">
        <v>23.3100005537272</v>
      </c>
      <c r="Q742" s="68">
        <v>0.17590928418426299</v>
      </c>
    </row>
    <row r="743" spans="1:17" x14ac:dyDescent="0.35">
      <c r="A743" s="62" t="s">
        <v>136</v>
      </c>
      <c r="B743" s="63">
        <v>873469</v>
      </c>
      <c r="C743" s="63" t="s">
        <v>143</v>
      </c>
      <c r="D743" s="64">
        <v>42658</v>
      </c>
      <c r="E743" s="63" t="s">
        <v>138</v>
      </c>
      <c r="F743" s="65">
        <v>10464</v>
      </c>
      <c r="G743" s="66">
        <v>3.8577182731037601E-3</v>
      </c>
      <c r="H743" s="65">
        <v>516</v>
      </c>
      <c r="I743" s="67">
        <v>0.361617653356756</v>
      </c>
      <c r="J743" s="67">
        <v>1.3950190292312601</v>
      </c>
      <c r="K743" s="65">
        <v>79</v>
      </c>
      <c r="L743" s="65">
        <v>6</v>
      </c>
      <c r="M743" s="66">
        <v>7.3529411764705899E-3</v>
      </c>
      <c r="N743" s="67">
        <v>50.282786784976103</v>
      </c>
      <c r="O743" s="67">
        <v>50.282786784976103</v>
      </c>
      <c r="P743" s="67">
        <v>49.180000856518703</v>
      </c>
      <c r="Q743" s="68">
        <v>0.97806832120953902</v>
      </c>
    </row>
    <row r="744" spans="1:17" x14ac:dyDescent="0.35">
      <c r="A744" s="62" t="s">
        <v>136</v>
      </c>
      <c r="B744" s="63">
        <v>873469</v>
      </c>
      <c r="C744" s="63" t="s">
        <v>143</v>
      </c>
      <c r="D744" s="64">
        <v>42659</v>
      </c>
      <c r="E744" s="63" t="s">
        <v>138</v>
      </c>
      <c r="F744" s="65">
        <v>24920</v>
      </c>
      <c r="G744" s="66">
        <v>3.46756518041153E-3</v>
      </c>
      <c r="H744" s="65">
        <v>525</v>
      </c>
      <c r="I744" s="67">
        <v>0.34443396941389698</v>
      </c>
      <c r="J744" s="67">
        <v>1.1943472392905601</v>
      </c>
      <c r="K744" s="65">
        <v>48</v>
      </c>
      <c r="L744" s="65">
        <v>5</v>
      </c>
      <c r="M744" s="66">
        <v>3.77358490566038E-2</v>
      </c>
      <c r="N744" s="67">
        <v>291.887595485823</v>
      </c>
      <c r="O744" s="67">
        <v>72.971898871455906</v>
      </c>
      <c r="P744" s="67">
        <v>36.510000757873101</v>
      </c>
      <c r="Q744" s="68">
        <v>0.125082399260938</v>
      </c>
    </row>
    <row r="745" spans="1:17" x14ac:dyDescent="0.35">
      <c r="A745" s="62" t="s">
        <v>136</v>
      </c>
      <c r="B745" s="63">
        <v>873469</v>
      </c>
      <c r="C745" s="63" t="s">
        <v>143</v>
      </c>
      <c r="D745" s="64">
        <v>42660</v>
      </c>
      <c r="E745" s="63" t="s">
        <v>138</v>
      </c>
      <c r="F745" s="65">
        <v>64410</v>
      </c>
      <c r="G745" s="66">
        <v>5.01172957986778E-3</v>
      </c>
      <c r="H745" s="65">
        <v>596</v>
      </c>
      <c r="I745" s="67">
        <v>0.41092199969587601</v>
      </c>
      <c r="J745" s="67">
        <v>2.05942994089424</v>
      </c>
      <c r="K745" s="65">
        <v>78</v>
      </c>
      <c r="L745" s="65">
        <v>2</v>
      </c>
      <c r="M745" s="66">
        <v>7.09219858156028E-3</v>
      </c>
      <c r="N745" s="67">
        <v>252.91623560183001</v>
      </c>
      <c r="O745" s="67">
        <v>252.91623560183001</v>
      </c>
      <c r="P745" s="67">
        <v>57.940001957118497</v>
      </c>
      <c r="Q745" s="68">
        <v>0.22908771285183199</v>
      </c>
    </row>
    <row r="746" spans="1:17" x14ac:dyDescent="0.35">
      <c r="A746" s="62" t="s">
        <v>136</v>
      </c>
      <c r="B746" s="63">
        <v>873469</v>
      </c>
      <c r="C746" s="63" t="s">
        <v>143</v>
      </c>
      <c r="D746" s="64">
        <v>42661</v>
      </c>
      <c r="E746" s="63" t="s">
        <v>138</v>
      </c>
      <c r="F746" s="65">
        <v>42224</v>
      </c>
      <c r="G746" s="66">
        <v>3.64170171922197E-3</v>
      </c>
      <c r="H746" s="65">
        <v>252</v>
      </c>
      <c r="I746" s="67">
        <v>0.39434110482995799</v>
      </c>
      <c r="J746" s="67">
        <v>1.4360726794191501</v>
      </c>
      <c r="K746" s="65">
        <v>54</v>
      </c>
      <c r="L746" s="65">
        <v>3</v>
      </c>
      <c r="M746" s="66">
        <v>1.5503875968992199E-2</v>
      </c>
      <c r="N746" s="67">
        <v>135.03004864948599</v>
      </c>
      <c r="O746" s="67">
        <v>67.515024324742797</v>
      </c>
      <c r="P746" s="67">
        <v>50.870002523064599</v>
      </c>
      <c r="Q746" s="68">
        <v>0.37673097974743602</v>
      </c>
    </row>
    <row r="747" spans="1:17" x14ac:dyDescent="0.35">
      <c r="A747" s="62" t="s">
        <v>136</v>
      </c>
      <c r="B747" s="63">
        <v>873469</v>
      </c>
      <c r="C747" s="63" t="s">
        <v>143</v>
      </c>
      <c r="D747" s="64">
        <v>42662</v>
      </c>
      <c r="E747" s="63" t="s">
        <v>138</v>
      </c>
      <c r="F747" s="65">
        <v>67336</v>
      </c>
      <c r="G747" s="66">
        <v>3.9765057823501499E-3</v>
      </c>
      <c r="H747" s="65">
        <v>272</v>
      </c>
      <c r="I747" s="67">
        <v>0.39899084224886799</v>
      </c>
      <c r="J747" s="67">
        <v>1.5865893913073801</v>
      </c>
      <c r="K747" s="65">
        <v>60</v>
      </c>
      <c r="L747" s="65">
        <v>3</v>
      </c>
      <c r="M747" s="66">
        <v>2.7522935779816501E-2</v>
      </c>
      <c r="N747" s="67">
        <v>316.14527764696197</v>
      </c>
      <c r="O747" s="67">
        <v>105.381759215654</v>
      </c>
      <c r="P747" s="67">
        <v>43.490001805126703</v>
      </c>
      <c r="Q747" s="68">
        <v>0.13756334470284801</v>
      </c>
    </row>
    <row r="748" spans="1:17" x14ac:dyDescent="0.35">
      <c r="A748" s="62" t="s">
        <v>136</v>
      </c>
      <c r="B748" s="63">
        <v>873469</v>
      </c>
      <c r="C748" s="63" t="s">
        <v>143</v>
      </c>
      <c r="D748" s="64">
        <v>42663</v>
      </c>
      <c r="E748" s="63" t="s">
        <v>138</v>
      </c>
      <c r="F748" s="65">
        <v>66501</v>
      </c>
      <c r="G748" s="66">
        <v>4.5521690633384604E-3</v>
      </c>
      <c r="H748" s="65">
        <v>344</v>
      </c>
      <c r="I748" s="67">
        <v>0.39364240515903098</v>
      </c>
      <c r="J748" s="67">
        <v>1.7919267787830899</v>
      </c>
      <c r="K748" s="65">
        <v>32</v>
      </c>
      <c r="L748" s="65">
        <v>0</v>
      </c>
      <c r="M748" s="66">
        <v>0</v>
      </c>
      <c r="N748" s="67">
        <v>0</v>
      </c>
      <c r="O748" s="67">
        <v>0</v>
      </c>
      <c r="P748" s="67">
        <v>59.440003179013701</v>
      </c>
      <c r="Q748" s="68">
        <v>0</v>
      </c>
    </row>
    <row r="749" spans="1:17" x14ac:dyDescent="0.35">
      <c r="A749" s="62" t="s">
        <v>136</v>
      </c>
      <c r="B749" s="63">
        <v>873469</v>
      </c>
      <c r="C749" s="63" t="s">
        <v>143</v>
      </c>
      <c r="D749" s="64">
        <v>42664</v>
      </c>
      <c r="E749" s="63" t="s">
        <v>138</v>
      </c>
      <c r="F749" s="65">
        <v>47490</v>
      </c>
      <c r="G749" s="66">
        <v>4.77047000860249E-3</v>
      </c>
      <c r="H749" s="65">
        <v>209</v>
      </c>
      <c r="I749" s="67">
        <v>0.426147566009007</v>
      </c>
      <c r="J749" s="67">
        <v>2.0329241828849201</v>
      </c>
      <c r="K749" s="65">
        <v>53</v>
      </c>
      <c r="L749" s="65">
        <v>3</v>
      </c>
      <c r="M749" s="66">
        <v>1.2295081967213101E-2</v>
      </c>
      <c r="N749" s="67">
        <v>569.28242925790198</v>
      </c>
      <c r="O749" s="67">
        <v>189.760809752634</v>
      </c>
      <c r="P749" s="67">
        <v>103.980006106198</v>
      </c>
      <c r="Q749" s="68">
        <v>0.18265100196705999</v>
      </c>
    </row>
    <row r="750" spans="1:17" x14ac:dyDescent="0.35">
      <c r="A750" s="62" t="s">
        <v>136</v>
      </c>
      <c r="B750" s="63">
        <v>873469</v>
      </c>
      <c r="C750" s="63" t="s">
        <v>143</v>
      </c>
      <c r="D750" s="64">
        <v>42665</v>
      </c>
      <c r="E750" s="63" t="s">
        <v>138</v>
      </c>
      <c r="F750" s="65">
        <v>17744</v>
      </c>
      <c r="G750" s="66">
        <v>3.56649468550001E-3</v>
      </c>
      <c r="H750" s="65">
        <v>438</v>
      </c>
      <c r="I750" s="67">
        <v>0.36893282468493299</v>
      </c>
      <c r="J750" s="67">
        <v>1.31579695854532</v>
      </c>
      <c r="K750" s="65">
        <v>78</v>
      </c>
      <c r="L750" s="65">
        <v>4</v>
      </c>
      <c r="M750" s="66">
        <v>7.9051383399209498E-3</v>
      </c>
      <c r="N750" s="67">
        <v>453.95899341484801</v>
      </c>
      <c r="O750" s="67">
        <v>226.979496707424</v>
      </c>
      <c r="P750" s="67">
        <v>93.340004645288005</v>
      </c>
      <c r="Q750" s="68">
        <v>0.20561329547224</v>
      </c>
    </row>
    <row r="751" spans="1:17" x14ac:dyDescent="0.35">
      <c r="A751" s="62" t="s">
        <v>136</v>
      </c>
      <c r="B751" s="63">
        <v>873469</v>
      </c>
      <c r="C751" s="63" t="s">
        <v>143</v>
      </c>
      <c r="D751" s="64">
        <v>42666</v>
      </c>
      <c r="E751" s="63" t="s">
        <v>138</v>
      </c>
      <c r="F751" s="65">
        <v>39513</v>
      </c>
      <c r="G751" s="66">
        <v>3.3775434549798201E-3</v>
      </c>
      <c r="H751" s="65">
        <v>431</v>
      </c>
      <c r="I751" s="67">
        <v>0.382195141030158</v>
      </c>
      <c r="J751" s="67">
        <v>1.2908806971115001</v>
      </c>
      <c r="K751" s="65">
        <v>44</v>
      </c>
      <c r="L751" s="65">
        <v>6</v>
      </c>
      <c r="M751" s="66">
        <v>2.4390243902439001E-2</v>
      </c>
      <c r="N751" s="67">
        <v>332.53800198988898</v>
      </c>
      <c r="O751" s="67">
        <v>83.134500497472104</v>
      </c>
      <c r="P751" s="67">
        <v>62.680003128945799</v>
      </c>
      <c r="Q751" s="68">
        <v>0.18848974479269201</v>
      </c>
    </row>
    <row r="752" spans="1:17" x14ac:dyDescent="0.35">
      <c r="A752" s="62" t="s">
        <v>136</v>
      </c>
      <c r="B752" s="63">
        <v>873469</v>
      </c>
      <c r="C752" s="63" t="s">
        <v>143</v>
      </c>
      <c r="D752" s="64">
        <v>42667</v>
      </c>
      <c r="E752" s="63" t="s">
        <v>138</v>
      </c>
      <c r="F752" s="65">
        <v>1185</v>
      </c>
      <c r="G752" s="66">
        <v>2.5543478260869599E-3</v>
      </c>
      <c r="H752" s="65">
        <v>351</v>
      </c>
      <c r="I752" s="67">
        <v>0.37648937898747498</v>
      </c>
      <c r="J752" s="67">
        <v>0.96168482676148404</v>
      </c>
      <c r="K752" s="65">
        <v>21</v>
      </c>
      <c r="L752" s="65">
        <v>1</v>
      </c>
      <c r="M752" s="66">
        <v>1.0638297872340399E-2</v>
      </c>
      <c r="N752" s="67">
        <v>124.337218936234</v>
      </c>
      <c r="O752" s="67">
        <v>124.337218936234</v>
      </c>
      <c r="P752" s="67">
        <v>35.390001624822602</v>
      </c>
      <c r="Q752" s="68">
        <v>0.28462918768492301</v>
      </c>
    </row>
    <row r="753" spans="1:17" x14ac:dyDescent="0.35">
      <c r="A753" s="62" t="s">
        <v>136</v>
      </c>
      <c r="B753" s="63">
        <v>873469</v>
      </c>
      <c r="C753" s="63" t="s">
        <v>143</v>
      </c>
      <c r="D753" s="64">
        <v>42668</v>
      </c>
      <c r="E753" s="63" t="s">
        <v>138</v>
      </c>
      <c r="F753" s="65">
        <v>58741</v>
      </c>
      <c r="G753" s="66">
        <v>2.6166097838452801E-3</v>
      </c>
      <c r="H753" s="65">
        <v>343</v>
      </c>
      <c r="I753" s="67">
        <v>0.44826088894320598</v>
      </c>
      <c r="J753" s="67">
        <v>1.17292382772397</v>
      </c>
      <c r="K753" s="65">
        <v>96</v>
      </c>
      <c r="L753" s="65">
        <v>2</v>
      </c>
      <c r="M753" s="66">
        <v>4.3478260869565202E-2</v>
      </c>
      <c r="N753" s="67">
        <v>377.51856858168202</v>
      </c>
      <c r="O753" s="67">
        <v>188.75928429084101</v>
      </c>
      <c r="P753" s="67">
        <v>20.620000891387502</v>
      </c>
      <c r="Q753" s="68">
        <v>5.4619832261114401E-2</v>
      </c>
    </row>
    <row r="754" spans="1:17" x14ac:dyDescent="0.35">
      <c r="A754" s="62" t="s">
        <v>136</v>
      </c>
      <c r="B754" s="63">
        <v>873469</v>
      </c>
      <c r="C754" s="63" t="s">
        <v>143</v>
      </c>
      <c r="D754" s="64">
        <v>42669</v>
      </c>
      <c r="E754" s="63" t="s">
        <v>138</v>
      </c>
      <c r="F754" s="65">
        <v>51195</v>
      </c>
      <c r="G754" s="66">
        <v>3.5481963335304602E-3</v>
      </c>
      <c r="H754" s="65">
        <v>487</v>
      </c>
      <c r="I754" s="67">
        <v>0.32166667934507098</v>
      </c>
      <c r="J754" s="67">
        <v>1.1413365322711</v>
      </c>
      <c r="K754" s="65">
        <v>54</v>
      </c>
      <c r="L754" s="65">
        <v>3</v>
      </c>
      <c r="M754" s="66">
        <v>4.1666666666666699E-2</v>
      </c>
      <c r="N754" s="67">
        <v>83.775184903729695</v>
      </c>
      <c r="O754" s="67">
        <v>41.887592451864897</v>
      </c>
      <c r="P754" s="67">
        <v>15.4400006085634</v>
      </c>
      <c r="Q754" s="68">
        <v>0.184302793557619</v>
      </c>
    </row>
    <row r="755" spans="1:17" x14ac:dyDescent="0.35">
      <c r="A755" s="62" t="s">
        <v>136</v>
      </c>
      <c r="B755" s="63">
        <v>873469</v>
      </c>
      <c r="C755" s="63" t="s">
        <v>143</v>
      </c>
      <c r="D755" s="64">
        <v>42670</v>
      </c>
      <c r="E755" s="63" t="s">
        <v>138</v>
      </c>
      <c r="F755" s="65">
        <v>45290</v>
      </c>
      <c r="G755" s="66">
        <v>4.8484848484848502E-3</v>
      </c>
      <c r="H755" s="65">
        <v>181</v>
      </c>
      <c r="I755" s="67">
        <v>0.46576926441719901</v>
      </c>
      <c r="J755" s="67">
        <v>2.2582752214167199</v>
      </c>
      <c r="K755" s="65">
        <v>58</v>
      </c>
      <c r="L755" s="65">
        <v>1</v>
      </c>
      <c r="M755" s="66">
        <v>1.9230769230769201E-2</v>
      </c>
      <c r="N755" s="67">
        <v>17.629905234128199</v>
      </c>
      <c r="O755" s="67">
        <v>17.629905234128199</v>
      </c>
      <c r="P755" s="67">
        <v>24.220001749694301</v>
      </c>
      <c r="Q755" s="68">
        <v>1.37380215197124</v>
      </c>
    </row>
    <row r="756" spans="1:17" x14ac:dyDescent="0.35">
      <c r="A756" s="62" t="s">
        <v>136</v>
      </c>
      <c r="B756" s="63">
        <v>873469</v>
      </c>
      <c r="C756" s="63" t="s">
        <v>143</v>
      </c>
      <c r="D756" s="64">
        <v>42671</v>
      </c>
      <c r="E756" s="63" t="s">
        <v>138</v>
      </c>
      <c r="F756" s="65">
        <v>22649</v>
      </c>
      <c r="G756" s="66">
        <v>4.7410873714672699E-3</v>
      </c>
      <c r="H756" s="65">
        <v>306</v>
      </c>
      <c r="I756" s="67">
        <v>0.375844177584369</v>
      </c>
      <c r="J756" s="67">
        <v>1.7819100839847599</v>
      </c>
      <c r="K756" s="65">
        <v>39</v>
      </c>
      <c r="L756" s="65">
        <v>2</v>
      </c>
      <c r="M756" s="66">
        <v>2.5974025974026E-2</v>
      </c>
      <c r="N756" s="67">
        <v>233.07706577358999</v>
      </c>
      <c r="O756" s="67">
        <v>116.538532886795</v>
      </c>
      <c r="P756" s="67">
        <v>28.940001673996399</v>
      </c>
      <c r="Q756" s="68">
        <v>0.124164947666317</v>
      </c>
    </row>
    <row r="757" spans="1:17" x14ac:dyDescent="0.35">
      <c r="A757" s="62" t="s">
        <v>136</v>
      </c>
      <c r="B757" s="63">
        <v>873469</v>
      </c>
      <c r="C757" s="63" t="s">
        <v>143</v>
      </c>
      <c r="D757" s="64">
        <v>42672</v>
      </c>
      <c r="E757" s="63" t="s">
        <v>138</v>
      </c>
      <c r="F757" s="65">
        <v>25667</v>
      </c>
      <c r="G757" s="66">
        <v>2.7359074953541198E-3</v>
      </c>
      <c r="H757" s="65">
        <v>211</v>
      </c>
      <c r="I757" s="67">
        <v>0.38207549447158601</v>
      </c>
      <c r="J757" s="67">
        <v>1.0453232091159399</v>
      </c>
      <c r="K757" s="65">
        <v>54</v>
      </c>
      <c r="L757" s="65">
        <v>4</v>
      </c>
      <c r="M757" s="66">
        <v>1.88679245283019E-2</v>
      </c>
      <c r="N757" s="67">
        <v>51.166491274194897</v>
      </c>
      <c r="O757" s="67">
        <v>51.166491274194897</v>
      </c>
      <c r="P757" s="67">
        <v>20.250001206994099</v>
      </c>
      <c r="Q757" s="68">
        <v>0.39576685253786098</v>
      </c>
    </row>
    <row r="758" spans="1:17" x14ac:dyDescent="0.35">
      <c r="A758" s="62" t="s">
        <v>136</v>
      </c>
      <c r="B758" s="63">
        <v>873469</v>
      </c>
      <c r="C758" s="63" t="s">
        <v>143</v>
      </c>
      <c r="D758" s="64">
        <v>42673</v>
      </c>
      <c r="E758" s="63" t="s">
        <v>138</v>
      </c>
      <c r="F758" s="65">
        <v>44989</v>
      </c>
      <c r="G758" s="66">
        <v>2.24704673857216E-3</v>
      </c>
      <c r="H758" s="65">
        <v>333</v>
      </c>
      <c r="I758" s="67">
        <v>0.46771431245974099</v>
      </c>
      <c r="J758" s="67">
        <v>1.0509759203961799</v>
      </c>
      <c r="K758" s="65">
        <v>75</v>
      </c>
      <c r="L758" s="65">
        <v>0</v>
      </c>
      <c r="M758" s="66">
        <v>0</v>
      </c>
      <c r="N758" s="67">
        <v>0</v>
      </c>
      <c r="O758" s="67">
        <v>0</v>
      </c>
      <c r="P758" s="67">
        <v>16.3700009360909</v>
      </c>
      <c r="Q758" s="68">
        <v>0</v>
      </c>
    </row>
    <row r="759" spans="1:17" x14ac:dyDescent="0.35">
      <c r="A759" s="62" t="s">
        <v>136</v>
      </c>
      <c r="B759" s="63">
        <v>873469</v>
      </c>
      <c r="C759" s="63" t="s">
        <v>143</v>
      </c>
      <c r="D759" s="64">
        <v>42674</v>
      </c>
      <c r="E759" s="63" t="s">
        <v>138</v>
      </c>
      <c r="F759" s="65">
        <v>4335</v>
      </c>
      <c r="G759" s="66">
        <v>3.6210018105009099E-3</v>
      </c>
      <c r="H759" s="65">
        <v>188</v>
      </c>
      <c r="I759" s="67">
        <v>0.409000018487374</v>
      </c>
      <c r="J759" s="67">
        <v>1.4809898074376799</v>
      </c>
      <c r="K759" s="65">
        <v>64</v>
      </c>
      <c r="L759" s="65">
        <v>1</v>
      </c>
      <c r="M759" s="66">
        <v>0</v>
      </c>
      <c r="N759" s="67">
        <v>0</v>
      </c>
      <c r="O759" s="67">
        <v>0</v>
      </c>
      <c r="P759" s="67">
        <v>12.2700005546212</v>
      </c>
      <c r="Q759" s="68">
        <v>0</v>
      </c>
    </row>
    <row r="760" spans="1:17" x14ac:dyDescent="0.35">
      <c r="A760" s="62" t="s">
        <v>136</v>
      </c>
      <c r="B760" s="63">
        <v>873469</v>
      </c>
      <c r="C760" s="63" t="s">
        <v>143</v>
      </c>
      <c r="D760" s="64">
        <v>42675</v>
      </c>
      <c r="E760" s="63" t="s">
        <v>138</v>
      </c>
      <c r="F760" s="65">
        <v>519</v>
      </c>
      <c r="G760" s="66">
        <v>4.3089518474631102E-3</v>
      </c>
      <c r="H760" s="65">
        <v>327</v>
      </c>
      <c r="I760" s="67">
        <v>0.332250011712313</v>
      </c>
      <c r="J760" s="67">
        <v>1.4316493017874099</v>
      </c>
      <c r="K760" s="65">
        <v>44</v>
      </c>
      <c r="L760" s="65">
        <v>2</v>
      </c>
      <c r="M760" s="66">
        <v>0.05</v>
      </c>
      <c r="N760" s="67">
        <v>54.701309231070098</v>
      </c>
      <c r="O760" s="67">
        <v>27.350654615534999</v>
      </c>
      <c r="P760" s="67">
        <v>13.290000468492501</v>
      </c>
      <c r="Q760" s="68">
        <v>0.242955802252423</v>
      </c>
    </row>
    <row r="761" spans="1:17" x14ac:dyDescent="0.35">
      <c r="A761" s="62" t="s">
        <v>136</v>
      </c>
      <c r="B761" s="63">
        <v>873469</v>
      </c>
      <c r="C761" s="63" t="s">
        <v>143</v>
      </c>
      <c r="D761" s="64">
        <v>42676</v>
      </c>
      <c r="E761" s="63" t="s">
        <v>138</v>
      </c>
      <c r="F761" s="65">
        <v>41578</v>
      </c>
      <c r="G761" s="66">
        <v>4.9878501087095503E-3</v>
      </c>
      <c r="H761" s="65">
        <v>562</v>
      </c>
      <c r="I761" s="67">
        <v>0.33538462699223798</v>
      </c>
      <c r="J761" s="67">
        <v>1.67284824820275</v>
      </c>
      <c r="K761" s="65">
        <v>74</v>
      </c>
      <c r="L761" s="65">
        <v>4</v>
      </c>
      <c r="M761" s="66">
        <v>0.102564102564103</v>
      </c>
      <c r="N761" s="67">
        <v>312.47791952360399</v>
      </c>
      <c r="O761" s="67">
        <v>78.119479880900997</v>
      </c>
      <c r="P761" s="67">
        <v>13.0800004526973</v>
      </c>
      <c r="Q761" s="68">
        <v>4.1858959099057999E-2</v>
      </c>
    </row>
    <row r="762" spans="1:17" x14ac:dyDescent="0.35">
      <c r="A762" s="62" t="s">
        <v>136</v>
      </c>
      <c r="B762" s="63">
        <v>873469</v>
      </c>
      <c r="C762" s="63" t="s">
        <v>143</v>
      </c>
      <c r="D762" s="64">
        <v>42677</v>
      </c>
      <c r="E762" s="63" t="s">
        <v>138</v>
      </c>
      <c r="F762" s="65">
        <v>56063</v>
      </c>
      <c r="G762" s="66">
        <v>2.9980921231943301E-3</v>
      </c>
      <c r="H762" s="65">
        <v>169</v>
      </c>
      <c r="I762" s="67">
        <v>0.35818183252757202</v>
      </c>
      <c r="J762" s="67">
        <v>1.07386213077223</v>
      </c>
      <c r="K762" s="65">
        <v>15</v>
      </c>
      <c r="L762" s="65">
        <v>4</v>
      </c>
      <c r="M762" s="66">
        <v>4.5454545454545497E-2</v>
      </c>
      <c r="N762" s="67">
        <v>87.442556511348698</v>
      </c>
      <c r="O762" s="67">
        <v>87.442556511348698</v>
      </c>
      <c r="P762" s="67">
        <v>7.8800003156065896</v>
      </c>
      <c r="Q762" s="68">
        <v>9.01163075508193E-2</v>
      </c>
    </row>
    <row r="763" spans="1:17" x14ac:dyDescent="0.35">
      <c r="A763" s="62" t="s">
        <v>136</v>
      </c>
      <c r="B763" s="63">
        <v>873469</v>
      </c>
      <c r="C763" s="63" t="s">
        <v>143</v>
      </c>
      <c r="D763" s="64">
        <v>42678</v>
      </c>
      <c r="E763" s="63" t="s">
        <v>138</v>
      </c>
      <c r="F763" s="65">
        <v>4707</v>
      </c>
      <c r="G763" s="66">
        <v>4.17798203467725E-3</v>
      </c>
      <c r="H763" s="65">
        <v>218</v>
      </c>
      <c r="I763" s="67">
        <v>0.31583334592481499</v>
      </c>
      <c r="J763" s="67">
        <v>1.31954604522588</v>
      </c>
      <c r="K763" s="65">
        <v>64</v>
      </c>
      <c r="L763" s="65">
        <v>1</v>
      </c>
      <c r="M763" s="66">
        <v>1.6666666666666701E-2</v>
      </c>
      <c r="N763" s="67">
        <v>336.02863202545097</v>
      </c>
      <c r="O763" s="67">
        <v>336.02863202545097</v>
      </c>
      <c r="P763" s="67">
        <v>18.950000755488901</v>
      </c>
      <c r="Q763" s="68">
        <v>5.6394006193060398E-2</v>
      </c>
    </row>
    <row r="764" spans="1:17" x14ac:dyDescent="0.35">
      <c r="A764" s="62" t="s">
        <v>136</v>
      </c>
      <c r="B764" s="63">
        <v>987456</v>
      </c>
      <c r="C764" s="63" t="s">
        <v>144</v>
      </c>
      <c r="D764" s="64">
        <v>42552</v>
      </c>
      <c r="E764" s="63" t="s">
        <v>138</v>
      </c>
      <c r="F764" s="65">
        <v>58879</v>
      </c>
      <c r="G764" s="66">
        <v>3.6602347324448002E-3</v>
      </c>
      <c r="H764" s="65">
        <v>419</v>
      </c>
      <c r="I764" s="67">
        <v>1.09554346812808</v>
      </c>
      <c r="J764" s="67">
        <v>4.0099462529454302</v>
      </c>
      <c r="K764" s="65">
        <v>68</v>
      </c>
      <c r="L764" s="65">
        <v>19</v>
      </c>
      <c r="M764" s="66">
        <v>0.13043478260869601</v>
      </c>
      <c r="N764" s="67">
        <v>1706.11116836473</v>
      </c>
      <c r="O764" s="67">
        <v>142.17593069706101</v>
      </c>
      <c r="P764" s="67">
        <v>100.789999067783</v>
      </c>
      <c r="Q764" s="68">
        <v>5.9075868522910198E-2</v>
      </c>
    </row>
    <row r="765" spans="1:17" x14ac:dyDescent="0.35">
      <c r="A765" s="62" t="s">
        <v>136</v>
      </c>
      <c r="B765" s="63">
        <v>987456</v>
      </c>
      <c r="C765" s="63" t="s">
        <v>144</v>
      </c>
      <c r="D765" s="64">
        <v>42553</v>
      </c>
      <c r="E765" s="63" t="s">
        <v>138</v>
      </c>
      <c r="F765" s="65">
        <v>55717</v>
      </c>
      <c r="G765" s="66">
        <v>3.32803204335277E-3</v>
      </c>
      <c r="H765" s="65">
        <v>352</v>
      </c>
      <c r="I765" s="67">
        <v>1.03672565664865</v>
      </c>
      <c r="J765" s="67">
        <v>3.4502562054926602</v>
      </c>
      <c r="K765" s="65">
        <v>13</v>
      </c>
      <c r="L765" s="65">
        <v>25</v>
      </c>
      <c r="M765" s="66">
        <v>0.14159292035398199</v>
      </c>
      <c r="N765" s="67">
        <v>1674.9503081027699</v>
      </c>
      <c r="O765" s="67">
        <v>104.684394256423</v>
      </c>
      <c r="P765" s="67">
        <v>117.149999201298</v>
      </c>
      <c r="Q765" s="68">
        <v>6.99423729973188E-2</v>
      </c>
    </row>
    <row r="766" spans="1:17" x14ac:dyDescent="0.35">
      <c r="A766" s="62" t="s">
        <v>136</v>
      </c>
      <c r="B766" s="63">
        <v>987456</v>
      </c>
      <c r="C766" s="63" t="s">
        <v>144</v>
      </c>
      <c r="D766" s="64">
        <v>42554</v>
      </c>
      <c r="E766" s="63" t="s">
        <v>138</v>
      </c>
      <c r="F766" s="65">
        <v>17510</v>
      </c>
      <c r="G766" s="66">
        <v>3.8406870898478802E-3</v>
      </c>
      <c r="H766" s="65">
        <v>207</v>
      </c>
      <c r="I766" s="67">
        <v>0.98881889492508002</v>
      </c>
      <c r="J766" s="67">
        <v>3.7977439639364099</v>
      </c>
      <c r="K766" s="65">
        <v>18</v>
      </c>
      <c r="L766" s="65">
        <v>18</v>
      </c>
      <c r="M766" s="66">
        <v>0.110236220472441</v>
      </c>
      <c r="N766" s="67">
        <v>2119.7165127230801</v>
      </c>
      <c r="O766" s="67">
        <v>151.40832233736299</v>
      </c>
      <c r="P766" s="67">
        <v>125.579999655485</v>
      </c>
      <c r="Q766" s="68">
        <v>5.9243770995659903E-2</v>
      </c>
    </row>
    <row r="767" spans="1:17" x14ac:dyDescent="0.35">
      <c r="A767" s="62" t="s">
        <v>136</v>
      </c>
      <c r="B767" s="63">
        <v>987456</v>
      </c>
      <c r="C767" s="63" t="s">
        <v>144</v>
      </c>
      <c r="D767" s="64">
        <v>42555</v>
      </c>
      <c r="E767" s="63" t="s">
        <v>138</v>
      </c>
      <c r="F767" s="65">
        <v>13270</v>
      </c>
      <c r="G767" s="66">
        <v>2.9230269568041602E-3</v>
      </c>
      <c r="H767" s="65">
        <v>510</v>
      </c>
      <c r="I767" s="67">
        <v>0.98055555257532301</v>
      </c>
      <c r="J767" s="67">
        <v>2.8661903128216699</v>
      </c>
      <c r="K767" s="65">
        <v>12</v>
      </c>
      <c r="L767" s="65">
        <v>18</v>
      </c>
      <c r="M767" s="66">
        <v>0.14444444444444399</v>
      </c>
      <c r="N767" s="67">
        <v>1483.9225384572701</v>
      </c>
      <c r="O767" s="67">
        <v>114.147887573636</v>
      </c>
      <c r="P767" s="67">
        <v>88.249999731779099</v>
      </c>
      <c r="Q767" s="68">
        <v>5.9470759048869698E-2</v>
      </c>
    </row>
    <row r="768" spans="1:17" x14ac:dyDescent="0.35">
      <c r="A768" s="62" t="s">
        <v>136</v>
      </c>
      <c r="B768" s="63">
        <v>987456</v>
      </c>
      <c r="C768" s="63" t="s">
        <v>144</v>
      </c>
      <c r="D768" s="64">
        <v>42556</v>
      </c>
      <c r="E768" s="63" t="s">
        <v>138</v>
      </c>
      <c r="F768" s="65">
        <v>60754</v>
      </c>
      <c r="G768" s="66">
        <v>3.7164228254222098E-3</v>
      </c>
      <c r="H768" s="65">
        <v>157</v>
      </c>
      <c r="I768" s="67">
        <v>0.93708860044237896</v>
      </c>
      <c r="J768" s="67">
        <v>3.4826174641270198</v>
      </c>
      <c r="K768" s="65">
        <v>92</v>
      </c>
      <c r="L768" s="65">
        <v>9</v>
      </c>
      <c r="M768" s="66">
        <v>8.8607594936708903E-2</v>
      </c>
      <c r="N768" s="67">
        <v>686.83551396275902</v>
      </c>
      <c r="O768" s="67">
        <v>98.119359137537003</v>
      </c>
      <c r="P768" s="67">
        <v>74.029999434947996</v>
      </c>
      <c r="Q768" s="68">
        <v>0.10778417529376901</v>
      </c>
    </row>
    <row r="769" spans="1:17" x14ac:dyDescent="0.35">
      <c r="A769" s="62" t="s">
        <v>136</v>
      </c>
      <c r="B769" s="63">
        <v>987456</v>
      </c>
      <c r="C769" s="63" t="s">
        <v>144</v>
      </c>
      <c r="D769" s="64">
        <v>42557</v>
      </c>
      <c r="E769" s="63" t="s">
        <v>138</v>
      </c>
      <c r="F769" s="65">
        <v>65896</v>
      </c>
      <c r="G769" s="66">
        <v>4.2239117869370003E-3</v>
      </c>
      <c r="H769" s="65">
        <v>164</v>
      </c>
      <c r="I769" s="67">
        <v>0.96221050525966401</v>
      </c>
      <c r="J769" s="67">
        <v>4.0642922946809001</v>
      </c>
      <c r="K769" s="65">
        <v>87</v>
      </c>
      <c r="L769" s="65">
        <v>7</v>
      </c>
      <c r="M769" s="66">
        <v>6.3157894736842093E-2</v>
      </c>
      <c r="N769" s="67">
        <v>414.383266942587</v>
      </c>
      <c r="O769" s="67">
        <v>69.0638778237645</v>
      </c>
      <c r="P769" s="67">
        <v>91.409997999668093</v>
      </c>
      <c r="Q769" s="68">
        <v>0.220592879326696</v>
      </c>
    </row>
    <row r="770" spans="1:17" x14ac:dyDescent="0.35">
      <c r="A770" s="62" t="s">
        <v>136</v>
      </c>
      <c r="B770" s="63">
        <v>987456</v>
      </c>
      <c r="C770" s="63" t="s">
        <v>144</v>
      </c>
      <c r="D770" s="64">
        <v>42558</v>
      </c>
      <c r="E770" s="63" t="s">
        <v>138</v>
      </c>
      <c r="F770" s="65">
        <v>31801</v>
      </c>
      <c r="G770" s="66">
        <v>3.6757198284664101E-3</v>
      </c>
      <c r="H770" s="65">
        <v>394</v>
      </c>
      <c r="I770" s="67">
        <v>0.88222221326496897</v>
      </c>
      <c r="J770" s="67">
        <v>3.24280168241157</v>
      </c>
      <c r="K770" s="65">
        <v>18</v>
      </c>
      <c r="L770" s="65">
        <v>9</v>
      </c>
      <c r="M770" s="66">
        <v>6.9444444444444406E-2</v>
      </c>
      <c r="N770" s="67">
        <v>306.11980753788202</v>
      </c>
      <c r="O770" s="67">
        <v>61.223961507576497</v>
      </c>
      <c r="P770" s="67">
        <v>63.519999355077701</v>
      </c>
      <c r="Q770" s="68">
        <v>0.20750045502108599</v>
      </c>
    </row>
    <row r="771" spans="1:17" x14ac:dyDescent="0.35">
      <c r="A771" s="62" t="s">
        <v>136</v>
      </c>
      <c r="B771" s="63">
        <v>987456</v>
      </c>
      <c r="C771" s="63" t="s">
        <v>144</v>
      </c>
      <c r="D771" s="64">
        <v>42559</v>
      </c>
      <c r="E771" s="63" t="s">
        <v>138</v>
      </c>
      <c r="F771" s="65">
        <v>60095</v>
      </c>
      <c r="G771" s="66">
        <v>4.05788224485108E-3</v>
      </c>
      <c r="H771" s="65">
        <v>426</v>
      </c>
      <c r="I771" s="67">
        <v>0.93481130448152405</v>
      </c>
      <c r="J771" s="67">
        <v>3.79335419474166</v>
      </c>
      <c r="K771" s="65">
        <v>58</v>
      </c>
      <c r="L771" s="65">
        <v>15</v>
      </c>
      <c r="M771" s="66">
        <v>8.4905660377358499E-2</v>
      </c>
      <c r="N771" s="67">
        <v>879.98099289580102</v>
      </c>
      <c r="O771" s="67">
        <v>97.775665877311297</v>
      </c>
      <c r="P771" s="67">
        <v>99.089998275041594</v>
      </c>
      <c r="Q771" s="68">
        <v>0.112604702914049</v>
      </c>
    </row>
    <row r="772" spans="1:17" x14ac:dyDescent="0.35">
      <c r="A772" s="62" t="s">
        <v>136</v>
      </c>
      <c r="B772" s="63">
        <v>987456</v>
      </c>
      <c r="C772" s="63" t="s">
        <v>144</v>
      </c>
      <c r="D772" s="64">
        <v>42560</v>
      </c>
      <c r="E772" s="63" t="s">
        <v>138</v>
      </c>
      <c r="F772" s="65">
        <v>48987</v>
      </c>
      <c r="G772" s="66">
        <v>2.83442792948496E-3</v>
      </c>
      <c r="H772" s="65">
        <v>394</v>
      </c>
      <c r="I772" s="67">
        <v>0.88841461771871999</v>
      </c>
      <c r="J772" s="67">
        <v>2.5181472054246501</v>
      </c>
      <c r="K772" s="65">
        <v>87</v>
      </c>
      <c r="L772" s="65">
        <v>8</v>
      </c>
      <c r="M772" s="66">
        <v>4.8780487804878099E-2</v>
      </c>
      <c r="N772" s="67">
        <v>676.03076397677103</v>
      </c>
      <c r="O772" s="67">
        <v>169.00769099419301</v>
      </c>
      <c r="P772" s="67">
        <v>72.849998652935</v>
      </c>
      <c r="Q772" s="68">
        <v>0.10776136610173299</v>
      </c>
    </row>
    <row r="773" spans="1:17" x14ac:dyDescent="0.35">
      <c r="A773" s="62" t="s">
        <v>136</v>
      </c>
      <c r="B773" s="63">
        <v>987456</v>
      </c>
      <c r="C773" s="63" t="s">
        <v>144</v>
      </c>
      <c r="D773" s="64">
        <v>42561</v>
      </c>
      <c r="E773" s="63" t="s">
        <v>138</v>
      </c>
      <c r="F773" s="65">
        <v>39440</v>
      </c>
      <c r="G773" s="66">
        <v>3.4644564311713398E-3</v>
      </c>
      <c r="H773" s="65">
        <v>238</v>
      </c>
      <c r="I773" s="67">
        <v>0.88075949779794205</v>
      </c>
      <c r="J773" s="67">
        <v>3.0513529064613198</v>
      </c>
      <c r="K773" s="65">
        <v>25</v>
      </c>
      <c r="L773" s="65">
        <v>11</v>
      </c>
      <c r="M773" s="66">
        <v>6.3291139240506306E-2</v>
      </c>
      <c r="N773" s="67">
        <v>394.50255783150999</v>
      </c>
      <c r="O773" s="67">
        <v>78.900511566301901</v>
      </c>
      <c r="P773" s="67">
        <v>69.580000326037407</v>
      </c>
      <c r="Q773" s="68">
        <v>0.17637401569333999</v>
      </c>
    </row>
    <row r="774" spans="1:17" x14ac:dyDescent="0.35">
      <c r="A774" s="62" t="s">
        <v>136</v>
      </c>
      <c r="B774" s="63">
        <v>987456</v>
      </c>
      <c r="C774" s="63" t="s">
        <v>144</v>
      </c>
      <c r="D774" s="64">
        <v>42562</v>
      </c>
      <c r="E774" s="63" t="s">
        <v>138</v>
      </c>
      <c r="F774" s="65">
        <v>40007</v>
      </c>
      <c r="G774" s="66">
        <v>2.95872577543271E-3</v>
      </c>
      <c r="H774" s="65">
        <v>592</v>
      </c>
      <c r="I774" s="67">
        <v>0.762666667997837</v>
      </c>
      <c r="J774" s="67">
        <v>2.2565215286685798</v>
      </c>
      <c r="K774" s="65">
        <v>31</v>
      </c>
      <c r="L774" s="65">
        <v>11</v>
      </c>
      <c r="M774" s="66">
        <v>0.1</v>
      </c>
      <c r="N774" s="67">
        <v>642.92506757814203</v>
      </c>
      <c r="O774" s="67">
        <v>107.15417792968999</v>
      </c>
      <c r="P774" s="67">
        <v>45.760000079870203</v>
      </c>
      <c r="Q774" s="68">
        <v>7.1174701979260596E-2</v>
      </c>
    </row>
    <row r="775" spans="1:17" x14ac:dyDescent="0.35">
      <c r="A775" s="62" t="s">
        <v>136</v>
      </c>
      <c r="B775" s="63">
        <v>987456</v>
      </c>
      <c r="C775" s="63" t="s">
        <v>144</v>
      </c>
      <c r="D775" s="64">
        <v>42563</v>
      </c>
      <c r="E775" s="63" t="s">
        <v>138</v>
      </c>
      <c r="F775" s="65">
        <v>22331</v>
      </c>
      <c r="G775" s="66">
        <v>3.7209302325581402E-3</v>
      </c>
      <c r="H775" s="65">
        <v>263</v>
      </c>
      <c r="I775" s="67">
        <v>0.774821422728045</v>
      </c>
      <c r="J775" s="67">
        <v>2.8830564566624899</v>
      </c>
      <c r="K775" s="65">
        <v>74</v>
      </c>
      <c r="L775" s="65">
        <v>12</v>
      </c>
      <c r="M775" s="66">
        <v>0.17857142857142899</v>
      </c>
      <c r="N775" s="67">
        <v>714.58207014283198</v>
      </c>
      <c r="O775" s="67">
        <v>71.458207014283204</v>
      </c>
      <c r="P775" s="67">
        <v>43.3899996727705</v>
      </c>
      <c r="Q775" s="68">
        <v>6.0720806588524703E-2</v>
      </c>
    </row>
    <row r="776" spans="1:17" x14ac:dyDescent="0.35">
      <c r="A776" s="62" t="s">
        <v>136</v>
      </c>
      <c r="B776" s="63">
        <v>987456</v>
      </c>
      <c r="C776" s="63" t="s">
        <v>144</v>
      </c>
      <c r="D776" s="64">
        <v>42564</v>
      </c>
      <c r="E776" s="63" t="s">
        <v>138</v>
      </c>
      <c r="F776" s="65">
        <v>38310</v>
      </c>
      <c r="G776" s="66">
        <v>4.3025503523102804E-3</v>
      </c>
      <c r="H776" s="65">
        <v>227</v>
      </c>
      <c r="I776" s="67">
        <v>0.75246375000131305</v>
      </c>
      <c r="J776" s="67">
        <v>3.2375131726688702</v>
      </c>
      <c r="K776" s="65">
        <v>84</v>
      </c>
      <c r="L776" s="65">
        <v>12</v>
      </c>
      <c r="M776" s="66">
        <v>0.13043478260869601</v>
      </c>
      <c r="N776" s="67">
        <v>1015.5588025219899</v>
      </c>
      <c r="O776" s="67">
        <v>112.83986694688799</v>
      </c>
      <c r="P776" s="67">
        <v>51.919998750090599</v>
      </c>
      <c r="Q776" s="68">
        <v>5.1124561789189102E-2</v>
      </c>
    </row>
    <row r="777" spans="1:17" x14ac:dyDescent="0.35">
      <c r="A777" s="62" t="s">
        <v>136</v>
      </c>
      <c r="B777" s="63">
        <v>987456</v>
      </c>
      <c r="C777" s="63" t="s">
        <v>144</v>
      </c>
      <c r="D777" s="64">
        <v>42565</v>
      </c>
      <c r="E777" s="63" t="s">
        <v>138</v>
      </c>
      <c r="F777" s="65">
        <v>41452</v>
      </c>
      <c r="G777" s="66">
        <v>4.7072330654420198E-3</v>
      </c>
      <c r="H777" s="65">
        <v>472</v>
      </c>
      <c r="I777" s="67">
        <v>0.76243901161885796</v>
      </c>
      <c r="J777" s="67">
        <v>3.58897812587522</v>
      </c>
      <c r="K777" s="65">
        <v>17</v>
      </c>
      <c r="L777" s="65">
        <v>3</v>
      </c>
      <c r="M777" s="66">
        <v>2.4390243902439001E-2</v>
      </c>
      <c r="N777" s="67">
        <v>252.61474630478</v>
      </c>
      <c r="O777" s="67">
        <v>126.30737315239</v>
      </c>
      <c r="P777" s="67">
        <v>62.519998952746398</v>
      </c>
      <c r="Q777" s="68">
        <v>0.24749148601687701</v>
      </c>
    </row>
    <row r="778" spans="1:17" x14ac:dyDescent="0.35">
      <c r="A778" s="62" t="s">
        <v>136</v>
      </c>
      <c r="B778" s="63">
        <v>987456</v>
      </c>
      <c r="C778" s="63" t="s">
        <v>144</v>
      </c>
      <c r="D778" s="64">
        <v>42566</v>
      </c>
      <c r="E778" s="63" t="s">
        <v>138</v>
      </c>
      <c r="F778" s="65">
        <v>39031</v>
      </c>
      <c r="G778" s="66">
        <v>4.2785065590312801E-3</v>
      </c>
      <c r="H778" s="65">
        <v>406</v>
      </c>
      <c r="I778" s="67">
        <v>0.73518866441159902</v>
      </c>
      <c r="J778" s="67">
        <v>3.1455095228104701</v>
      </c>
      <c r="K778" s="65">
        <v>28</v>
      </c>
      <c r="L778" s="65">
        <v>10</v>
      </c>
      <c r="M778" s="66">
        <v>5.6603773584905703E-2</v>
      </c>
      <c r="N778" s="67">
        <v>671.36314274044901</v>
      </c>
      <c r="O778" s="67">
        <v>111.893857123408</v>
      </c>
      <c r="P778" s="67">
        <v>77.929998427629499</v>
      </c>
      <c r="Q778" s="68">
        <v>0.116077266484314</v>
      </c>
    </row>
    <row r="779" spans="1:17" x14ac:dyDescent="0.35">
      <c r="A779" s="62" t="s">
        <v>136</v>
      </c>
      <c r="B779" s="63">
        <v>987456</v>
      </c>
      <c r="C779" s="63" t="s">
        <v>144</v>
      </c>
      <c r="D779" s="64">
        <v>42567</v>
      </c>
      <c r="E779" s="63" t="s">
        <v>138</v>
      </c>
      <c r="F779" s="65">
        <v>9478</v>
      </c>
      <c r="G779" s="66">
        <v>4.1113031043317604E-3</v>
      </c>
      <c r="H779" s="65">
        <v>297</v>
      </c>
      <c r="I779" s="67">
        <v>0.765942019288955</v>
      </c>
      <c r="J779" s="67">
        <v>3.14901980164082</v>
      </c>
      <c r="K779" s="65">
        <v>65</v>
      </c>
      <c r="L779" s="65">
        <v>13</v>
      </c>
      <c r="M779" s="66">
        <v>5.7971014492753603E-2</v>
      </c>
      <c r="N779" s="67">
        <v>495.41879786318998</v>
      </c>
      <c r="O779" s="67">
        <v>61.927349732898797</v>
      </c>
      <c r="P779" s="67">
        <v>105.69999866187599</v>
      </c>
      <c r="Q779" s="68">
        <v>0.213354840627313</v>
      </c>
    </row>
    <row r="780" spans="1:17" x14ac:dyDescent="0.35">
      <c r="A780" s="62" t="s">
        <v>136</v>
      </c>
      <c r="B780" s="63">
        <v>987456</v>
      </c>
      <c r="C780" s="63" t="s">
        <v>144</v>
      </c>
      <c r="D780" s="64">
        <v>42568</v>
      </c>
      <c r="E780" s="63" t="s">
        <v>138</v>
      </c>
      <c r="F780" s="65">
        <v>20194</v>
      </c>
      <c r="G780" s="66">
        <v>3.9556962025316502E-3</v>
      </c>
      <c r="H780" s="65">
        <v>327</v>
      </c>
      <c r="I780" s="67">
        <v>0.77384613763827503</v>
      </c>
      <c r="J780" s="67">
        <v>3.0611002279995101</v>
      </c>
      <c r="K780" s="65">
        <v>40</v>
      </c>
      <c r="L780" s="65">
        <v>12</v>
      </c>
      <c r="M780" s="66">
        <v>6.9230769230769207E-2</v>
      </c>
      <c r="N780" s="67">
        <v>1461.4054742272799</v>
      </c>
      <c r="O780" s="67">
        <v>162.378386025254</v>
      </c>
      <c r="P780" s="67">
        <v>100.59999789297601</v>
      </c>
      <c r="Q780" s="68">
        <v>6.8837841151626902E-2</v>
      </c>
    </row>
    <row r="781" spans="1:17" x14ac:dyDescent="0.35">
      <c r="A781" s="62" t="s">
        <v>136</v>
      </c>
      <c r="B781" s="63">
        <v>987456</v>
      </c>
      <c r="C781" s="63" t="s">
        <v>144</v>
      </c>
      <c r="D781" s="64">
        <v>42569</v>
      </c>
      <c r="E781" s="63" t="s">
        <v>138</v>
      </c>
      <c r="F781" s="65">
        <v>37053</v>
      </c>
      <c r="G781" s="66">
        <v>3.1723543180978198E-3</v>
      </c>
      <c r="H781" s="65">
        <v>576</v>
      </c>
      <c r="I781" s="67">
        <v>0.78708737148243202</v>
      </c>
      <c r="J781" s="67">
        <v>2.49692002164256</v>
      </c>
      <c r="K781" s="65">
        <v>72</v>
      </c>
      <c r="L781" s="65">
        <v>10</v>
      </c>
      <c r="M781" s="66">
        <v>5.8252427184466E-2</v>
      </c>
      <c r="N781" s="67">
        <v>401.02860500781799</v>
      </c>
      <c r="O781" s="67">
        <v>66.838100834636407</v>
      </c>
      <c r="P781" s="67">
        <v>81.069999262690501</v>
      </c>
      <c r="Q781" s="68">
        <v>0.202155153648229</v>
      </c>
    </row>
    <row r="782" spans="1:17" x14ac:dyDescent="0.35">
      <c r="A782" s="62" t="s">
        <v>136</v>
      </c>
      <c r="B782" s="63">
        <v>987456</v>
      </c>
      <c r="C782" s="63" t="s">
        <v>144</v>
      </c>
      <c r="D782" s="64">
        <v>42570</v>
      </c>
      <c r="E782" s="63" t="s">
        <v>138</v>
      </c>
      <c r="F782" s="65">
        <v>37259</v>
      </c>
      <c r="G782" s="66">
        <v>3.7290868776456401E-3</v>
      </c>
      <c r="H782" s="65">
        <v>165</v>
      </c>
      <c r="I782" s="67">
        <v>0.78171170120303701</v>
      </c>
      <c r="J782" s="67">
        <v>2.9150708470582898</v>
      </c>
      <c r="K782" s="65">
        <v>21</v>
      </c>
      <c r="L782" s="65">
        <v>17</v>
      </c>
      <c r="M782" s="66">
        <v>9.00900900900901E-2</v>
      </c>
      <c r="N782" s="67">
        <v>1146.9012092354899</v>
      </c>
      <c r="O782" s="67">
        <v>114.690120923549</v>
      </c>
      <c r="P782" s="67">
        <v>86.769998833537102</v>
      </c>
      <c r="Q782" s="68">
        <v>7.5656035702828195E-2</v>
      </c>
    </row>
    <row r="783" spans="1:17" x14ac:dyDescent="0.35">
      <c r="A783" s="62" t="s">
        <v>136</v>
      </c>
      <c r="B783" s="63">
        <v>987456</v>
      </c>
      <c r="C783" s="63" t="s">
        <v>144</v>
      </c>
      <c r="D783" s="64">
        <v>42571</v>
      </c>
      <c r="E783" s="63" t="s">
        <v>138</v>
      </c>
      <c r="F783" s="65">
        <v>15810</v>
      </c>
      <c r="G783" s="66">
        <v>4.46443334766361E-3</v>
      </c>
      <c r="H783" s="65">
        <v>155</v>
      </c>
      <c r="I783" s="67">
        <v>0.73318517583387899</v>
      </c>
      <c r="J783" s="67">
        <v>3.2732563490053801</v>
      </c>
      <c r="K783" s="65">
        <v>68</v>
      </c>
      <c r="L783" s="65">
        <v>15</v>
      </c>
      <c r="M783" s="66">
        <v>5.9259259259259303E-2</v>
      </c>
      <c r="N783" s="67">
        <v>1085.05488657912</v>
      </c>
      <c r="O783" s="67">
        <v>135.63186082239</v>
      </c>
      <c r="P783" s="67">
        <v>98.979998737573595</v>
      </c>
      <c r="Q783" s="68">
        <v>9.1221190708269298E-2</v>
      </c>
    </row>
    <row r="784" spans="1:17" x14ac:dyDescent="0.35">
      <c r="A784" s="62" t="s">
        <v>136</v>
      </c>
      <c r="B784" s="63">
        <v>987456</v>
      </c>
      <c r="C784" s="63" t="s">
        <v>144</v>
      </c>
      <c r="D784" s="64">
        <v>42572</v>
      </c>
      <c r="E784" s="63" t="s">
        <v>138</v>
      </c>
      <c r="F784" s="65">
        <v>15319</v>
      </c>
      <c r="G784" s="66">
        <v>4.5201668984701003E-3</v>
      </c>
      <c r="H784" s="65">
        <v>441</v>
      </c>
      <c r="I784" s="67">
        <v>0.76384614236079695</v>
      </c>
      <c r="J784" s="67">
        <v>3.4527120482233502</v>
      </c>
      <c r="K784" s="65">
        <v>12</v>
      </c>
      <c r="L784" s="65">
        <v>13</v>
      </c>
      <c r="M784" s="66">
        <v>7.69230769230769E-2</v>
      </c>
      <c r="N784" s="67">
        <v>1061.3276731979299</v>
      </c>
      <c r="O784" s="67">
        <v>106.132767319793</v>
      </c>
      <c r="P784" s="67">
        <v>99.299998506903606</v>
      </c>
      <c r="Q784" s="68">
        <v>9.3562055352518103E-2</v>
      </c>
    </row>
    <row r="785" spans="1:17" x14ac:dyDescent="0.35">
      <c r="A785" s="62" t="s">
        <v>136</v>
      </c>
      <c r="B785" s="63">
        <v>987456</v>
      </c>
      <c r="C785" s="63" t="s">
        <v>144</v>
      </c>
      <c r="D785" s="64">
        <v>42573</v>
      </c>
      <c r="E785" s="63" t="s">
        <v>138</v>
      </c>
      <c r="F785" s="65">
        <v>42334</v>
      </c>
      <c r="G785" s="66">
        <v>4.0425399589526703E-3</v>
      </c>
      <c r="H785" s="65">
        <v>292</v>
      </c>
      <c r="I785" s="67">
        <v>0.79461537267153104</v>
      </c>
      <c r="J785" s="67">
        <v>3.21226439602273</v>
      </c>
      <c r="K785" s="65">
        <v>67</v>
      </c>
      <c r="L785" s="65">
        <v>12</v>
      </c>
      <c r="M785" s="66">
        <v>3.8461538461538498E-2</v>
      </c>
      <c r="N785" s="67">
        <v>620.06223726235498</v>
      </c>
      <c r="O785" s="67">
        <v>124.01244745247099</v>
      </c>
      <c r="P785" s="67">
        <v>103.299998447299</v>
      </c>
      <c r="Q785" s="68">
        <v>0.16659617735048701</v>
      </c>
    </row>
    <row r="786" spans="1:17" x14ac:dyDescent="0.35">
      <c r="A786" s="62" t="s">
        <v>136</v>
      </c>
      <c r="B786" s="63">
        <v>987456</v>
      </c>
      <c r="C786" s="63" t="s">
        <v>144</v>
      </c>
      <c r="D786" s="64">
        <v>42574</v>
      </c>
      <c r="E786" s="63" t="s">
        <v>138</v>
      </c>
      <c r="F786" s="65">
        <v>58657</v>
      </c>
      <c r="G786" s="66">
        <v>4.6167030658225703E-3</v>
      </c>
      <c r="H786" s="65">
        <v>242</v>
      </c>
      <c r="I786" s="67">
        <v>0.83257483231450302</v>
      </c>
      <c r="J786" s="67">
        <v>3.84375078087308</v>
      </c>
      <c r="K786" s="65">
        <v>81</v>
      </c>
      <c r="L786" s="65">
        <v>14</v>
      </c>
      <c r="M786" s="66">
        <v>5.9880239520958098E-2</v>
      </c>
      <c r="N786" s="67">
        <v>895.539800693546</v>
      </c>
      <c r="O786" s="67">
        <v>89.553980069354594</v>
      </c>
      <c r="P786" s="67">
        <v>139.03999699652201</v>
      </c>
      <c r="Q786" s="68">
        <v>0.15525831112011201</v>
      </c>
    </row>
    <row r="787" spans="1:17" x14ac:dyDescent="0.35">
      <c r="A787" s="62" t="s">
        <v>136</v>
      </c>
      <c r="B787" s="63">
        <v>987456</v>
      </c>
      <c r="C787" s="63" t="s">
        <v>144</v>
      </c>
      <c r="D787" s="64">
        <v>42575</v>
      </c>
      <c r="E787" s="63" t="s">
        <v>138</v>
      </c>
      <c r="F787" s="65">
        <v>27835</v>
      </c>
      <c r="G787" s="66">
        <v>4.9555273189326602E-3</v>
      </c>
      <c r="H787" s="65">
        <v>576</v>
      </c>
      <c r="I787" s="67">
        <v>0.70564101372773802</v>
      </c>
      <c r="J787" s="67">
        <v>3.49682332088714</v>
      </c>
      <c r="K787" s="65">
        <v>61</v>
      </c>
      <c r="L787" s="65">
        <v>14</v>
      </c>
      <c r="M787" s="66">
        <v>4.1025641025640998E-2</v>
      </c>
      <c r="N787" s="67">
        <v>673.43764528097597</v>
      </c>
      <c r="O787" s="67">
        <v>84.179705660121996</v>
      </c>
      <c r="P787" s="67">
        <v>137.599997676909</v>
      </c>
      <c r="Q787" s="68">
        <v>0.20432477845740099</v>
      </c>
    </row>
    <row r="788" spans="1:17" x14ac:dyDescent="0.35">
      <c r="A788" s="62" t="s">
        <v>136</v>
      </c>
      <c r="B788" s="63">
        <v>987456</v>
      </c>
      <c r="C788" s="63" t="s">
        <v>144</v>
      </c>
      <c r="D788" s="64">
        <v>42576</v>
      </c>
      <c r="E788" s="63" t="s">
        <v>138</v>
      </c>
      <c r="F788" s="65">
        <v>676</v>
      </c>
      <c r="G788" s="66">
        <v>4.4423214712204402E-3</v>
      </c>
      <c r="H788" s="65">
        <v>541</v>
      </c>
      <c r="I788" s="67">
        <v>0.75387095884289801</v>
      </c>
      <c r="J788" s="67">
        <v>3.3489371469973501</v>
      </c>
      <c r="K788" s="65">
        <v>33</v>
      </c>
      <c r="L788" s="65">
        <v>15</v>
      </c>
      <c r="M788" s="66">
        <v>4.8387096774193498E-2</v>
      </c>
      <c r="N788" s="67">
        <v>1433.5292565893701</v>
      </c>
      <c r="O788" s="67">
        <v>159.28102850993</v>
      </c>
      <c r="P788" s="67">
        <v>140.21999834477899</v>
      </c>
      <c r="Q788" s="68">
        <v>9.7814535490114901E-2</v>
      </c>
    </row>
    <row r="789" spans="1:17" x14ac:dyDescent="0.35">
      <c r="A789" s="62" t="s">
        <v>136</v>
      </c>
      <c r="B789" s="63">
        <v>987456</v>
      </c>
      <c r="C789" s="63" t="s">
        <v>144</v>
      </c>
      <c r="D789" s="64">
        <v>42577</v>
      </c>
      <c r="E789" s="63" t="s">
        <v>138</v>
      </c>
      <c r="F789" s="65">
        <v>40806</v>
      </c>
      <c r="G789" s="66">
        <v>3.4939882848628099E-3</v>
      </c>
      <c r="H789" s="65">
        <v>386</v>
      </c>
      <c r="I789" s="67">
        <v>0.73670589301515998</v>
      </c>
      <c r="J789" s="67">
        <v>2.5740417595843601</v>
      </c>
      <c r="K789" s="65">
        <v>36</v>
      </c>
      <c r="L789" s="65">
        <v>7</v>
      </c>
      <c r="M789" s="66">
        <v>1.1764705882352899E-2</v>
      </c>
      <c r="N789" s="67">
        <v>220.243760797351</v>
      </c>
      <c r="O789" s="67">
        <v>110.121880398675</v>
      </c>
      <c r="P789" s="67">
        <v>125.24000181257701</v>
      </c>
      <c r="Q789" s="68">
        <v>0.568642677364251</v>
      </c>
    </row>
    <row r="790" spans="1:17" x14ac:dyDescent="0.35">
      <c r="A790" s="62" t="s">
        <v>136</v>
      </c>
      <c r="B790" s="63">
        <v>987456</v>
      </c>
      <c r="C790" s="63" t="s">
        <v>144</v>
      </c>
      <c r="D790" s="64">
        <v>42578</v>
      </c>
      <c r="E790" s="63" t="s">
        <v>138</v>
      </c>
      <c r="F790" s="65">
        <v>64849</v>
      </c>
      <c r="G790" s="66">
        <v>4.2805601418699898E-3</v>
      </c>
      <c r="H790" s="65">
        <v>454</v>
      </c>
      <c r="I790" s="67">
        <v>0.75190477108671605</v>
      </c>
      <c r="J790" s="67">
        <v>3.2185735935956798</v>
      </c>
      <c r="K790" s="65">
        <v>63</v>
      </c>
      <c r="L790" s="65">
        <v>5</v>
      </c>
      <c r="M790" s="66">
        <v>9.5238095238095195E-3</v>
      </c>
      <c r="N790" s="67">
        <v>184.761005816747</v>
      </c>
      <c r="O790" s="67">
        <v>92.380502908373501</v>
      </c>
      <c r="P790" s="67">
        <v>157.90000192821</v>
      </c>
      <c r="Q790" s="68">
        <v>0.85461757057558796</v>
      </c>
    </row>
    <row r="791" spans="1:17" x14ac:dyDescent="0.35">
      <c r="A791" s="62" t="s">
        <v>136</v>
      </c>
      <c r="B791" s="63">
        <v>987456</v>
      </c>
      <c r="C791" s="63" t="s">
        <v>144</v>
      </c>
      <c r="D791" s="64">
        <v>42579</v>
      </c>
      <c r="E791" s="63" t="s">
        <v>138</v>
      </c>
      <c r="F791" s="65">
        <v>51668</v>
      </c>
      <c r="G791" s="66">
        <v>4.5256022608248904E-3</v>
      </c>
      <c r="H791" s="65">
        <v>290</v>
      </c>
      <c r="I791" s="67">
        <v>0.78082970598118795</v>
      </c>
      <c r="J791" s="67">
        <v>3.5337246827076898</v>
      </c>
      <c r="K791" s="65">
        <v>31</v>
      </c>
      <c r="L791" s="65">
        <v>12</v>
      </c>
      <c r="M791" s="66">
        <v>3.9301310043668103E-2</v>
      </c>
      <c r="N791" s="67">
        <v>592.70466215846102</v>
      </c>
      <c r="O791" s="67">
        <v>65.856073573162305</v>
      </c>
      <c r="P791" s="67">
        <v>178.81000266969201</v>
      </c>
      <c r="Q791" s="68">
        <v>0.30168482565755</v>
      </c>
    </row>
    <row r="792" spans="1:17" x14ac:dyDescent="0.35">
      <c r="A792" s="62" t="s">
        <v>136</v>
      </c>
      <c r="B792" s="63">
        <v>987456</v>
      </c>
      <c r="C792" s="63" t="s">
        <v>144</v>
      </c>
      <c r="D792" s="64">
        <v>42580</v>
      </c>
      <c r="E792" s="63" t="s">
        <v>138</v>
      </c>
      <c r="F792" s="65">
        <v>50914</v>
      </c>
      <c r="G792" s="66">
        <v>5.66111170081025E-3</v>
      </c>
      <c r="H792" s="65">
        <v>369</v>
      </c>
      <c r="I792" s="67">
        <v>0.72200001347809994</v>
      </c>
      <c r="J792" s="67">
        <v>4.0873227242860297</v>
      </c>
      <c r="K792" s="65">
        <v>32</v>
      </c>
      <c r="L792" s="65">
        <v>13</v>
      </c>
      <c r="M792" s="66">
        <v>2.5000000000000001E-2</v>
      </c>
      <c r="N792" s="67">
        <v>883.91391313295503</v>
      </c>
      <c r="O792" s="67">
        <v>110.489239141619</v>
      </c>
      <c r="P792" s="67">
        <v>231.04000431299201</v>
      </c>
      <c r="Q792" s="68">
        <v>0.26138292528295098</v>
      </c>
    </row>
    <row r="793" spans="1:17" x14ac:dyDescent="0.35">
      <c r="A793" s="62" t="s">
        <v>136</v>
      </c>
      <c r="B793" s="63">
        <v>987456</v>
      </c>
      <c r="C793" s="63" t="s">
        <v>144</v>
      </c>
      <c r="D793" s="64">
        <v>42581</v>
      </c>
      <c r="E793" s="63" t="s">
        <v>138</v>
      </c>
      <c r="F793" s="65">
        <v>12719</v>
      </c>
      <c r="G793" s="66">
        <v>4.6086072517790601E-3</v>
      </c>
      <c r="H793" s="65">
        <v>483</v>
      </c>
      <c r="I793" s="67">
        <v>0.56003677193075396</v>
      </c>
      <c r="J793" s="67">
        <v>2.58098952838301</v>
      </c>
      <c r="K793" s="65">
        <v>34</v>
      </c>
      <c r="L793" s="65">
        <v>14</v>
      </c>
      <c r="M793" s="66">
        <v>2.2058823529411801E-2</v>
      </c>
      <c r="N793" s="67">
        <v>566.60040750634596</v>
      </c>
      <c r="O793" s="67">
        <v>94.433401251057703</v>
      </c>
      <c r="P793" s="67">
        <v>152.330001965165</v>
      </c>
      <c r="Q793" s="68">
        <v>0.26884908649392197</v>
      </c>
    </row>
    <row r="794" spans="1:17" x14ac:dyDescent="0.35">
      <c r="A794" s="62" t="s">
        <v>136</v>
      </c>
      <c r="B794" s="63">
        <v>987456</v>
      </c>
      <c r="C794" s="63" t="s">
        <v>144</v>
      </c>
      <c r="D794" s="64">
        <v>42582</v>
      </c>
      <c r="E794" s="63" t="s">
        <v>138</v>
      </c>
      <c r="F794" s="65">
        <v>34096</v>
      </c>
      <c r="G794" s="66">
        <v>4.3008865092600702E-3</v>
      </c>
      <c r="H794" s="65">
        <v>240</v>
      </c>
      <c r="I794" s="67">
        <v>0.52751020959445405</v>
      </c>
      <c r="J794" s="67">
        <v>2.2687615439417401</v>
      </c>
      <c r="K794" s="65">
        <v>17</v>
      </c>
      <c r="L794" s="65">
        <v>8</v>
      </c>
      <c r="M794" s="66">
        <v>2.04081632653061E-2</v>
      </c>
      <c r="N794" s="67">
        <v>465.16553318400599</v>
      </c>
      <c r="O794" s="67">
        <v>93.033106636801094</v>
      </c>
      <c r="P794" s="67">
        <v>129.24000135064099</v>
      </c>
      <c r="Q794" s="68">
        <v>0.27783658102527098</v>
      </c>
    </row>
    <row r="795" spans="1:17" x14ac:dyDescent="0.35">
      <c r="A795" s="62" t="s">
        <v>136</v>
      </c>
      <c r="B795" s="63">
        <v>987456</v>
      </c>
      <c r="C795" s="63" t="s">
        <v>144</v>
      </c>
      <c r="D795" s="64">
        <v>42583</v>
      </c>
      <c r="E795" s="63" t="s">
        <v>138</v>
      </c>
      <c r="F795" s="65">
        <v>48378</v>
      </c>
      <c r="G795" s="66">
        <v>5.7088645517792396E-3</v>
      </c>
      <c r="H795" s="65">
        <v>570</v>
      </c>
      <c r="I795" s="67">
        <v>0.51667639617495897</v>
      </c>
      <c r="J795" s="67">
        <v>2.9496355628642701</v>
      </c>
      <c r="K795" s="65">
        <v>74</v>
      </c>
      <c r="L795" s="65">
        <v>11</v>
      </c>
      <c r="M795" s="66">
        <v>2.6239067055393601E-2</v>
      </c>
      <c r="N795" s="67">
        <v>1003.75064468976</v>
      </c>
      <c r="O795" s="67">
        <v>111.527849409973</v>
      </c>
      <c r="P795" s="67">
        <v>177.22000388801101</v>
      </c>
      <c r="Q795" s="68">
        <v>0.17655779831930901</v>
      </c>
    </row>
    <row r="796" spans="1:17" x14ac:dyDescent="0.35">
      <c r="A796" s="62" t="s">
        <v>136</v>
      </c>
      <c r="B796" s="63">
        <v>987456</v>
      </c>
      <c r="C796" s="63" t="s">
        <v>144</v>
      </c>
      <c r="D796" s="64">
        <v>42584</v>
      </c>
      <c r="E796" s="63" t="s">
        <v>138</v>
      </c>
      <c r="F796" s="65">
        <v>11949</v>
      </c>
      <c r="G796" s="66">
        <v>4.4817470664928298E-3</v>
      </c>
      <c r="H796" s="65">
        <v>275</v>
      </c>
      <c r="I796" s="67">
        <v>0.49648485725576202</v>
      </c>
      <c r="J796" s="67">
        <v>2.2251195525641201</v>
      </c>
      <c r="K796" s="65">
        <v>70</v>
      </c>
      <c r="L796" s="65">
        <v>14</v>
      </c>
      <c r="M796" s="66">
        <v>1.8181818181818198E-2</v>
      </c>
      <c r="N796" s="67">
        <v>540.56733985423296</v>
      </c>
      <c r="O796" s="67">
        <v>90.094556642372197</v>
      </c>
      <c r="P796" s="67">
        <v>163.84000289440201</v>
      </c>
      <c r="Q796" s="68">
        <v>0.30308897858790701</v>
      </c>
    </row>
    <row r="797" spans="1:17" x14ac:dyDescent="0.35">
      <c r="A797" s="62" t="s">
        <v>136</v>
      </c>
      <c r="B797" s="63">
        <v>987456</v>
      </c>
      <c r="C797" s="63" t="s">
        <v>144</v>
      </c>
      <c r="D797" s="64">
        <v>42585</v>
      </c>
      <c r="E797" s="63" t="s">
        <v>138</v>
      </c>
      <c r="F797" s="65">
        <v>18737</v>
      </c>
      <c r="G797" s="66">
        <v>4.6078389800562596E-3</v>
      </c>
      <c r="H797" s="65">
        <v>220</v>
      </c>
      <c r="I797" s="67">
        <v>0.50886504082409101</v>
      </c>
      <c r="J797" s="67">
        <v>2.3447681706971699</v>
      </c>
      <c r="K797" s="65">
        <v>77</v>
      </c>
      <c r="L797" s="65">
        <v>12</v>
      </c>
      <c r="M797" s="66">
        <v>1.84049079754601E-2</v>
      </c>
      <c r="N797" s="67">
        <v>349.41369366041403</v>
      </c>
      <c r="O797" s="67">
        <v>58.235615610069097</v>
      </c>
      <c r="P797" s="67">
        <v>165.890003308654</v>
      </c>
      <c r="Q797" s="68">
        <v>0.47476674875220498</v>
      </c>
    </row>
    <row r="798" spans="1:17" x14ac:dyDescent="0.35">
      <c r="A798" s="62" t="s">
        <v>136</v>
      </c>
      <c r="B798" s="63">
        <v>987456</v>
      </c>
      <c r="C798" s="63" t="s">
        <v>144</v>
      </c>
      <c r="D798" s="64">
        <v>42586</v>
      </c>
      <c r="E798" s="63" t="s">
        <v>138</v>
      </c>
      <c r="F798" s="65">
        <v>15622</v>
      </c>
      <c r="G798" s="66">
        <v>5.1819201541937199E-3</v>
      </c>
      <c r="H798" s="65">
        <v>252</v>
      </c>
      <c r="I798" s="67">
        <v>0.51417683764565303</v>
      </c>
      <c r="J798" s="67">
        <v>2.6644233178155998</v>
      </c>
      <c r="K798" s="65">
        <v>44</v>
      </c>
      <c r="L798" s="65">
        <v>12</v>
      </c>
      <c r="M798" s="66">
        <v>1.52439024390244E-2</v>
      </c>
      <c r="N798" s="67">
        <v>544.01620706004701</v>
      </c>
      <c r="O798" s="67">
        <v>108.803241412009</v>
      </c>
      <c r="P798" s="67">
        <v>168.65000274777401</v>
      </c>
      <c r="Q798" s="68">
        <v>0.310009151490516</v>
      </c>
    </row>
    <row r="799" spans="1:17" x14ac:dyDescent="0.35">
      <c r="A799" s="62" t="s">
        <v>136</v>
      </c>
      <c r="B799" s="63">
        <v>987456</v>
      </c>
      <c r="C799" s="63" t="s">
        <v>144</v>
      </c>
      <c r="D799" s="64">
        <v>42587</v>
      </c>
      <c r="E799" s="63" t="s">
        <v>138</v>
      </c>
      <c r="F799" s="65">
        <v>40249</v>
      </c>
      <c r="G799" s="66">
        <v>4.58700404053786E-3</v>
      </c>
      <c r="H799" s="65">
        <v>152</v>
      </c>
      <c r="I799" s="67">
        <v>0.51245488269449602</v>
      </c>
      <c r="J799" s="67">
        <v>2.3506326175129999</v>
      </c>
      <c r="K799" s="65">
        <v>24</v>
      </c>
      <c r="L799" s="65">
        <v>14</v>
      </c>
      <c r="M799" s="66">
        <v>1.4440433212996401E-2</v>
      </c>
      <c r="N799" s="67">
        <v>310.74323619639301</v>
      </c>
      <c r="O799" s="67">
        <v>77.685809049098197</v>
      </c>
      <c r="P799" s="67">
        <v>141.950002506375</v>
      </c>
      <c r="Q799" s="68">
        <v>0.45680802016447303</v>
      </c>
    </row>
    <row r="800" spans="1:17" x14ac:dyDescent="0.35">
      <c r="A800" s="62" t="s">
        <v>136</v>
      </c>
      <c r="B800" s="63">
        <v>987456</v>
      </c>
      <c r="C800" s="63" t="s">
        <v>144</v>
      </c>
      <c r="D800" s="64">
        <v>42588</v>
      </c>
      <c r="E800" s="63" t="s">
        <v>138</v>
      </c>
      <c r="F800" s="65">
        <v>40441</v>
      </c>
      <c r="G800" s="66">
        <v>4.0064620355411999E-3</v>
      </c>
      <c r="H800" s="65">
        <v>359</v>
      </c>
      <c r="I800" s="67">
        <v>0.49568548804569601</v>
      </c>
      <c r="J800" s="67">
        <v>1.98594508942379</v>
      </c>
      <c r="K800" s="65">
        <v>96</v>
      </c>
      <c r="L800" s="65">
        <v>18</v>
      </c>
      <c r="M800" s="66">
        <v>4.8387096774193498E-2</v>
      </c>
      <c r="N800" s="67">
        <v>1121.0122448059001</v>
      </c>
      <c r="O800" s="67">
        <v>93.417687067158099</v>
      </c>
      <c r="P800" s="67">
        <v>122.93000103533301</v>
      </c>
      <c r="Q800" s="68">
        <v>0.10965982004649601</v>
      </c>
    </row>
    <row r="801" spans="1:17" x14ac:dyDescent="0.35">
      <c r="A801" s="62" t="s">
        <v>136</v>
      </c>
      <c r="B801" s="63">
        <v>987456</v>
      </c>
      <c r="C801" s="63" t="s">
        <v>144</v>
      </c>
      <c r="D801" s="64">
        <v>42589</v>
      </c>
      <c r="E801" s="63" t="s">
        <v>138</v>
      </c>
      <c r="F801" s="65">
        <v>32536</v>
      </c>
      <c r="G801" s="66">
        <v>3.8954034239597301E-3</v>
      </c>
      <c r="H801" s="65">
        <v>161</v>
      </c>
      <c r="I801" s="67">
        <v>0.49948718509612899</v>
      </c>
      <c r="J801" s="67">
        <v>1.9457040910474701</v>
      </c>
      <c r="K801" s="65">
        <v>19</v>
      </c>
      <c r="L801" s="65">
        <v>13</v>
      </c>
      <c r="M801" s="66">
        <v>4.6153846153846198E-2</v>
      </c>
      <c r="N801" s="67">
        <v>1317.0805173118399</v>
      </c>
      <c r="O801" s="67">
        <v>146.34227970131599</v>
      </c>
      <c r="P801" s="67">
        <v>97.400001093745203</v>
      </c>
      <c r="Q801" s="68">
        <v>7.3951440184187506E-2</v>
      </c>
    </row>
    <row r="802" spans="1:17" x14ac:dyDescent="0.35">
      <c r="A802" s="62" t="s">
        <v>136</v>
      </c>
      <c r="B802" s="63">
        <v>987456</v>
      </c>
      <c r="C802" s="63" t="s">
        <v>144</v>
      </c>
      <c r="D802" s="64">
        <v>42590</v>
      </c>
      <c r="E802" s="63" t="s">
        <v>138</v>
      </c>
      <c r="F802" s="65">
        <v>68202</v>
      </c>
      <c r="G802" s="66">
        <v>3.89378752480719E-3</v>
      </c>
      <c r="H802" s="65">
        <v>375</v>
      </c>
      <c r="I802" s="67">
        <v>0.50683871911418099</v>
      </c>
      <c r="J802" s="67">
        <v>1.97352228157605</v>
      </c>
      <c r="K802" s="65">
        <v>87</v>
      </c>
      <c r="L802" s="65">
        <v>18</v>
      </c>
      <c r="M802" s="66">
        <v>5.8064516129032302E-2</v>
      </c>
      <c r="N802" s="67">
        <v>776.55631234921702</v>
      </c>
      <c r="O802" s="67">
        <v>86.284034705468599</v>
      </c>
      <c r="P802" s="67">
        <v>78.560001462697997</v>
      </c>
      <c r="Q802" s="68">
        <v>0.10116459065929199</v>
      </c>
    </row>
    <row r="803" spans="1:17" x14ac:dyDescent="0.35">
      <c r="A803" s="62" t="s">
        <v>136</v>
      </c>
      <c r="B803" s="63">
        <v>987456</v>
      </c>
      <c r="C803" s="63" t="s">
        <v>144</v>
      </c>
      <c r="D803" s="64">
        <v>42591</v>
      </c>
      <c r="E803" s="63" t="s">
        <v>138</v>
      </c>
      <c r="F803" s="65">
        <v>19358</v>
      </c>
      <c r="G803" s="66">
        <v>3.52038794208845E-3</v>
      </c>
      <c r="H803" s="65">
        <v>506</v>
      </c>
      <c r="I803" s="67">
        <v>0.50827815408343502</v>
      </c>
      <c r="J803" s="67">
        <v>1.7893362848623</v>
      </c>
      <c r="K803" s="65">
        <v>73</v>
      </c>
      <c r="L803" s="65">
        <v>10</v>
      </c>
      <c r="M803" s="66">
        <v>3.9735099337748297E-2</v>
      </c>
      <c r="N803" s="67">
        <v>686.41142919980803</v>
      </c>
      <c r="O803" s="67">
        <v>114.40190486663499</v>
      </c>
      <c r="P803" s="67">
        <v>76.750001266598701</v>
      </c>
      <c r="Q803" s="68">
        <v>0.111813408113077</v>
      </c>
    </row>
    <row r="804" spans="1:17" x14ac:dyDescent="0.35">
      <c r="A804" s="62" t="s">
        <v>136</v>
      </c>
      <c r="B804" s="63">
        <v>987456</v>
      </c>
      <c r="C804" s="63" t="s">
        <v>144</v>
      </c>
      <c r="D804" s="64">
        <v>42592</v>
      </c>
      <c r="E804" s="63" t="s">
        <v>138</v>
      </c>
      <c r="F804" s="65">
        <v>22056</v>
      </c>
      <c r="G804" s="66">
        <v>3.76414532459797E-3</v>
      </c>
      <c r="H804" s="65">
        <v>478</v>
      </c>
      <c r="I804" s="67">
        <v>0.51854430874691704</v>
      </c>
      <c r="J804" s="67">
        <v>1.9518761353666001</v>
      </c>
      <c r="K804" s="65">
        <v>78</v>
      </c>
      <c r="L804" s="65">
        <v>11</v>
      </c>
      <c r="M804" s="66">
        <v>3.1645569620253201E-2</v>
      </c>
      <c r="N804" s="67">
        <v>717.10640817988599</v>
      </c>
      <c r="O804" s="67">
        <v>143.42128163597701</v>
      </c>
      <c r="P804" s="67">
        <v>81.930000782012897</v>
      </c>
      <c r="Q804" s="68">
        <v>0.114250827837339</v>
      </c>
    </row>
    <row r="805" spans="1:17" x14ac:dyDescent="0.35">
      <c r="A805" s="62" t="s">
        <v>136</v>
      </c>
      <c r="B805" s="63">
        <v>987456</v>
      </c>
      <c r="C805" s="63" t="s">
        <v>144</v>
      </c>
      <c r="D805" s="64">
        <v>42593</v>
      </c>
      <c r="E805" s="63" t="s">
        <v>138</v>
      </c>
      <c r="F805" s="65">
        <v>340</v>
      </c>
      <c r="G805" s="66">
        <v>3.7603488592555098E-3</v>
      </c>
      <c r="H805" s="65">
        <v>313</v>
      </c>
      <c r="I805" s="67">
        <v>0.49714286963478899</v>
      </c>
      <c r="J805" s="67">
        <v>1.86943062271819</v>
      </c>
      <c r="K805" s="65">
        <v>61</v>
      </c>
      <c r="L805" s="65">
        <v>8</v>
      </c>
      <c r="M805" s="66">
        <v>2.5210084033613401E-2</v>
      </c>
      <c r="N805" s="67">
        <v>417.584483223468</v>
      </c>
      <c r="O805" s="67">
        <v>139.19482774115599</v>
      </c>
      <c r="P805" s="67">
        <v>59.160001486539798</v>
      </c>
      <c r="Q805" s="68">
        <v>0.14167193433497599</v>
      </c>
    </row>
    <row r="806" spans="1:17" x14ac:dyDescent="0.35">
      <c r="A806" s="62" t="s">
        <v>136</v>
      </c>
      <c r="B806" s="63">
        <v>987456</v>
      </c>
      <c r="C806" s="63" t="s">
        <v>144</v>
      </c>
      <c r="D806" s="64">
        <v>42594</v>
      </c>
      <c r="E806" s="63" t="s">
        <v>138</v>
      </c>
      <c r="F806" s="65">
        <v>56040</v>
      </c>
      <c r="G806" s="66">
        <v>4.2520715220235499E-3</v>
      </c>
      <c r="H806" s="65">
        <v>545</v>
      </c>
      <c r="I806" s="67">
        <v>0.51814103298462399</v>
      </c>
      <c r="J806" s="67">
        <v>2.2031727307457798</v>
      </c>
      <c r="K806" s="65">
        <v>49</v>
      </c>
      <c r="L806" s="65">
        <v>12</v>
      </c>
      <c r="M806" s="66">
        <v>2.5641025641025599E-2</v>
      </c>
      <c r="N806" s="67">
        <v>484.86808925522803</v>
      </c>
      <c r="O806" s="67">
        <v>121.21702231380701</v>
      </c>
      <c r="P806" s="67">
        <v>80.830001145601301</v>
      </c>
      <c r="Q806" s="68">
        <v>0.16670513679248</v>
      </c>
    </row>
    <row r="807" spans="1:17" x14ac:dyDescent="0.35">
      <c r="A807" s="62" t="s">
        <v>136</v>
      </c>
      <c r="B807" s="63">
        <v>987456</v>
      </c>
      <c r="C807" s="63" t="s">
        <v>144</v>
      </c>
      <c r="D807" s="64">
        <v>42595</v>
      </c>
      <c r="E807" s="63" t="s">
        <v>138</v>
      </c>
      <c r="F807" s="65">
        <v>36862</v>
      </c>
      <c r="G807" s="66">
        <v>3.8098790430010098E-3</v>
      </c>
      <c r="H807" s="65">
        <v>208</v>
      </c>
      <c r="I807" s="67">
        <v>0.52804196360227895</v>
      </c>
      <c r="J807" s="67">
        <v>2.0117760109534299</v>
      </c>
      <c r="K807" s="65">
        <v>64</v>
      </c>
      <c r="L807" s="65">
        <v>13</v>
      </c>
      <c r="M807" s="66">
        <v>3.4965034965035002E-2</v>
      </c>
      <c r="N807" s="67">
        <v>525.176743429927</v>
      </c>
      <c r="O807" s="67">
        <v>105.035348685985</v>
      </c>
      <c r="P807" s="67">
        <v>75.510000795126004</v>
      </c>
      <c r="Q807" s="68">
        <v>0.143780168752277</v>
      </c>
    </row>
    <row r="808" spans="1:17" x14ac:dyDescent="0.35">
      <c r="A808" s="62" t="s">
        <v>136</v>
      </c>
      <c r="B808" s="63">
        <v>987456</v>
      </c>
      <c r="C808" s="63" t="s">
        <v>144</v>
      </c>
      <c r="D808" s="64">
        <v>42596</v>
      </c>
      <c r="E808" s="63" t="s">
        <v>138</v>
      </c>
      <c r="F808" s="65">
        <v>47097</v>
      </c>
      <c r="G808" s="66">
        <v>3.0899961375048298E-3</v>
      </c>
      <c r="H808" s="65">
        <v>293</v>
      </c>
      <c r="I808" s="67">
        <v>0.474196438544563</v>
      </c>
      <c r="J808" s="67">
        <v>1.4652651635212399</v>
      </c>
      <c r="K808" s="65">
        <v>35</v>
      </c>
      <c r="L808" s="65">
        <v>17</v>
      </c>
      <c r="M808" s="66">
        <v>8.9285714285714302E-2</v>
      </c>
      <c r="N808" s="67">
        <v>800.91395199679198</v>
      </c>
      <c r="O808" s="67">
        <v>80.091395199679198</v>
      </c>
      <c r="P808" s="67">
        <v>53.110001116991</v>
      </c>
      <c r="Q808" s="68">
        <v>6.6311744207452394E-2</v>
      </c>
    </row>
    <row r="809" spans="1:17" x14ac:dyDescent="0.35">
      <c r="A809" s="62" t="s">
        <v>136</v>
      </c>
      <c r="B809" s="63">
        <v>987456</v>
      </c>
      <c r="C809" s="63" t="s">
        <v>144</v>
      </c>
      <c r="D809" s="64">
        <v>42597</v>
      </c>
      <c r="E809" s="63" t="s">
        <v>138</v>
      </c>
      <c r="F809" s="65">
        <v>42841</v>
      </c>
      <c r="G809" s="66">
        <v>3.6103716129973402E-3</v>
      </c>
      <c r="H809" s="65">
        <v>474</v>
      </c>
      <c r="I809" s="67">
        <v>0.56606060823406801</v>
      </c>
      <c r="J809" s="67">
        <v>2.0436891512042901</v>
      </c>
      <c r="K809" s="65">
        <v>51</v>
      </c>
      <c r="L809" s="65">
        <v>13</v>
      </c>
      <c r="M809" s="66">
        <v>7.0707070707070704E-2</v>
      </c>
      <c r="N809" s="67">
        <v>1052.1210816671701</v>
      </c>
      <c r="O809" s="67">
        <v>150.303011666738</v>
      </c>
      <c r="P809" s="67">
        <v>56.040000215172803</v>
      </c>
      <c r="Q809" s="68">
        <v>5.3263831693566299E-2</v>
      </c>
    </row>
    <row r="810" spans="1:17" x14ac:dyDescent="0.35">
      <c r="A810" s="62" t="s">
        <v>136</v>
      </c>
      <c r="B810" s="63">
        <v>987456</v>
      </c>
      <c r="C810" s="63" t="s">
        <v>144</v>
      </c>
      <c r="D810" s="64">
        <v>42598</v>
      </c>
      <c r="E810" s="63" t="s">
        <v>138</v>
      </c>
      <c r="F810" s="65">
        <v>61650</v>
      </c>
      <c r="G810" s="66">
        <v>4.6098123147843301E-3</v>
      </c>
      <c r="H810" s="65">
        <v>253</v>
      </c>
      <c r="I810" s="67">
        <v>0.51857143579697096</v>
      </c>
      <c r="J810" s="67">
        <v>2.3905169908322699</v>
      </c>
      <c r="K810" s="65">
        <v>48</v>
      </c>
      <c r="L810" s="65">
        <v>17</v>
      </c>
      <c r="M810" s="66">
        <v>7.1428571428571397E-2</v>
      </c>
      <c r="N810" s="67">
        <v>560.78632405388498</v>
      </c>
      <c r="O810" s="67">
        <v>80.112332007697802</v>
      </c>
      <c r="P810" s="67">
        <v>50.820000708103201</v>
      </c>
      <c r="Q810" s="68">
        <v>9.0622753316680404E-2</v>
      </c>
    </row>
    <row r="811" spans="1:17" x14ac:dyDescent="0.35">
      <c r="A811" s="62" t="s">
        <v>136</v>
      </c>
      <c r="B811" s="63">
        <v>987456</v>
      </c>
      <c r="C811" s="63" t="s">
        <v>144</v>
      </c>
      <c r="D811" s="64">
        <v>42599</v>
      </c>
      <c r="E811" s="63" t="s">
        <v>138</v>
      </c>
      <c r="F811" s="65">
        <v>58660</v>
      </c>
      <c r="G811" s="66">
        <v>3.8154525829609898E-3</v>
      </c>
      <c r="H811" s="65">
        <v>288</v>
      </c>
      <c r="I811" s="67">
        <v>0.502368417029318</v>
      </c>
      <c r="J811" s="67">
        <v>1.91676287435254</v>
      </c>
      <c r="K811" s="65">
        <v>58</v>
      </c>
      <c r="L811" s="65">
        <v>9</v>
      </c>
      <c r="M811" s="66">
        <v>5.2631578947368397E-2</v>
      </c>
      <c r="N811" s="67">
        <v>711.32955273218602</v>
      </c>
      <c r="O811" s="67">
        <v>177.83238818304599</v>
      </c>
      <c r="P811" s="67">
        <v>38.179999694228201</v>
      </c>
      <c r="Q811" s="68">
        <v>5.3674136759228497E-2</v>
      </c>
    </row>
    <row r="812" spans="1:17" x14ac:dyDescent="0.35">
      <c r="A812" s="62" t="s">
        <v>136</v>
      </c>
      <c r="B812" s="63">
        <v>987456</v>
      </c>
      <c r="C812" s="63" t="s">
        <v>144</v>
      </c>
      <c r="D812" s="64">
        <v>42600</v>
      </c>
      <c r="E812" s="63" t="s">
        <v>138</v>
      </c>
      <c r="F812" s="65">
        <v>43844</v>
      </c>
      <c r="G812" s="66">
        <v>4.6734668996626996E-3</v>
      </c>
      <c r="H812" s="65">
        <v>203</v>
      </c>
      <c r="I812" s="67">
        <v>0.48930434260679301</v>
      </c>
      <c r="J812" s="67">
        <v>2.2867476490340599</v>
      </c>
      <c r="K812" s="65">
        <v>14</v>
      </c>
      <c r="L812" s="65">
        <v>10</v>
      </c>
      <c r="M812" s="66">
        <v>5.21739130434783E-2</v>
      </c>
      <c r="N812" s="67">
        <v>683.13502920025405</v>
      </c>
      <c r="O812" s="67">
        <v>113.855838200042</v>
      </c>
      <c r="P812" s="67">
        <v>56.269999399781199</v>
      </c>
      <c r="Q812" s="68">
        <v>8.2370244526410105E-2</v>
      </c>
    </row>
    <row r="813" spans="1:17" x14ac:dyDescent="0.35">
      <c r="A813" s="62" t="s">
        <v>136</v>
      </c>
      <c r="B813" s="63">
        <v>987456</v>
      </c>
      <c r="C813" s="63" t="s">
        <v>144</v>
      </c>
      <c r="D813" s="64">
        <v>42601</v>
      </c>
      <c r="E813" s="63" t="s">
        <v>138</v>
      </c>
      <c r="F813" s="65">
        <v>35966</v>
      </c>
      <c r="G813" s="66">
        <v>4.7978257252204804E-3</v>
      </c>
      <c r="H813" s="65">
        <v>332</v>
      </c>
      <c r="I813" s="67">
        <v>0.47578034295856603</v>
      </c>
      <c r="J813" s="67">
        <v>2.2827111690008302</v>
      </c>
      <c r="K813" s="65">
        <v>76</v>
      </c>
      <c r="L813" s="65">
        <v>13</v>
      </c>
      <c r="M813" s="66">
        <v>4.0462427745664699E-2</v>
      </c>
      <c r="N813" s="67">
        <v>887.69616700797496</v>
      </c>
      <c r="O813" s="67">
        <v>126.81373814399601</v>
      </c>
      <c r="P813" s="67">
        <v>82.309999331831904</v>
      </c>
      <c r="Q813" s="68">
        <v>9.2723166316310598E-2</v>
      </c>
    </row>
    <row r="814" spans="1:17" x14ac:dyDescent="0.35">
      <c r="A814" s="62" t="s">
        <v>136</v>
      </c>
      <c r="B814" s="63">
        <v>987456</v>
      </c>
      <c r="C814" s="63" t="s">
        <v>144</v>
      </c>
      <c r="D814" s="64">
        <v>42602</v>
      </c>
      <c r="E814" s="63" t="s">
        <v>138</v>
      </c>
      <c r="F814" s="65">
        <v>13142</v>
      </c>
      <c r="G814" s="66">
        <v>4.3080497603949896E-3</v>
      </c>
      <c r="H814" s="65">
        <v>474</v>
      </c>
      <c r="I814" s="67">
        <v>0.54078651680035505</v>
      </c>
      <c r="J814" s="67">
        <v>2.32973522412661</v>
      </c>
      <c r="K814" s="65">
        <v>46</v>
      </c>
      <c r="L814" s="65">
        <v>20</v>
      </c>
      <c r="M814" s="66">
        <v>8.4269662921348298E-2</v>
      </c>
      <c r="N814" s="67">
        <v>1881.91929281241</v>
      </c>
      <c r="O814" s="67">
        <v>125.461286187494</v>
      </c>
      <c r="P814" s="67">
        <v>96.259999990463299</v>
      </c>
      <c r="Q814" s="68">
        <v>5.1149908690615899E-2</v>
      </c>
    </row>
    <row r="815" spans="1:17" x14ac:dyDescent="0.35">
      <c r="A815" s="62" t="s">
        <v>136</v>
      </c>
      <c r="B815" s="63">
        <v>987456</v>
      </c>
      <c r="C815" s="63" t="s">
        <v>144</v>
      </c>
      <c r="D815" s="64">
        <v>42603</v>
      </c>
      <c r="E815" s="63" t="s">
        <v>138</v>
      </c>
      <c r="F815" s="65">
        <v>63000</v>
      </c>
      <c r="G815" s="66">
        <v>3.9492160074888804E-3</v>
      </c>
      <c r="H815" s="65">
        <v>418</v>
      </c>
      <c r="I815" s="67">
        <v>0.50740740762816505</v>
      </c>
      <c r="J815" s="67">
        <v>2.0038614565235902</v>
      </c>
      <c r="K815" s="65">
        <v>13</v>
      </c>
      <c r="L815" s="65">
        <v>10</v>
      </c>
      <c r="M815" s="66">
        <v>5.9259259259259303E-2</v>
      </c>
      <c r="N815" s="67">
        <v>773.23678568080095</v>
      </c>
      <c r="O815" s="67">
        <v>96.654598210100104</v>
      </c>
      <c r="P815" s="67">
        <v>68.500000029802294</v>
      </c>
      <c r="Q815" s="68">
        <v>8.8588646192629197E-2</v>
      </c>
    </row>
    <row r="816" spans="1:17" x14ac:dyDescent="0.35">
      <c r="A816" s="62" t="s">
        <v>136</v>
      </c>
      <c r="B816" s="63">
        <v>987456</v>
      </c>
      <c r="C816" s="63" t="s">
        <v>144</v>
      </c>
      <c r="D816" s="64">
        <v>42604</v>
      </c>
      <c r="E816" s="63" t="s">
        <v>138</v>
      </c>
      <c r="F816" s="65">
        <v>17955</v>
      </c>
      <c r="G816" s="66">
        <v>4.3038200112789802E-3</v>
      </c>
      <c r="H816" s="65">
        <v>190</v>
      </c>
      <c r="I816" s="67">
        <v>0.49862068634608703</v>
      </c>
      <c r="J816" s="67">
        <v>2.1459736879339499</v>
      </c>
      <c r="K816" s="65">
        <v>22</v>
      </c>
      <c r="L816" s="65">
        <v>15</v>
      </c>
      <c r="M816" s="66">
        <v>6.8965517241379296E-2</v>
      </c>
      <c r="N816" s="67">
        <v>1146.1027615398</v>
      </c>
      <c r="O816" s="67">
        <v>114.61027615398</v>
      </c>
      <c r="P816" s="67">
        <v>72.299999520182595</v>
      </c>
      <c r="Q816" s="68">
        <v>6.3083348148508703E-2</v>
      </c>
    </row>
    <row r="817" spans="1:17" x14ac:dyDescent="0.35">
      <c r="A817" s="62" t="s">
        <v>136</v>
      </c>
      <c r="B817" s="63">
        <v>987456</v>
      </c>
      <c r="C817" s="63" t="s">
        <v>144</v>
      </c>
      <c r="D817" s="64">
        <v>42605</v>
      </c>
      <c r="E817" s="63" t="s">
        <v>138</v>
      </c>
      <c r="F817" s="65">
        <v>11777</v>
      </c>
      <c r="G817" s="66">
        <v>4.2035398230088504E-3</v>
      </c>
      <c r="H817" s="65">
        <v>586</v>
      </c>
      <c r="I817" s="67">
        <v>0.54353383317925896</v>
      </c>
      <c r="J817" s="67">
        <v>2.2847661129216599</v>
      </c>
      <c r="K817" s="65">
        <v>12</v>
      </c>
      <c r="L817" s="65">
        <v>13</v>
      </c>
      <c r="M817" s="66">
        <v>7.5187969924811998E-2</v>
      </c>
      <c r="N817" s="67">
        <v>859.11363666479804</v>
      </c>
      <c r="O817" s="67">
        <v>85.911363666479801</v>
      </c>
      <c r="P817" s="67">
        <v>72.289999812841401</v>
      </c>
      <c r="Q817" s="68">
        <v>8.4144863645141899E-2</v>
      </c>
    </row>
    <row r="818" spans="1:17" x14ac:dyDescent="0.35">
      <c r="A818" s="62" t="s">
        <v>136</v>
      </c>
      <c r="B818" s="63">
        <v>987456</v>
      </c>
      <c r="C818" s="63" t="s">
        <v>144</v>
      </c>
      <c r="D818" s="64">
        <v>42606</v>
      </c>
      <c r="E818" s="63" t="s">
        <v>138</v>
      </c>
      <c r="F818" s="65">
        <v>26785</v>
      </c>
      <c r="G818" s="66">
        <v>4.2750395171720097E-3</v>
      </c>
      <c r="H818" s="65">
        <v>323</v>
      </c>
      <c r="I818" s="67">
        <v>0.56302520131864497</v>
      </c>
      <c r="J818" s="67">
        <v>2.40695498480093</v>
      </c>
      <c r="K818" s="65">
        <v>79</v>
      </c>
      <c r="L818" s="65">
        <v>18</v>
      </c>
      <c r="M818" s="66">
        <v>7.5630252100840303E-2</v>
      </c>
      <c r="N818" s="67">
        <v>695.24916971031996</v>
      </c>
      <c r="O818" s="67">
        <v>77.249907745591102</v>
      </c>
      <c r="P818" s="67">
        <v>66.999998956918702</v>
      </c>
      <c r="Q818" s="68">
        <v>9.63683264588934E-2</v>
      </c>
    </row>
    <row r="819" spans="1:17" x14ac:dyDescent="0.35">
      <c r="A819" s="62" t="s">
        <v>136</v>
      </c>
      <c r="B819" s="63">
        <v>987456</v>
      </c>
      <c r="C819" s="63" t="s">
        <v>144</v>
      </c>
      <c r="D819" s="64">
        <v>42607</v>
      </c>
      <c r="E819" s="63" t="s">
        <v>138</v>
      </c>
      <c r="F819" s="65">
        <v>56908</v>
      </c>
      <c r="G819" s="66">
        <v>3.5682839797951701E-3</v>
      </c>
      <c r="H819" s="65">
        <v>585</v>
      </c>
      <c r="I819" s="67">
        <v>0.55233765964384196</v>
      </c>
      <c r="J819" s="67">
        <v>1.9708976223446799</v>
      </c>
      <c r="K819" s="65">
        <v>92</v>
      </c>
      <c r="L819" s="65">
        <v>9</v>
      </c>
      <c r="M819" s="66">
        <v>7.7922077922077906E-2</v>
      </c>
      <c r="N819" s="67">
        <v>1122.21936724025</v>
      </c>
      <c r="O819" s="67">
        <v>187.036561206709</v>
      </c>
      <c r="P819" s="67">
        <v>42.529999792575801</v>
      </c>
      <c r="Q819" s="68">
        <v>3.7898116031596499E-2</v>
      </c>
    </row>
    <row r="820" spans="1:17" x14ac:dyDescent="0.35">
      <c r="A820" s="62" t="s">
        <v>136</v>
      </c>
      <c r="B820" s="63">
        <v>987456</v>
      </c>
      <c r="C820" s="63" t="s">
        <v>144</v>
      </c>
      <c r="D820" s="64">
        <v>42608</v>
      </c>
      <c r="E820" s="63" t="s">
        <v>138</v>
      </c>
      <c r="F820" s="65">
        <v>21108</v>
      </c>
      <c r="G820" s="66">
        <v>4.6298244875626103E-3</v>
      </c>
      <c r="H820" s="65">
        <v>566</v>
      </c>
      <c r="I820" s="67">
        <v>0.56545454372059201</v>
      </c>
      <c r="J820" s="67">
        <v>2.6179552931211401</v>
      </c>
      <c r="K820" s="65">
        <v>85</v>
      </c>
      <c r="L820" s="65">
        <v>14</v>
      </c>
      <c r="M820" s="66">
        <v>5.4545454545454501E-2</v>
      </c>
      <c r="N820" s="67">
        <v>923.86619040299604</v>
      </c>
      <c r="O820" s="67">
        <v>153.97769840049901</v>
      </c>
      <c r="P820" s="67">
        <v>62.199999809265101</v>
      </c>
      <c r="Q820" s="68">
        <v>6.7325766929660205E-2</v>
      </c>
    </row>
    <row r="821" spans="1:17" x14ac:dyDescent="0.35">
      <c r="A821" s="62" t="s">
        <v>136</v>
      </c>
      <c r="B821" s="63">
        <v>987456</v>
      </c>
      <c r="C821" s="63" t="s">
        <v>144</v>
      </c>
      <c r="D821" s="64">
        <v>42609</v>
      </c>
      <c r="E821" s="63" t="s">
        <v>138</v>
      </c>
      <c r="F821" s="65">
        <v>60540</v>
      </c>
      <c r="G821" s="66">
        <v>3.7602639858798298E-3</v>
      </c>
      <c r="H821" s="65">
        <v>339</v>
      </c>
      <c r="I821" s="67">
        <v>0.52785714768937697</v>
      </c>
      <c r="J821" s="67">
        <v>1.9848822221456099</v>
      </c>
      <c r="K821" s="65">
        <v>63</v>
      </c>
      <c r="L821" s="65">
        <v>16</v>
      </c>
      <c r="M821" s="66">
        <v>9.1836734693877597E-2</v>
      </c>
      <c r="N821" s="67">
        <v>1261.25197880102</v>
      </c>
      <c r="O821" s="67">
        <v>140.13910875566901</v>
      </c>
      <c r="P821" s="67">
        <v>51.730000473558903</v>
      </c>
      <c r="Q821" s="68">
        <v>4.1014802230664997E-2</v>
      </c>
    </row>
    <row r="822" spans="1:17" x14ac:dyDescent="0.35">
      <c r="A822" s="62" t="s">
        <v>136</v>
      </c>
      <c r="B822" s="63">
        <v>987456</v>
      </c>
      <c r="C822" s="63" t="s">
        <v>144</v>
      </c>
      <c r="D822" s="64">
        <v>42610</v>
      </c>
      <c r="E822" s="63" t="s">
        <v>138</v>
      </c>
      <c r="F822" s="65">
        <v>32782</v>
      </c>
      <c r="G822" s="66">
        <v>2.6432776643037399E-3</v>
      </c>
      <c r="H822" s="65">
        <v>316</v>
      </c>
      <c r="I822" s="67">
        <v>0.555000008168546</v>
      </c>
      <c r="J822" s="67">
        <v>1.46701912528031</v>
      </c>
      <c r="K822" s="65">
        <v>62</v>
      </c>
      <c r="L822" s="65">
        <v>6</v>
      </c>
      <c r="M822" s="66">
        <v>1.5151515151515201E-2</v>
      </c>
      <c r="N822" s="67">
        <v>192.92119330919101</v>
      </c>
      <c r="O822" s="67">
        <v>192.92119330919101</v>
      </c>
      <c r="P822" s="67">
        <v>36.630000539123998</v>
      </c>
      <c r="Q822" s="68">
        <v>0.189870277654865</v>
      </c>
    </row>
    <row r="823" spans="1:17" x14ac:dyDescent="0.35">
      <c r="A823" s="62" t="s">
        <v>136</v>
      </c>
      <c r="B823" s="63">
        <v>987456</v>
      </c>
      <c r="C823" s="63" t="s">
        <v>144</v>
      </c>
      <c r="D823" s="64">
        <v>42611</v>
      </c>
      <c r="E823" s="63" t="s">
        <v>138</v>
      </c>
      <c r="F823" s="65">
        <v>47503</v>
      </c>
      <c r="G823" s="66">
        <v>4.0267306374228897E-3</v>
      </c>
      <c r="H823" s="65">
        <v>381</v>
      </c>
      <c r="I823" s="67">
        <v>0.49521277710161299</v>
      </c>
      <c r="J823" s="67">
        <v>1.9940884615983401</v>
      </c>
      <c r="K823" s="65">
        <v>28</v>
      </c>
      <c r="L823" s="65">
        <v>13</v>
      </c>
      <c r="M823" s="66">
        <v>6.3829787234042507E-2</v>
      </c>
      <c r="N823" s="67">
        <v>884.20416984420001</v>
      </c>
      <c r="O823" s="67">
        <v>147.36736164070001</v>
      </c>
      <c r="P823" s="67">
        <v>46.550001047551604</v>
      </c>
      <c r="Q823" s="68">
        <v>5.26462129846706E-2</v>
      </c>
    </row>
    <row r="824" spans="1:17" x14ac:dyDescent="0.35">
      <c r="A824" s="62" t="s">
        <v>136</v>
      </c>
      <c r="B824" s="63">
        <v>987456</v>
      </c>
      <c r="C824" s="63" t="s">
        <v>144</v>
      </c>
      <c r="D824" s="64">
        <v>42612</v>
      </c>
      <c r="E824" s="63" t="s">
        <v>138</v>
      </c>
      <c r="F824" s="65">
        <v>54628</v>
      </c>
      <c r="G824" s="66">
        <v>2.8686173264486502E-3</v>
      </c>
      <c r="H824" s="65">
        <v>560</v>
      </c>
      <c r="I824" s="67">
        <v>0.54088889741235302</v>
      </c>
      <c r="J824" s="67">
        <v>1.5516032628007801</v>
      </c>
      <c r="K824" s="65">
        <v>41</v>
      </c>
      <c r="L824" s="65">
        <v>12</v>
      </c>
      <c r="M824" s="66">
        <v>0.133333333333333</v>
      </c>
      <c r="N824" s="67">
        <v>1042.8091023868301</v>
      </c>
      <c r="O824" s="67">
        <v>173.801517064471</v>
      </c>
      <c r="P824" s="67">
        <v>24.3400003835559</v>
      </c>
      <c r="Q824" s="68">
        <v>2.3340801617329002E-2</v>
      </c>
    </row>
    <row r="825" spans="1:17" x14ac:dyDescent="0.35">
      <c r="A825" s="62" t="s">
        <v>136</v>
      </c>
      <c r="B825" s="63">
        <v>987456</v>
      </c>
      <c r="C825" s="63" t="s">
        <v>144</v>
      </c>
      <c r="D825" s="64">
        <v>42613</v>
      </c>
      <c r="E825" s="63" t="s">
        <v>138</v>
      </c>
      <c r="F825" s="65">
        <v>18391</v>
      </c>
      <c r="G825" s="66">
        <v>2.5112344699973598E-3</v>
      </c>
      <c r="H825" s="65">
        <v>255</v>
      </c>
      <c r="I825" s="67">
        <v>0.61184210643956505</v>
      </c>
      <c r="J825" s="67">
        <v>1.5364789878868299</v>
      </c>
      <c r="K825" s="65">
        <v>92</v>
      </c>
      <c r="L825" s="65">
        <v>14</v>
      </c>
      <c r="M825" s="66">
        <v>0.18421052631578899</v>
      </c>
      <c r="N825" s="67">
        <v>1071.4778317975899</v>
      </c>
      <c r="O825" s="67">
        <v>153.06826168537</v>
      </c>
      <c r="P825" s="67">
        <v>23.250000044703501</v>
      </c>
      <c r="Q825" s="68">
        <v>2.1699002400915299E-2</v>
      </c>
    </row>
    <row r="826" spans="1:17" x14ac:dyDescent="0.35">
      <c r="A826" s="62" t="s">
        <v>136</v>
      </c>
      <c r="B826" s="63">
        <v>987456</v>
      </c>
      <c r="C826" s="63" t="s">
        <v>144</v>
      </c>
      <c r="D826" s="64">
        <v>42614</v>
      </c>
      <c r="E826" s="63" t="s">
        <v>138</v>
      </c>
      <c r="F826" s="65">
        <v>6846</v>
      </c>
      <c r="G826" s="66">
        <v>4.1055718475073296E-3</v>
      </c>
      <c r="H826" s="65">
        <v>334</v>
      </c>
      <c r="I826" s="67">
        <v>0.58102040996356896</v>
      </c>
      <c r="J826" s="67">
        <v>2.3854210379735998</v>
      </c>
      <c r="K826" s="65">
        <v>78</v>
      </c>
      <c r="L826" s="65">
        <v>7</v>
      </c>
      <c r="M826" s="66">
        <v>6.1224489795918401E-2</v>
      </c>
      <c r="N826" s="67">
        <v>273.965966271517</v>
      </c>
      <c r="O826" s="67">
        <v>91.321988757172406</v>
      </c>
      <c r="P826" s="67">
        <v>28.470000088214899</v>
      </c>
      <c r="Q826" s="68">
        <v>0.103918017539446</v>
      </c>
    </row>
    <row r="827" spans="1:17" x14ac:dyDescent="0.35">
      <c r="A827" s="62" t="s">
        <v>136</v>
      </c>
      <c r="B827" s="63">
        <v>987456</v>
      </c>
      <c r="C827" s="63" t="s">
        <v>144</v>
      </c>
      <c r="D827" s="64">
        <v>42615</v>
      </c>
      <c r="E827" s="63" t="s">
        <v>138</v>
      </c>
      <c r="F827" s="65">
        <v>10741</v>
      </c>
      <c r="G827" s="66">
        <v>3.0391031268994402E-3</v>
      </c>
      <c r="H827" s="65">
        <v>419</v>
      </c>
      <c r="I827" s="67">
        <v>0.534666671024428</v>
      </c>
      <c r="J827" s="67">
        <v>1.6249071517592499</v>
      </c>
      <c r="K827" s="65">
        <v>82</v>
      </c>
      <c r="L827" s="65">
        <v>14</v>
      </c>
      <c r="M827" s="66">
        <v>0.17777777777777801</v>
      </c>
      <c r="N827" s="67">
        <v>1168.6656853332399</v>
      </c>
      <c r="O827" s="67">
        <v>146.08321066665599</v>
      </c>
      <c r="P827" s="67">
        <v>24.060000196099299</v>
      </c>
      <c r="Q827" s="68">
        <v>2.05875816309594E-2</v>
      </c>
    </row>
    <row r="828" spans="1:17" x14ac:dyDescent="0.35">
      <c r="A828" s="62" t="s">
        <v>136</v>
      </c>
      <c r="B828" s="63">
        <v>987456</v>
      </c>
      <c r="C828" s="63" t="s">
        <v>144</v>
      </c>
      <c r="D828" s="64">
        <v>42616</v>
      </c>
      <c r="E828" s="63" t="s">
        <v>138</v>
      </c>
      <c r="F828" s="65">
        <v>19137</v>
      </c>
      <c r="G828" s="66">
        <v>3.7925324501896299E-3</v>
      </c>
      <c r="H828" s="65">
        <v>301</v>
      </c>
      <c r="I828" s="67">
        <v>0.57267605198520999</v>
      </c>
      <c r="J828" s="67">
        <v>2.1718925106003901</v>
      </c>
      <c r="K828" s="65">
        <v>47</v>
      </c>
      <c r="L828" s="65">
        <v>18</v>
      </c>
      <c r="M828" s="66">
        <v>8.4507042253521097E-2</v>
      </c>
      <c r="N828" s="67">
        <v>838.65421644036405</v>
      </c>
      <c r="O828" s="67">
        <v>139.77570274006101</v>
      </c>
      <c r="P828" s="67">
        <v>40.659999690949903</v>
      </c>
      <c r="Q828" s="68">
        <v>4.8482436377092E-2</v>
      </c>
    </row>
    <row r="829" spans="1:17" x14ac:dyDescent="0.35">
      <c r="A829" s="62" t="s">
        <v>136</v>
      </c>
      <c r="B829" s="63">
        <v>987456</v>
      </c>
      <c r="C829" s="63" t="s">
        <v>144</v>
      </c>
      <c r="D829" s="64">
        <v>42617</v>
      </c>
      <c r="E829" s="63" t="s">
        <v>138</v>
      </c>
      <c r="F829" s="65">
        <v>42854</v>
      </c>
      <c r="G829" s="66">
        <v>3.5275146139891198E-3</v>
      </c>
      <c r="H829" s="65">
        <v>180</v>
      </c>
      <c r="I829" s="67">
        <v>0.49299999879939199</v>
      </c>
      <c r="J829" s="67">
        <v>1.7390647004614701</v>
      </c>
      <c r="K829" s="65">
        <v>49</v>
      </c>
      <c r="L829" s="65">
        <v>6</v>
      </c>
      <c r="M829" s="66">
        <v>7.1428571428571397E-2</v>
      </c>
      <c r="N829" s="67">
        <v>364.40603631505098</v>
      </c>
      <c r="O829" s="67">
        <v>72.881207263010296</v>
      </c>
      <c r="P829" s="67">
        <v>34.509999915957501</v>
      </c>
      <c r="Q829" s="68">
        <v>9.4702053415277196E-2</v>
      </c>
    </row>
    <row r="830" spans="1:17" x14ac:dyDescent="0.35">
      <c r="A830" s="62" t="s">
        <v>136</v>
      </c>
      <c r="B830" s="63">
        <v>987456</v>
      </c>
      <c r="C830" s="63" t="s">
        <v>144</v>
      </c>
      <c r="D830" s="64">
        <v>42618</v>
      </c>
      <c r="E830" s="63" t="s">
        <v>138</v>
      </c>
      <c r="F830" s="65">
        <v>60709</v>
      </c>
      <c r="G830" s="66">
        <v>4.2080226867310102E-3</v>
      </c>
      <c r="H830" s="65">
        <v>291</v>
      </c>
      <c r="I830" s="67">
        <v>0.54206521161224497</v>
      </c>
      <c r="J830" s="67">
        <v>2.2810227081519701</v>
      </c>
      <c r="K830" s="65">
        <v>75</v>
      </c>
      <c r="L830" s="65">
        <v>11</v>
      </c>
      <c r="M830" s="66">
        <v>6.5217391304347797E-2</v>
      </c>
      <c r="N830" s="67">
        <v>499.25038524169798</v>
      </c>
      <c r="O830" s="67">
        <v>83.208397540283002</v>
      </c>
      <c r="P830" s="67">
        <v>49.869999468326597</v>
      </c>
      <c r="Q830" s="68">
        <v>9.9889756608166499E-2</v>
      </c>
    </row>
    <row r="831" spans="1:17" x14ac:dyDescent="0.35">
      <c r="A831" s="62" t="s">
        <v>136</v>
      </c>
      <c r="B831" s="63">
        <v>987456</v>
      </c>
      <c r="C831" s="63" t="s">
        <v>144</v>
      </c>
      <c r="D831" s="64">
        <v>42619</v>
      </c>
      <c r="E831" s="63" t="s">
        <v>138</v>
      </c>
      <c r="F831" s="65">
        <v>63203</v>
      </c>
      <c r="G831" s="66">
        <v>3.8357225881441299E-3</v>
      </c>
      <c r="H831" s="65">
        <v>358</v>
      </c>
      <c r="I831" s="67">
        <v>0.61030302309628703</v>
      </c>
      <c r="J831" s="67">
        <v>2.34095309130308</v>
      </c>
      <c r="K831" s="65">
        <v>80</v>
      </c>
      <c r="L831" s="65">
        <v>6</v>
      </c>
      <c r="M831" s="66">
        <v>5.0505050505050497E-2</v>
      </c>
      <c r="N831" s="67">
        <v>610.98860920563698</v>
      </c>
      <c r="O831" s="67">
        <v>122.19772184112701</v>
      </c>
      <c r="P831" s="67">
        <v>60.419999286532402</v>
      </c>
      <c r="Q831" s="68">
        <v>9.8888912782001195E-2</v>
      </c>
    </row>
    <row r="832" spans="1:17" x14ac:dyDescent="0.35">
      <c r="A832" s="62" t="s">
        <v>136</v>
      </c>
      <c r="B832" s="63">
        <v>987456</v>
      </c>
      <c r="C832" s="63" t="s">
        <v>144</v>
      </c>
      <c r="D832" s="64">
        <v>42620</v>
      </c>
      <c r="E832" s="63" t="s">
        <v>138</v>
      </c>
      <c r="F832" s="65">
        <v>17002</v>
      </c>
      <c r="G832" s="66">
        <v>3.5160038797284201E-3</v>
      </c>
      <c r="H832" s="65">
        <v>397</v>
      </c>
      <c r="I832" s="67">
        <v>0.61873562925163395</v>
      </c>
      <c r="J832" s="67">
        <v>2.1754768729749498</v>
      </c>
      <c r="K832" s="65">
        <v>40</v>
      </c>
      <c r="L832" s="65">
        <v>8</v>
      </c>
      <c r="M832" s="66">
        <v>6.8965517241379296E-2</v>
      </c>
      <c r="N832" s="67">
        <v>443.734013326732</v>
      </c>
      <c r="O832" s="67">
        <v>73.955668887788704</v>
      </c>
      <c r="P832" s="67">
        <v>53.829999744892099</v>
      </c>
      <c r="Q832" s="68">
        <v>0.121311412080678</v>
      </c>
    </row>
    <row r="833" spans="1:17" x14ac:dyDescent="0.35">
      <c r="A833" s="62" t="s">
        <v>136</v>
      </c>
      <c r="B833" s="63">
        <v>987456</v>
      </c>
      <c r="C833" s="63" t="s">
        <v>144</v>
      </c>
      <c r="D833" s="64">
        <v>42621</v>
      </c>
      <c r="E833" s="63" t="s">
        <v>138</v>
      </c>
      <c r="F833" s="65">
        <v>33702</v>
      </c>
      <c r="G833" s="66">
        <v>4.23649030314442E-3</v>
      </c>
      <c r="H833" s="65">
        <v>525</v>
      </c>
      <c r="I833" s="67">
        <v>0.62477777269151502</v>
      </c>
      <c r="J833" s="67">
        <v>2.64686497562777</v>
      </c>
      <c r="K833" s="65">
        <v>77</v>
      </c>
      <c r="L833" s="65">
        <v>7</v>
      </c>
      <c r="M833" s="66">
        <v>3.3333333333333298E-2</v>
      </c>
      <c r="N833" s="67">
        <v>596.30479853833901</v>
      </c>
      <c r="O833" s="67">
        <v>198.76826617944599</v>
      </c>
      <c r="P833" s="67">
        <v>56.2299995422363</v>
      </c>
      <c r="Q833" s="68">
        <v>9.4297412464342395E-2</v>
      </c>
    </row>
    <row r="834" spans="1:17" x14ac:dyDescent="0.35">
      <c r="A834" s="62" t="s">
        <v>136</v>
      </c>
      <c r="B834" s="63">
        <v>987456</v>
      </c>
      <c r="C834" s="63" t="s">
        <v>144</v>
      </c>
      <c r="D834" s="64">
        <v>42622</v>
      </c>
      <c r="E834" s="63" t="s">
        <v>138</v>
      </c>
      <c r="F834" s="65">
        <v>21071</v>
      </c>
      <c r="G834" s="66">
        <v>4.5885829833566703E-3</v>
      </c>
      <c r="H834" s="65">
        <v>306</v>
      </c>
      <c r="I834" s="67">
        <v>0.65593219775769696</v>
      </c>
      <c r="J834" s="67">
        <v>3.0097993208667102</v>
      </c>
      <c r="K834" s="65">
        <v>17</v>
      </c>
      <c r="L834" s="65">
        <v>5</v>
      </c>
      <c r="M834" s="66">
        <v>1.6949152542372899E-2</v>
      </c>
      <c r="N834" s="67">
        <v>231.67828086276401</v>
      </c>
      <c r="O834" s="67">
        <v>115.83914043138201</v>
      </c>
      <c r="P834" s="67">
        <v>77.399999335408197</v>
      </c>
      <c r="Q834" s="68">
        <v>0.33408396785047201</v>
      </c>
    </row>
    <row r="835" spans="1:17" x14ac:dyDescent="0.35">
      <c r="A835" s="62" t="s">
        <v>136</v>
      </c>
      <c r="B835" s="63">
        <v>987456</v>
      </c>
      <c r="C835" s="63" t="s">
        <v>144</v>
      </c>
      <c r="D835" s="64">
        <v>42623</v>
      </c>
      <c r="E835" s="63" t="s">
        <v>138</v>
      </c>
      <c r="F835" s="65">
        <v>8850</v>
      </c>
      <c r="G835" s="66">
        <v>4.0230222587654902E-3</v>
      </c>
      <c r="H835" s="65">
        <v>336</v>
      </c>
      <c r="I835" s="67">
        <v>0.64218977898576801</v>
      </c>
      <c r="J835" s="67">
        <v>2.5835437752114401</v>
      </c>
      <c r="K835" s="65">
        <v>86</v>
      </c>
      <c r="L835" s="65">
        <v>17</v>
      </c>
      <c r="M835" s="66">
        <v>7.2992700729927001E-2</v>
      </c>
      <c r="N835" s="67">
        <v>1802.9367655649701</v>
      </c>
      <c r="O835" s="67">
        <v>180.29367655649699</v>
      </c>
      <c r="P835" s="67">
        <v>87.979999721050305</v>
      </c>
      <c r="Q835" s="68">
        <v>4.8798161644610302E-2</v>
      </c>
    </row>
    <row r="836" spans="1:17" x14ac:dyDescent="0.35">
      <c r="A836" s="62" t="s">
        <v>136</v>
      </c>
      <c r="B836" s="63">
        <v>987456</v>
      </c>
      <c r="C836" s="63" t="s">
        <v>144</v>
      </c>
      <c r="D836" s="64">
        <v>42624</v>
      </c>
      <c r="E836" s="63" t="s">
        <v>138</v>
      </c>
      <c r="F836" s="65">
        <v>58587</v>
      </c>
      <c r="G836" s="66">
        <v>4.3209376434686303E-3</v>
      </c>
      <c r="H836" s="65">
        <v>551</v>
      </c>
      <c r="I836" s="67">
        <v>0.65787499649450198</v>
      </c>
      <c r="J836" s="67">
        <v>2.84263683704989</v>
      </c>
      <c r="K836" s="65">
        <v>23</v>
      </c>
      <c r="L836" s="65">
        <v>6</v>
      </c>
      <c r="M836" s="66">
        <v>3.125E-2</v>
      </c>
      <c r="N836" s="67">
        <v>1408.6339183349501</v>
      </c>
      <c r="O836" s="67">
        <v>281.72678366699</v>
      </c>
      <c r="P836" s="67">
        <v>105.25999943911999</v>
      </c>
      <c r="Q836" s="68">
        <v>7.4724879238703107E-2</v>
      </c>
    </row>
    <row r="837" spans="1:17" x14ac:dyDescent="0.35">
      <c r="A837" s="62" t="s">
        <v>136</v>
      </c>
      <c r="B837" s="63">
        <v>987456</v>
      </c>
      <c r="C837" s="63" t="s">
        <v>144</v>
      </c>
      <c r="D837" s="64">
        <v>42625</v>
      </c>
      <c r="E837" s="63" t="s">
        <v>138</v>
      </c>
      <c r="F837" s="65">
        <v>26099</v>
      </c>
      <c r="G837" s="66">
        <v>3.1254002817983901E-3</v>
      </c>
      <c r="H837" s="65">
        <v>315</v>
      </c>
      <c r="I837" s="67">
        <v>0.65778688561232401</v>
      </c>
      <c r="J837" s="67">
        <v>2.0558473176560401</v>
      </c>
      <c r="K837" s="65">
        <v>84</v>
      </c>
      <c r="L837" s="65">
        <v>15</v>
      </c>
      <c r="M837" s="66">
        <v>9.0163934426229497E-2</v>
      </c>
      <c r="N837" s="67">
        <v>1317.09147344896</v>
      </c>
      <c r="O837" s="67">
        <v>119.73558849536001</v>
      </c>
      <c r="P837" s="67">
        <v>80.250000044703498</v>
      </c>
      <c r="Q837" s="68">
        <v>6.0929708879338101E-2</v>
      </c>
    </row>
    <row r="838" spans="1:17" x14ac:dyDescent="0.35">
      <c r="A838" s="62" t="s">
        <v>136</v>
      </c>
      <c r="B838" s="63">
        <v>987456</v>
      </c>
      <c r="C838" s="63" t="s">
        <v>144</v>
      </c>
      <c r="D838" s="64">
        <v>42626</v>
      </c>
      <c r="E838" s="63" t="s">
        <v>138</v>
      </c>
      <c r="F838" s="65">
        <v>58782</v>
      </c>
      <c r="G838" s="66">
        <v>3.31796693778078E-3</v>
      </c>
      <c r="H838" s="65">
        <v>450</v>
      </c>
      <c r="I838" s="67">
        <v>0.66017699900981597</v>
      </c>
      <c r="J838" s="67">
        <v>2.1904454557978998</v>
      </c>
      <c r="K838" s="65">
        <v>88</v>
      </c>
      <c r="L838" s="65">
        <v>13</v>
      </c>
      <c r="M838" s="66">
        <v>8.8495575221238895E-2</v>
      </c>
      <c r="N838" s="67">
        <v>1847.91430372317</v>
      </c>
      <c r="O838" s="67">
        <v>184.791430372317</v>
      </c>
      <c r="P838" s="67">
        <v>74.600000888109193</v>
      </c>
      <c r="Q838" s="68">
        <v>4.03698378965981E-2</v>
      </c>
    </row>
    <row r="839" spans="1:17" x14ac:dyDescent="0.35">
      <c r="A839" s="62" t="s">
        <v>136</v>
      </c>
      <c r="B839" s="63">
        <v>987456</v>
      </c>
      <c r="C839" s="63" t="s">
        <v>144</v>
      </c>
      <c r="D839" s="64">
        <v>42627</v>
      </c>
      <c r="E839" s="63" t="s">
        <v>138</v>
      </c>
      <c r="F839" s="65">
        <v>40216</v>
      </c>
      <c r="G839" s="66">
        <v>3.1646806016800201E-3</v>
      </c>
      <c r="H839" s="65">
        <v>397</v>
      </c>
      <c r="I839" s="67">
        <v>0.75024691757596595</v>
      </c>
      <c r="J839" s="67">
        <v>2.37429186652288</v>
      </c>
      <c r="K839" s="65">
        <v>26</v>
      </c>
      <c r="L839" s="65">
        <v>8</v>
      </c>
      <c r="M839" s="66">
        <v>4.9382716049382699E-2</v>
      </c>
      <c r="N839" s="67">
        <v>436.061391839696</v>
      </c>
      <c r="O839" s="67">
        <v>109.015347959924</v>
      </c>
      <c r="P839" s="67">
        <v>60.7700003236532</v>
      </c>
      <c r="Q839" s="68">
        <v>0.13936111167116</v>
      </c>
    </row>
    <row r="840" spans="1:17" x14ac:dyDescent="0.35">
      <c r="A840" s="62" t="s">
        <v>136</v>
      </c>
      <c r="B840" s="63">
        <v>987456</v>
      </c>
      <c r="C840" s="63" t="s">
        <v>144</v>
      </c>
      <c r="D840" s="64">
        <v>42628</v>
      </c>
      <c r="E840" s="63" t="s">
        <v>138</v>
      </c>
      <c r="F840" s="65">
        <v>18305</v>
      </c>
      <c r="G840" s="66">
        <v>3.5507944150216702E-3</v>
      </c>
      <c r="H840" s="65">
        <v>174</v>
      </c>
      <c r="I840" s="67">
        <v>0.68983051483914004</v>
      </c>
      <c r="J840" s="67">
        <v>2.44944633940234</v>
      </c>
      <c r="K840" s="65">
        <v>42</v>
      </c>
      <c r="L840" s="65">
        <v>8</v>
      </c>
      <c r="M840" s="66">
        <v>6.7796610169491497E-2</v>
      </c>
      <c r="N840" s="67">
        <v>296.76338301437499</v>
      </c>
      <c r="O840" s="67">
        <v>74.190845753593806</v>
      </c>
      <c r="P840" s="67">
        <v>40.700000375509298</v>
      </c>
      <c r="Q840" s="68">
        <v>0.13714630141393699</v>
      </c>
    </row>
    <row r="841" spans="1:17" x14ac:dyDescent="0.35">
      <c r="A841" s="62" t="s">
        <v>136</v>
      </c>
      <c r="B841" s="63">
        <v>987456</v>
      </c>
      <c r="C841" s="63" t="s">
        <v>144</v>
      </c>
      <c r="D841" s="64">
        <v>42629</v>
      </c>
      <c r="E841" s="63" t="s">
        <v>138</v>
      </c>
      <c r="F841" s="65">
        <v>5271</v>
      </c>
      <c r="G841" s="66">
        <v>3.43294501660195E-3</v>
      </c>
      <c r="H841" s="65">
        <v>318</v>
      </c>
      <c r="I841" s="67">
        <v>0.71491803302139501</v>
      </c>
      <c r="J841" s="67">
        <v>2.4542742987396702</v>
      </c>
      <c r="K841" s="65">
        <v>57</v>
      </c>
      <c r="L841" s="65">
        <v>14</v>
      </c>
      <c r="M841" s="66">
        <v>0.114754098360656</v>
      </c>
      <c r="N841" s="67">
        <v>1041.71442411513</v>
      </c>
      <c r="O841" s="67">
        <v>148.816346302162</v>
      </c>
      <c r="P841" s="67">
        <v>43.610000014305101</v>
      </c>
      <c r="Q841" s="68">
        <v>4.1863680683262898E-2</v>
      </c>
    </row>
    <row r="842" spans="1:17" x14ac:dyDescent="0.35">
      <c r="A842" s="62" t="s">
        <v>136</v>
      </c>
      <c r="B842" s="63">
        <v>987456</v>
      </c>
      <c r="C842" s="63" t="s">
        <v>144</v>
      </c>
      <c r="D842" s="64">
        <v>42630</v>
      </c>
      <c r="E842" s="63" t="s">
        <v>138</v>
      </c>
      <c r="F842" s="65">
        <v>25697</v>
      </c>
      <c r="G842" s="66">
        <v>3.75404922648421E-3</v>
      </c>
      <c r="H842" s="65">
        <v>157</v>
      </c>
      <c r="I842" s="67">
        <v>0.962741920544255</v>
      </c>
      <c r="J842" s="67">
        <v>3.61418056212309</v>
      </c>
      <c r="K842" s="65">
        <v>89</v>
      </c>
      <c r="L842" s="65">
        <v>7</v>
      </c>
      <c r="M842" s="66">
        <v>3.2258064516128997E-2</v>
      </c>
      <c r="N842" s="67">
        <v>251.69768696351099</v>
      </c>
      <c r="O842" s="67">
        <v>62.924421740877698</v>
      </c>
      <c r="P842" s="67">
        <v>119.379998147488</v>
      </c>
      <c r="Q842" s="68">
        <v>0.47429914667747602</v>
      </c>
    </row>
    <row r="843" spans="1:17" x14ac:dyDescent="0.35">
      <c r="A843" s="62" t="s">
        <v>136</v>
      </c>
      <c r="B843" s="63">
        <v>987456</v>
      </c>
      <c r="C843" s="63" t="s">
        <v>144</v>
      </c>
      <c r="D843" s="64">
        <v>42631</v>
      </c>
      <c r="E843" s="63" t="s">
        <v>138</v>
      </c>
      <c r="F843" s="65">
        <v>67593</v>
      </c>
      <c r="G843" s="66">
        <v>3.9160158410584296E-3</v>
      </c>
      <c r="H843" s="65">
        <v>200</v>
      </c>
      <c r="I843" s="67">
        <v>1.04999999070572</v>
      </c>
      <c r="J843" s="67">
        <v>4.1118165967147897</v>
      </c>
      <c r="K843" s="65">
        <v>46</v>
      </c>
      <c r="L843" s="65">
        <v>13</v>
      </c>
      <c r="M843" s="66">
        <v>5.0847457627118599E-2</v>
      </c>
      <c r="N843" s="67">
        <v>1130.3465920830199</v>
      </c>
      <c r="O843" s="67">
        <v>125.594065787003</v>
      </c>
      <c r="P843" s="67">
        <v>185.849998354912</v>
      </c>
      <c r="Q843" s="68">
        <v>0.16441859484215701</v>
      </c>
    </row>
    <row r="844" spans="1:17" x14ac:dyDescent="0.35">
      <c r="A844" s="62" t="s">
        <v>136</v>
      </c>
      <c r="B844" s="63">
        <v>987456</v>
      </c>
      <c r="C844" s="63" t="s">
        <v>144</v>
      </c>
      <c r="D844" s="64">
        <v>42632</v>
      </c>
      <c r="E844" s="63" t="s">
        <v>138</v>
      </c>
      <c r="F844" s="65">
        <v>57955</v>
      </c>
      <c r="G844" s="66">
        <v>2.9978933722249199E-3</v>
      </c>
      <c r="H844" s="65">
        <v>590</v>
      </c>
      <c r="I844" s="67">
        <v>0.99662161608402799</v>
      </c>
      <c r="J844" s="67">
        <v>2.9877653374744</v>
      </c>
      <c r="K844" s="65">
        <v>41</v>
      </c>
      <c r="L844" s="65">
        <v>14</v>
      </c>
      <c r="M844" s="66">
        <v>8.1081081081081099E-2</v>
      </c>
      <c r="N844" s="67">
        <v>966.22277635022101</v>
      </c>
      <c r="O844" s="67">
        <v>80.518564695851794</v>
      </c>
      <c r="P844" s="67">
        <v>147.49999918043599</v>
      </c>
      <c r="Q844" s="68">
        <v>0.15265630534771499</v>
      </c>
    </row>
    <row r="845" spans="1:17" x14ac:dyDescent="0.35">
      <c r="A845" s="62" t="s">
        <v>136</v>
      </c>
      <c r="B845" s="63">
        <v>987456</v>
      </c>
      <c r="C845" s="63" t="s">
        <v>144</v>
      </c>
      <c r="D845" s="64">
        <v>42633</v>
      </c>
      <c r="E845" s="63" t="s">
        <v>138</v>
      </c>
      <c r="F845" s="65">
        <v>20790</v>
      </c>
      <c r="G845" s="66">
        <v>3.4331319526495299E-3</v>
      </c>
      <c r="H845" s="65">
        <v>351</v>
      </c>
      <c r="I845" s="67">
        <v>1.0613636203207</v>
      </c>
      <c r="J845" s="67">
        <v>3.64380135830277</v>
      </c>
      <c r="K845" s="65">
        <v>96</v>
      </c>
      <c r="L845" s="65">
        <v>17</v>
      </c>
      <c r="M845" s="66">
        <v>7.1428571428571397E-2</v>
      </c>
      <c r="N845" s="67">
        <v>884.69001937558096</v>
      </c>
      <c r="O845" s="67">
        <v>80.426365397780003</v>
      </c>
      <c r="P845" s="67">
        <v>163.44999752938699</v>
      </c>
      <c r="Q845" s="68">
        <v>0.18475397478175601</v>
      </c>
    </row>
    <row r="846" spans="1:17" x14ac:dyDescent="0.35">
      <c r="A846" s="62" t="s">
        <v>136</v>
      </c>
      <c r="B846" s="63">
        <v>987456</v>
      </c>
      <c r="C846" s="63" t="s">
        <v>144</v>
      </c>
      <c r="D846" s="64">
        <v>42634</v>
      </c>
      <c r="E846" s="63" t="s">
        <v>138</v>
      </c>
      <c r="F846" s="65">
        <v>44411</v>
      </c>
      <c r="G846" s="66">
        <v>3.4146441204735501E-3</v>
      </c>
      <c r="H846" s="65">
        <v>546</v>
      </c>
      <c r="I846" s="67">
        <v>0.99838322882880703</v>
      </c>
      <c r="J846" s="67">
        <v>3.40912342229969</v>
      </c>
      <c r="K846" s="65">
        <v>61</v>
      </c>
      <c r="L846" s="65">
        <v>14</v>
      </c>
      <c r="M846" s="66">
        <v>4.1916167664670698E-2</v>
      </c>
      <c r="N846" s="67">
        <v>878.25207264926496</v>
      </c>
      <c r="O846" s="67">
        <v>125.464581807038</v>
      </c>
      <c r="P846" s="67">
        <v>166.72999921441101</v>
      </c>
      <c r="Q846" s="68">
        <v>0.18984298973695099</v>
      </c>
    </row>
    <row r="847" spans="1:17" x14ac:dyDescent="0.35">
      <c r="A847" s="62" t="s">
        <v>136</v>
      </c>
      <c r="B847" s="63">
        <v>987456</v>
      </c>
      <c r="C847" s="63" t="s">
        <v>144</v>
      </c>
      <c r="D847" s="64">
        <v>42635</v>
      </c>
      <c r="E847" s="63" t="s">
        <v>138</v>
      </c>
      <c r="F847" s="65">
        <v>28539</v>
      </c>
      <c r="G847" s="66">
        <v>2.9286117305677198E-3</v>
      </c>
      <c r="H847" s="65">
        <v>169</v>
      </c>
      <c r="I847" s="67">
        <v>1.1072476860306699</v>
      </c>
      <c r="J847" s="67">
        <v>3.2426985619533801</v>
      </c>
      <c r="K847" s="65">
        <v>52</v>
      </c>
      <c r="L847" s="65">
        <v>3</v>
      </c>
      <c r="M847" s="66">
        <v>9.1743119266055103E-3</v>
      </c>
      <c r="N847" s="67">
        <v>63.453564642598302</v>
      </c>
      <c r="O847" s="67">
        <v>63.453564642598302</v>
      </c>
      <c r="P847" s="67">
        <v>120.689997777343</v>
      </c>
      <c r="Q847" s="68">
        <v>1.9020207683702</v>
      </c>
    </row>
    <row r="848" spans="1:17" x14ac:dyDescent="0.35">
      <c r="A848" s="62" t="s">
        <v>136</v>
      </c>
      <c r="B848" s="63">
        <v>987456</v>
      </c>
      <c r="C848" s="63" t="s">
        <v>144</v>
      </c>
      <c r="D848" s="64">
        <v>42636</v>
      </c>
      <c r="E848" s="63" t="s">
        <v>138</v>
      </c>
      <c r="F848" s="65">
        <v>41372</v>
      </c>
      <c r="G848" s="66">
        <v>3.6997071065207302E-3</v>
      </c>
      <c r="H848" s="65">
        <v>294</v>
      </c>
      <c r="I848" s="67">
        <v>1.0272618874552699</v>
      </c>
      <c r="J848" s="67">
        <v>3.8005681052761702</v>
      </c>
      <c r="K848" s="65">
        <v>81</v>
      </c>
      <c r="L848" s="65">
        <v>11</v>
      </c>
      <c r="M848" s="66">
        <v>4.7619047619047603E-2</v>
      </c>
      <c r="N848" s="67">
        <v>1105.6971379673801</v>
      </c>
      <c r="O848" s="67">
        <v>138.212142245922</v>
      </c>
      <c r="P848" s="67">
        <v>172.579997092485</v>
      </c>
      <c r="Q848" s="68">
        <v>0.156082521303928</v>
      </c>
    </row>
    <row r="849" spans="1:17" x14ac:dyDescent="0.35">
      <c r="A849" s="62" t="s">
        <v>136</v>
      </c>
      <c r="B849" s="63">
        <v>987456</v>
      </c>
      <c r="C849" s="63" t="s">
        <v>144</v>
      </c>
      <c r="D849" s="64">
        <v>42637</v>
      </c>
      <c r="E849" s="63" t="s">
        <v>138</v>
      </c>
      <c r="F849" s="65">
        <v>50790</v>
      </c>
      <c r="G849" s="66">
        <v>3.0237832180031398E-3</v>
      </c>
      <c r="H849" s="65">
        <v>496</v>
      </c>
      <c r="I849" s="67">
        <v>1.0242307641758399</v>
      </c>
      <c r="J849" s="67">
        <v>3.0970517960774302</v>
      </c>
      <c r="K849" s="65">
        <v>36</v>
      </c>
      <c r="L849" s="65">
        <v>15</v>
      </c>
      <c r="M849" s="66">
        <v>7.0512820512820498E-2</v>
      </c>
      <c r="N849" s="67">
        <v>1030.7787040604801</v>
      </c>
      <c r="O849" s="67">
        <v>93.707154914589196</v>
      </c>
      <c r="P849" s="67">
        <v>159.779999211431</v>
      </c>
      <c r="Q849" s="68">
        <v>0.15500902238474601</v>
      </c>
    </row>
    <row r="850" spans="1:17" x14ac:dyDescent="0.35">
      <c r="A850" s="62" t="s">
        <v>136</v>
      </c>
      <c r="B850" s="63">
        <v>987456</v>
      </c>
      <c r="C850" s="63" t="s">
        <v>144</v>
      </c>
      <c r="D850" s="64">
        <v>42638</v>
      </c>
      <c r="E850" s="63" t="s">
        <v>138</v>
      </c>
      <c r="F850" s="65">
        <v>4077</v>
      </c>
      <c r="G850" s="66">
        <v>3.4841446172490399E-3</v>
      </c>
      <c r="H850" s="65">
        <v>234</v>
      </c>
      <c r="I850" s="67">
        <v>0.932391336322695</v>
      </c>
      <c r="J850" s="67">
        <v>3.2485862556183598</v>
      </c>
      <c r="K850" s="65">
        <v>51</v>
      </c>
      <c r="L850" s="65">
        <v>13</v>
      </c>
      <c r="M850" s="66">
        <v>5.7971014492753603E-2</v>
      </c>
      <c r="N850" s="67">
        <v>949.37827896426302</v>
      </c>
      <c r="O850" s="67">
        <v>118.67228487053301</v>
      </c>
      <c r="P850" s="67">
        <v>128.67000441253199</v>
      </c>
      <c r="Q850" s="68">
        <v>0.13553080712243201</v>
      </c>
    </row>
    <row r="851" spans="1:17" x14ac:dyDescent="0.35">
      <c r="A851" s="62" t="s">
        <v>136</v>
      </c>
      <c r="B851" s="63">
        <v>987456</v>
      </c>
      <c r="C851" s="63" t="s">
        <v>144</v>
      </c>
      <c r="D851" s="64">
        <v>42639</v>
      </c>
      <c r="E851" s="63" t="s">
        <v>138</v>
      </c>
      <c r="F851" s="65">
        <v>22735</v>
      </c>
      <c r="G851" s="66">
        <v>3.11594006557022E-3</v>
      </c>
      <c r="H851" s="65">
        <v>487</v>
      </c>
      <c r="I851" s="67">
        <v>0.88965219829393505</v>
      </c>
      <c r="J851" s="67">
        <v>2.7721029290866901</v>
      </c>
      <c r="K851" s="65">
        <v>91</v>
      </c>
      <c r="L851" s="65">
        <v>9</v>
      </c>
      <c r="M851" s="66">
        <v>4.3478260869565202E-2</v>
      </c>
      <c r="N851" s="67">
        <v>492.81242001213297</v>
      </c>
      <c r="O851" s="67">
        <v>98.562484002426601</v>
      </c>
      <c r="P851" s="67">
        <v>102.31000280380201</v>
      </c>
      <c r="Q851" s="68">
        <v>0.20760435137020999</v>
      </c>
    </row>
    <row r="852" spans="1:17" x14ac:dyDescent="0.35">
      <c r="A852" s="62" t="s">
        <v>136</v>
      </c>
      <c r="B852" s="63">
        <v>987456</v>
      </c>
      <c r="C852" s="63" t="s">
        <v>144</v>
      </c>
      <c r="D852" s="64">
        <v>42640</v>
      </c>
      <c r="E852" s="63" t="s">
        <v>138</v>
      </c>
      <c r="F852" s="65">
        <v>65196</v>
      </c>
      <c r="G852" s="66">
        <v>3.5289582159485199E-3</v>
      </c>
      <c r="H852" s="65">
        <v>152</v>
      </c>
      <c r="I852" s="67">
        <v>0.93478994209225397</v>
      </c>
      <c r="J852" s="67">
        <v>3.2988346463324998</v>
      </c>
      <c r="K852" s="65">
        <v>88</v>
      </c>
      <c r="L852" s="65">
        <v>11</v>
      </c>
      <c r="M852" s="66">
        <v>5.0420168067226899E-2</v>
      </c>
      <c r="N852" s="67">
        <v>433.28336437644901</v>
      </c>
      <c r="O852" s="67">
        <v>72.213894062741403</v>
      </c>
      <c r="P852" s="67">
        <v>111.240003108978</v>
      </c>
      <c r="Q852" s="68">
        <v>0.25673730462527</v>
      </c>
    </row>
    <row r="853" spans="1:17" x14ac:dyDescent="0.35">
      <c r="A853" s="62" t="s">
        <v>136</v>
      </c>
      <c r="B853" s="63">
        <v>987456</v>
      </c>
      <c r="C853" s="63" t="s">
        <v>144</v>
      </c>
      <c r="D853" s="64">
        <v>42641</v>
      </c>
      <c r="E853" s="63" t="s">
        <v>138</v>
      </c>
      <c r="F853" s="65">
        <v>2051</v>
      </c>
      <c r="G853" s="66">
        <v>3.4023731552758102E-3</v>
      </c>
      <c r="H853" s="65">
        <v>180</v>
      </c>
      <c r="I853" s="67">
        <v>1.0577500127255901</v>
      </c>
      <c r="J853" s="67">
        <v>3.5988602482901899</v>
      </c>
      <c r="K853" s="65">
        <v>86</v>
      </c>
      <c r="L853" s="65">
        <v>6</v>
      </c>
      <c r="M853" s="66">
        <v>0.05</v>
      </c>
      <c r="N853" s="67">
        <v>274.01005110524898</v>
      </c>
      <c r="O853" s="67">
        <v>68.502512776312301</v>
      </c>
      <c r="P853" s="67">
        <v>84.620001018047304</v>
      </c>
      <c r="Q853" s="68">
        <v>0.30882079207212798</v>
      </c>
    </row>
    <row r="854" spans="1:17" x14ac:dyDescent="0.35">
      <c r="A854" s="62" t="s">
        <v>136</v>
      </c>
      <c r="B854" s="63">
        <v>987456</v>
      </c>
      <c r="C854" s="63" t="s">
        <v>144</v>
      </c>
      <c r="D854" s="64">
        <v>42642</v>
      </c>
      <c r="E854" s="63" t="s">
        <v>138</v>
      </c>
      <c r="F854" s="65">
        <v>53097</v>
      </c>
      <c r="G854" s="66">
        <v>3.1617220846287598E-3</v>
      </c>
      <c r="H854" s="65">
        <v>197</v>
      </c>
      <c r="I854" s="67">
        <v>0.81849999949336105</v>
      </c>
      <c r="J854" s="67">
        <v>2.58786952466679</v>
      </c>
      <c r="K854" s="65">
        <v>42</v>
      </c>
      <c r="L854" s="65">
        <v>7</v>
      </c>
      <c r="M854" s="66">
        <v>6.6666666666666693E-2</v>
      </c>
      <c r="N854" s="67">
        <v>270.39422004014102</v>
      </c>
      <c r="O854" s="67">
        <v>67.598555010035199</v>
      </c>
      <c r="P854" s="67">
        <v>49.109999969601603</v>
      </c>
      <c r="Q854" s="68">
        <v>0.18162370468684999</v>
      </c>
    </row>
    <row r="855" spans="1:17" x14ac:dyDescent="0.35">
      <c r="A855" s="62" t="s">
        <v>136</v>
      </c>
      <c r="B855" s="63">
        <v>987456</v>
      </c>
      <c r="C855" s="63" t="s">
        <v>144</v>
      </c>
      <c r="D855" s="64">
        <v>42643</v>
      </c>
      <c r="E855" s="63" t="s">
        <v>138</v>
      </c>
      <c r="F855" s="65">
        <v>51689</v>
      </c>
      <c r="G855" s="66">
        <v>2.66883792463925E-3</v>
      </c>
      <c r="H855" s="65">
        <v>266</v>
      </c>
      <c r="I855" s="67">
        <v>0.782033907028578</v>
      </c>
      <c r="J855" s="67">
        <v>2.0871217494316801</v>
      </c>
      <c r="K855" s="65">
        <v>39</v>
      </c>
      <c r="L855" s="65">
        <v>8</v>
      </c>
      <c r="M855" s="66">
        <v>5.0847457627118599E-2</v>
      </c>
      <c r="N855" s="67">
        <v>532.05749662436097</v>
      </c>
      <c r="O855" s="67">
        <v>177.35249887478699</v>
      </c>
      <c r="P855" s="67">
        <v>46.140000514686101</v>
      </c>
      <c r="Q855" s="68">
        <v>8.6719951898847999E-2</v>
      </c>
    </row>
    <row r="856" spans="1:17" x14ac:dyDescent="0.35">
      <c r="A856" s="62" t="s">
        <v>136</v>
      </c>
      <c r="B856" s="63">
        <v>987456</v>
      </c>
      <c r="C856" s="63" t="s">
        <v>144</v>
      </c>
      <c r="D856" s="64">
        <v>42644</v>
      </c>
      <c r="E856" s="63" t="s">
        <v>138</v>
      </c>
      <c r="F856" s="65">
        <v>22618</v>
      </c>
      <c r="G856" s="66">
        <v>3.7785754770451501E-3</v>
      </c>
      <c r="H856" s="65">
        <v>407</v>
      </c>
      <c r="I856" s="67">
        <v>0.84940000496804702</v>
      </c>
      <c r="J856" s="67">
        <v>3.2095220289743001</v>
      </c>
      <c r="K856" s="65">
        <v>9</v>
      </c>
      <c r="L856" s="65">
        <v>15</v>
      </c>
      <c r="M856" s="66">
        <v>7.0000000000000007E-2</v>
      </c>
      <c r="N856" s="67">
        <v>1953.7822801597399</v>
      </c>
      <c r="O856" s="67">
        <v>279.11175430853399</v>
      </c>
      <c r="P856" s="67">
        <v>84.9400004968047</v>
      </c>
      <c r="Q856" s="68">
        <v>4.34746498416703E-2</v>
      </c>
    </row>
    <row r="857" spans="1:17" x14ac:dyDescent="0.35">
      <c r="A857" s="62" t="s">
        <v>136</v>
      </c>
      <c r="B857" s="63">
        <v>987456</v>
      </c>
      <c r="C857" s="63" t="s">
        <v>144</v>
      </c>
      <c r="D857" s="64">
        <v>42645</v>
      </c>
      <c r="E857" s="63" t="s">
        <v>138</v>
      </c>
      <c r="F857" s="65">
        <v>57701</v>
      </c>
      <c r="G857" s="66">
        <v>3.0621008999589202E-3</v>
      </c>
      <c r="H857" s="65">
        <v>278</v>
      </c>
      <c r="I857" s="67">
        <v>0.86329268864015296</v>
      </c>
      <c r="J857" s="67">
        <v>2.64348931881297</v>
      </c>
      <c r="K857" s="65">
        <v>37</v>
      </c>
      <c r="L857" s="65">
        <v>10</v>
      </c>
      <c r="M857" s="66">
        <v>8.5365853658536606E-2</v>
      </c>
      <c r="N857" s="67">
        <v>632.86496456034297</v>
      </c>
      <c r="O857" s="67">
        <v>90.409280651477602</v>
      </c>
      <c r="P857" s="67">
        <v>70.790000468492494</v>
      </c>
      <c r="Q857" s="68">
        <v>0.111856406078145</v>
      </c>
    </row>
    <row r="858" spans="1:17" x14ac:dyDescent="0.35">
      <c r="A858" s="62" t="s">
        <v>136</v>
      </c>
      <c r="B858" s="63">
        <v>987456</v>
      </c>
      <c r="C858" s="63" t="s">
        <v>144</v>
      </c>
      <c r="D858" s="64">
        <v>42646</v>
      </c>
      <c r="E858" s="63" t="s">
        <v>138</v>
      </c>
      <c r="F858" s="65">
        <v>39785</v>
      </c>
      <c r="G858" s="66">
        <v>2.6695354211491002E-3</v>
      </c>
      <c r="H858" s="65">
        <v>326</v>
      </c>
      <c r="I858" s="67">
        <v>0.91985076565795898</v>
      </c>
      <c r="J858" s="67">
        <v>2.4555742010950401</v>
      </c>
      <c r="K858" s="65">
        <v>91</v>
      </c>
      <c r="L858" s="65">
        <v>9</v>
      </c>
      <c r="M858" s="66">
        <v>4.47761194029851E-2</v>
      </c>
      <c r="N858" s="67">
        <v>394.61823561537898</v>
      </c>
      <c r="O858" s="67">
        <v>131.53941187179299</v>
      </c>
      <c r="P858" s="67">
        <v>61.630001299083197</v>
      </c>
      <c r="Q858" s="68">
        <v>0.15617626287081099</v>
      </c>
    </row>
    <row r="859" spans="1:17" x14ac:dyDescent="0.35">
      <c r="A859" s="62" t="s">
        <v>136</v>
      </c>
      <c r="B859" s="63">
        <v>987456</v>
      </c>
      <c r="C859" s="63" t="s">
        <v>144</v>
      </c>
      <c r="D859" s="64">
        <v>42647</v>
      </c>
      <c r="E859" s="63" t="s">
        <v>138</v>
      </c>
      <c r="F859" s="65">
        <v>20166</v>
      </c>
      <c r="G859" s="66">
        <v>4.1986004665111598E-3</v>
      </c>
      <c r="H859" s="65">
        <v>342</v>
      </c>
      <c r="I859" s="67">
        <v>0.93531745991536597</v>
      </c>
      <c r="J859" s="67">
        <v>3.9270243235366902</v>
      </c>
      <c r="K859" s="65">
        <v>26</v>
      </c>
      <c r="L859" s="65">
        <v>7</v>
      </c>
      <c r="M859" s="66">
        <v>4.7619047619047603E-2</v>
      </c>
      <c r="N859" s="67">
        <v>666.35738627655303</v>
      </c>
      <c r="O859" s="67">
        <v>111.059564379425</v>
      </c>
      <c r="P859" s="67">
        <v>117.849999949336</v>
      </c>
      <c r="Q859" s="68">
        <v>0.17685704754899501</v>
      </c>
    </row>
    <row r="860" spans="1:17" x14ac:dyDescent="0.35">
      <c r="A860" s="62" t="s">
        <v>136</v>
      </c>
      <c r="B860" s="63">
        <v>987456</v>
      </c>
      <c r="C860" s="63" t="s">
        <v>144</v>
      </c>
      <c r="D860" s="64">
        <v>42648</v>
      </c>
      <c r="E860" s="63" t="s">
        <v>138</v>
      </c>
      <c r="F860" s="65">
        <v>23393</v>
      </c>
      <c r="G860" s="66">
        <v>3.7096280161998401E-3</v>
      </c>
      <c r="H860" s="65">
        <v>324</v>
      </c>
      <c r="I860" s="67">
        <v>0.96000002160531706</v>
      </c>
      <c r="J860" s="67">
        <v>3.5612429756995398</v>
      </c>
      <c r="K860" s="65">
        <v>14</v>
      </c>
      <c r="L860" s="65">
        <v>14</v>
      </c>
      <c r="M860" s="66">
        <v>4.5871559633027498E-2</v>
      </c>
      <c r="N860" s="67">
        <v>625.79532864659302</v>
      </c>
      <c r="O860" s="67">
        <v>125.159065729319</v>
      </c>
      <c r="P860" s="67">
        <v>104.64000235498</v>
      </c>
      <c r="Q860" s="68">
        <v>0.16721122316666101</v>
      </c>
    </row>
    <row r="861" spans="1:17" x14ac:dyDescent="0.35">
      <c r="A861" s="62" t="s">
        <v>136</v>
      </c>
      <c r="B861" s="63">
        <v>987456</v>
      </c>
      <c r="C861" s="63" t="s">
        <v>144</v>
      </c>
      <c r="D861" s="64">
        <v>42649</v>
      </c>
      <c r="E861" s="63" t="s">
        <v>138</v>
      </c>
      <c r="F861" s="65">
        <v>32334</v>
      </c>
      <c r="G861" s="66">
        <v>4.6513151429788098E-3</v>
      </c>
      <c r="H861" s="65">
        <v>261</v>
      </c>
      <c r="I861" s="67">
        <v>1.0411267900760699</v>
      </c>
      <c r="J861" s="67">
        <v>4.8426088044417597</v>
      </c>
      <c r="K861" s="65">
        <v>63</v>
      </c>
      <c r="L861" s="65">
        <v>9</v>
      </c>
      <c r="M861" s="66">
        <v>3.5211267605633798E-2</v>
      </c>
      <c r="N861" s="67">
        <v>362.76068945325397</v>
      </c>
      <c r="O861" s="67">
        <v>72.552137890650897</v>
      </c>
      <c r="P861" s="67">
        <v>147.840004190803</v>
      </c>
      <c r="Q861" s="68">
        <v>0.40754141363449298</v>
      </c>
    </row>
    <row r="862" spans="1:17" x14ac:dyDescent="0.35">
      <c r="A862" s="62" t="s">
        <v>136</v>
      </c>
      <c r="B862" s="63">
        <v>987456</v>
      </c>
      <c r="C862" s="63" t="s">
        <v>144</v>
      </c>
      <c r="D862" s="64">
        <v>42650</v>
      </c>
      <c r="E862" s="63" t="s">
        <v>138</v>
      </c>
      <c r="F862" s="65">
        <v>64081</v>
      </c>
      <c r="G862" s="66">
        <v>4.2083712465878099E-3</v>
      </c>
      <c r="H862" s="65">
        <v>394</v>
      </c>
      <c r="I862" s="67">
        <v>0.98935136303708404</v>
      </c>
      <c r="J862" s="67">
        <v>4.1635578289777202</v>
      </c>
      <c r="K862" s="65">
        <v>24</v>
      </c>
      <c r="L862" s="65">
        <v>10</v>
      </c>
      <c r="M862" s="66">
        <v>3.24324324324324E-2</v>
      </c>
      <c r="N862" s="67">
        <v>978.61434596720096</v>
      </c>
      <c r="O862" s="67">
        <v>163.10239099453301</v>
      </c>
      <c r="P862" s="67">
        <v>183.03000216186001</v>
      </c>
      <c r="Q862" s="68">
        <v>0.18702975581352699</v>
      </c>
    </row>
    <row r="863" spans="1:17" x14ac:dyDescent="0.35">
      <c r="A863" s="62" t="s">
        <v>136</v>
      </c>
      <c r="B863" s="63">
        <v>987456</v>
      </c>
      <c r="C863" s="63" t="s">
        <v>144</v>
      </c>
      <c r="D863" s="64">
        <v>42651</v>
      </c>
      <c r="E863" s="63" t="s">
        <v>138</v>
      </c>
      <c r="F863" s="65">
        <v>41431</v>
      </c>
      <c r="G863" s="66">
        <v>2.9628518386558399E-3</v>
      </c>
      <c r="H863" s="65">
        <v>442</v>
      </c>
      <c r="I863" s="67">
        <v>1.03620254304967</v>
      </c>
      <c r="J863" s="67">
        <v>3.07011460989458</v>
      </c>
      <c r="K863" s="65">
        <v>75</v>
      </c>
      <c r="L863" s="65">
        <v>13</v>
      </c>
      <c r="M863" s="66">
        <v>3.1645569620253201E-2</v>
      </c>
      <c r="N863" s="67">
        <v>648.63909508660299</v>
      </c>
      <c r="O863" s="67">
        <v>129.727819017321</v>
      </c>
      <c r="P863" s="67">
        <v>163.72000180184801</v>
      </c>
      <c r="Q863" s="68">
        <v>0.252405386974076</v>
      </c>
    </row>
    <row r="864" spans="1:17" x14ac:dyDescent="0.35">
      <c r="A864" s="62" t="s">
        <v>136</v>
      </c>
      <c r="B864" s="63">
        <v>987456</v>
      </c>
      <c r="C864" s="63" t="s">
        <v>144</v>
      </c>
      <c r="D864" s="64">
        <v>42652</v>
      </c>
      <c r="E864" s="63" t="s">
        <v>138</v>
      </c>
      <c r="F864" s="65">
        <v>20858</v>
      </c>
      <c r="G864" s="66">
        <v>3.6424817442284002E-3</v>
      </c>
      <c r="H864" s="65">
        <v>405</v>
      </c>
      <c r="I864" s="67">
        <v>0.94661903956106697</v>
      </c>
      <c r="J864" s="67">
        <v>3.4480425703402098</v>
      </c>
      <c r="K864" s="65">
        <v>98</v>
      </c>
      <c r="L864" s="65">
        <v>9</v>
      </c>
      <c r="M864" s="66">
        <v>1.9047619047619001E-2</v>
      </c>
      <c r="N864" s="67">
        <v>711.33793938408598</v>
      </c>
      <c r="O864" s="67">
        <v>177.83448484602101</v>
      </c>
      <c r="P864" s="67">
        <v>198.78999830782399</v>
      </c>
      <c r="Q864" s="68">
        <v>0.27945929396082397</v>
      </c>
    </row>
    <row r="865" spans="1:17" x14ac:dyDescent="0.35">
      <c r="A865" s="62" t="s">
        <v>136</v>
      </c>
      <c r="B865" s="63">
        <v>987456</v>
      </c>
      <c r="C865" s="63" t="s">
        <v>144</v>
      </c>
      <c r="D865" s="64">
        <v>42653</v>
      </c>
      <c r="E865" s="63" t="s">
        <v>138</v>
      </c>
      <c r="F865" s="65">
        <v>31214</v>
      </c>
      <c r="G865" s="66">
        <v>3.9872729469571898E-3</v>
      </c>
      <c r="H865" s="65">
        <v>561</v>
      </c>
      <c r="I865" s="67">
        <v>0.80651515932998297</v>
      </c>
      <c r="J865" s="67">
        <v>3.2157960761073099</v>
      </c>
      <c r="K865" s="65">
        <v>84</v>
      </c>
      <c r="L865" s="65">
        <v>8</v>
      </c>
      <c r="M865" s="66">
        <v>2.5252525252525301E-2</v>
      </c>
      <c r="N865" s="67">
        <v>255.74407968558199</v>
      </c>
      <c r="O865" s="67">
        <v>51.148815937116403</v>
      </c>
      <c r="P865" s="67">
        <v>159.690001547337</v>
      </c>
      <c r="Q865" s="68">
        <v>0.62441328746950198</v>
      </c>
    </row>
    <row r="866" spans="1:17" x14ac:dyDescent="0.35">
      <c r="A866" s="62" t="s">
        <v>136</v>
      </c>
      <c r="B866" s="63">
        <v>987456</v>
      </c>
      <c r="C866" s="63" t="s">
        <v>144</v>
      </c>
      <c r="D866" s="64">
        <v>42654</v>
      </c>
      <c r="E866" s="63" t="s">
        <v>138</v>
      </c>
      <c r="F866" s="65">
        <v>20508</v>
      </c>
      <c r="G866" s="66">
        <v>3.6705562478758398E-3</v>
      </c>
      <c r="H866" s="65">
        <v>446</v>
      </c>
      <c r="I866" s="67">
        <v>0.70660494543887997</v>
      </c>
      <c r="J866" s="67">
        <v>2.5936331972606399</v>
      </c>
      <c r="K866" s="65">
        <v>43</v>
      </c>
      <c r="L866" s="65">
        <v>9</v>
      </c>
      <c r="M866" s="66">
        <v>2.4691358024691398E-2</v>
      </c>
      <c r="N866" s="67">
        <v>350.38883671738699</v>
      </c>
      <c r="O866" s="67">
        <v>87.597209179346606</v>
      </c>
      <c r="P866" s="67">
        <v>114.470001161098</v>
      </c>
      <c r="Q866" s="68">
        <v>0.326694201315057</v>
      </c>
    </row>
    <row r="867" spans="1:17" x14ac:dyDescent="0.35">
      <c r="A867" s="62" t="s">
        <v>136</v>
      </c>
      <c r="B867" s="63">
        <v>987456</v>
      </c>
      <c r="C867" s="63" t="s">
        <v>144</v>
      </c>
      <c r="D867" s="64">
        <v>42655</v>
      </c>
      <c r="E867" s="63" t="s">
        <v>138</v>
      </c>
      <c r="F867" s="65">
        <v>55091</v>
      </c>
      <c r="G867" s="66">
        <v>4.6535027040623799E-3</v>
      </c>
      <c r="H867" s="65">
        <v>577</v>
      </c>
      <c r="I867" s="67">
        <v>0.64391893027601999</v>
      </c>
      <c r="J867" s="67">
        <v>2.99647848323642</v>
      </c>
      <c r="K867" s="65">
        <v>18</v>
      </c>
      <c r="L867" s="65">
        <v>11</v>
      </c>
      <c r="M867" s="66">
        <v>4.72972972972973E-2</v>
      </c>
      <c r="N867" s="67">
        <v>1306.9105839383799</v>
      </c>
      <c r="O867" s="67">
        <v>186.70151199119701</v>
      </c>
      <c r="P867" s="67">
        <v>95.300001680850997</v>
      </c>
      <c r="Q867" s="68">
        <v>7.2920062666922705E-2</v>
      </c>
    </row>
    <row r="868" spans="1:17" x14ac:dyDescent="0.35">
      <c r="A868" s="62" t="s">
        <v>136</v>
      </c>
      <c r="B868" s="63">
        <v>987456</v>
      </c>
      <c r="C868" s="63" t="s">
        <v>144</v>
      </c>
      <c r="D868" s="64">
        <v>42656</v>
      </c>
      <c r="E868" s="63" t="s">
        <v>138</v>
      </c>
      <c r="F868" s="65">
        <v>34990</v>
      </c>
      <c r="G868" s="66">
        <v>4.5031522065445799E-3</v>
      </c>
      <c r="H868" s="65">
        <v>446</v>
      </c>
      <c r="I868" s="67">
        <v>0.96542859474817899</v>
      </c>
      <c r="J868" s="67">
        <v>4.3474719067015002</v>
      </c>
      <c r="K868" s="65">
        <v>87</v>
      </c>
      <c r="L868" s="65">
        <v>10</v>
      </c>
      <c r="M868" s="66">
        <v>4.7619047619047603E-2</v>
      </c>
      <c r="N868" s="67">
        <v>718.40756518464104</v>
      </c>
      <c r="O868" s="67">
        <v>143.68151303692801</v>
      </c>
      <c r="P868" s="67">
        <v>101.37000244855901</v>
      </c>
      <c r="Q868" s="68">
        <v>0.14110375135387901</v>
      </c>
    </row>
    <row r="869" spans="1:17" x14ac:dyDescent="0.35">
      <c r="A869" s="62" t="s">
        <v>136</v>
      </c>
      <c r="B869" s="63">
        <v>987456</v>
      </c>
      <c r="C869" s="63" t="s">
        <v>144</v>
      </c>
      <c r="D869" s="64">
        <v>42657</v>
      </c>
      <c r="E869" s="63" t="s">
        <v>138</v>
      </c>
      <c r="F869" s="65">
        <v>27709</v>
      </c>
      <c r="G869" s="66">
        <v>4.1347317466720497E-3</v>
      </c>
      <c r="H869" s="65">
        <v>534</v>
      </c>
      <c r="I869" s="67">
        <v>0.65861790936167697</v>
      </c>
      <c r="J869" s="67">
        <v>2.7232083787644998</v>
      </c>
      <c r="K869" s="65">
        <v>50</v>
      </c>
      <c r="L869" s="65">
        <v>11</v>
      </c>
      <c r="M869" s="66">
        <v>4.8780487804878099E-2</v>
      </c>
      <c r="N869" s="67">
        <v>528.05762528614696</v>
      </c>
      <c r="O869" s="67">
        <v>88.009604214357793</v>
      </c>
      <c r="P869" s="67">
        <v>81.010002851486206</v>
      </c>
      <c r="Q869" s="68">
        <v>0.153411292579267</v>
      </c>
    </row>
    <row r="870" spans="1:17" x14ac:dyDescent="0.35">
      <c r="A870" s="62" t="s">
        <v>136</v>
      </c>
      <c r="B870" s="63">
        <v>987456</v>
      </c>
      <c r="C870" s="63" t="s">
        <v>144</v>
      </c>
      <c r="D870" s="64">
        <v>42658</v>
      </c>
      <c r="E870" s="63" t="s">
        <v>138</v>
      </c>
      <c r="F870" s="65">
        <v>14717</v>
      </c>
      <c r="G870" s="66">
        <v>4.4218761388760703E-3</v>
      </c>
      <c r="H870" s="65">
        <v>331</v>
      </c>
      <c r="I870" s="67">
        <v>0.64719780583630504</v>
      </c>
      <c r="J870" s="67">
        <v>2.8618285347604999</v>
      </c>
      <c r="K870" s="65">
        <v>66</v>
      </c>
      <c r="L870" s="65">
        <v>13</v>
      </c>
      <c r="M870" s="66">
        <v>3.2967032967033003E-2</v>
      </c>
      <c r="N870" s="67">
        <v>878.84409430171104</v>
      </c>
      <c r="O870" s="67">
        <v>146.47401571695201</v>
      </c>
      <c r="P870" s="67">
        <v>117.790000662208</v>
      </c>
      <c r="Q870" s="68">
        <v>0.134028323596801</v>
      </c>
    </row>
    <row r="871" spans="1:17" x14ac:dyDescent="0.35">
      <c r="A871" s="62" t="s">
        <v>136</v>
      </c>
      <c r="B871" s="63">
        <v>987456</v>
      </c>
      <c r="C871" s="63" t="s">
        <v>144</v>
      </c>
      <c r="D871" s="64">
        <v>42659</v>
      </c>
      <c r="E871" s="63" t="s">
        <v>138</v>
      </c>
      <c r="F871" s="65">
        <v>13681</v>
      </c>
      <c r="G871" s="66">
        <v>2.8459622909996398E-3</v>
      </c>
      <c r="H871" s="65">
        <v>423</v>
      </c>
      <c r="I871" s="67">
        <v>0.59817308029876304</v>
      </c>
      <c r="J871" s="67">
        <v>1.70237803002138</v>
      </c>
      <c r="K871" s="65">
        <v>88</v>
      </c>
      <c r="L871" s="65">
        <v>7</v>
      </c>
      <c r="M871" s="66">
        <v>2.8846153846153799E-2</v>
      </c>
      <c r="N871" s="67">
        <v>430.23152922774898</v>
      </c>
      <c r="O871" s="67">
        <v>143.410509742583</v>
      </c>
      <c r="P871" s="67">
        <v>62.2100003510714</v>
      </c>
      <c r="Q871" s="68">
        <v>0.14459656283847</v>
      </c>
    </row>
    <row r="872" spans="1:17" x14ac:dyDescent="0.35">
      <c r="A872" s="62" t="s">
        <v>136</v>
      </c>
      <c r="B872" s="63">
        <v>987456</v>
      </c>
      <c r="C872" s="63" t="s">
        <v>144</v>
      </c>
      <c r="D872" s="64">
        <v>42660</v>
      </c>
      <c r="E872" s="63" t="s">
        <v>138</v>
      </c>
      <c r="F872" s="65">
        <v>9080</v>
      </c>
      <c r="G872" s="66">
        <v>3.5357737104825299E-3</v>
      </c>
      <c r="H872" s="65">
        <v>553</v>
      </c>
      <c r="I872" s="67">
        <v>0.74904411494293599</v>
      </c>
      <c r="J872" s="67">
        <v>2.6484504896068901</v>
      </c>
      <c r="K872" s="65">
        <v>45</v>
      </c>
      <c r="L872" s="65">
        <v>11</v>
      </c>
      <c r="M872" s="66">
        <v>4.4117647058823498E-2</v>
      </c>
      <c r="N872" s="67">
        <v>608.07706442516405</v>
      </c>
      <c r="O872" s="67">
        <v>101.34617740419399</v>
      </c>
      <c r="P872" s="67">
        <v>101.869999632239</v>
      </c>
      <c r="Q872" s="68">
        <v>0.167528107195657</v>
      </c>
    </row>
    <row r="873" spans="1:17" x14ac:dyDescent="0.35">
      <c r="A873" s="62" t="s">
        <v>136</v>
      </c>
      <c r="B873" s="63">
        <v>987456</v>
      </c>
      <c r="C873" s="63" t="s">
        <v>144</v>
      </c>
      <c r="D873" s="64">
        <v>42661</v>
      </c>
      <c r="E873" s="63" t="s">
        <v>138</v>
      </c>
      <c r="F873" s="65">
        <v>36670</v>
      </c>
      <c r="G873" s="66">
        <v>3.39456235525523E-3</v>
      </c>
      <c r="H873" s="65">
        <v>515</v>
      </c>
      <c r="I873" s="67">
        <v>0.77785045827660604</v>
      </c>
      <c r="J873" s="67">
        <v>2.6404618836837899</v>
      </c>
      <c r="K873" s="65">
        <v>45</v>
      </c>
      <c r="L873" s="65">
        <v>6</v>
      </c>
      <c r="M873" s="66">
        <v>3.7383177570093497E-2</v>
      </c>
      <c r="N873" s="67">
        <v>303.46411957509901</v>
      </c>
      <c r="O873" s="67">
        <v>75.866029893774694</v>
      </c>
      <c r="P873" s="67">
        <v>83.229999035596805</v>
      </c>
      <c r="Q873" s="68">
        <v>0.27426635858016102</v>
      </c>
    </row>
    <row r="874" spans="1:17" x14ac:dyDescent="0.35">
      <c r="A874" s="62" t="s">
        <v>136</v>
      </c>
      <c r="B874" s="63">
        <v>987456</v>
      </c>
      <c r="C874" s="63" t="s">
        <v>144</v>
      </c>
      <c r="D874" s="64">
        <v>42662</v>
      </c>
      <c r="E874" s="63" t="s">
        <v>138</v>
      </c>
      <c r="F874" s="65">
        <v>53769</v>
      </c>
      <c r="G874" s="66">
        <v>2.98943022883377E-3</v>
      </c>
      <c r="H874" s="65">
        <v>350</v>
      </c>
      <c r="I874" s="67">
        <v>0.85107141910564299</v>
      </c>
      <c r="J874" s="67">
        <v>2.54421862717086</v>
      </c>
      <c r="K874" s="65">
        <v>40</v>
      </c>
      <c r="L874" s="65">
        <v>10</v>
      </c>
      <c r="M874" s="66">
        <v>2.3809523809523801E-2</v>
      </c>
      <c r="N874" s="67">
        <v>307.26406168878702</v>
      </c>
      <c r="O874" s="67">
        <v>153.632030844393</v>
      </c>
      <c r="P874" s="67">
        <v>71.489999204873996</v>
      </c>
      <c r="Q874" s="68">
        <v>0.23266632228953199</v>
      </c>
    </row>
    <row r="875" spans="1:17" x14ac:dyDescent="0.35">
      <c r="A875" s="62" t="s">
        <v>136</v>
      </c>
      <c r="B875" s="63">
        <v>987456</v>
      </c>
      <c r="C875" s="63" t="s">
        <v>144</v>
      </c>
      <c r="D875" s="64">
        <v>42663</v>
      </c>
      <c r="E875" s="63" t="s">
        <v>138</v>
      </c>
      <c r="F875" s="65">
        <v>20487</v>
      </c>
      <c r="G875" s="66">
        <v>4.0654120226566804E-3</v>
      </c>
      <c r="H875" s="65">
        <v>311</v>
      </c>
      <c r="I875" s="67">
        <v>0.72089886397458203</v>
      </c>
      <c r="J875" s="67">
        <v>2.93075090872181</v>
      </c>
      <c r="K875" s="65">
        <v>17</v>
      </c>
      <c r="L875" s="65">
        <v>9</v>
      </c>
      <c r="M875" s="66">
        <v>6.7415730337078705E-2</v>
      </c>
      <c r="N875" s="67">
        <v>1032.8437861472601</v>
      </c>
      <c r="O875" s="67">
        <v>172.14063102454301</v>
      </c>
      <c r="P875" s="67">
        <v>64.159998893737793</v>
      </c>
      <c r="Q875" s="68">
        <v>6.2119751073944303E-2</v>
      </c>
    </row>
    <row r="876" spans="1:17" x14ac:dyDescent="0.35">
      <c r="A876" s="62" t="s">
        <v>136</v>
      </c>
      <c r="B876" s="63">
        <v>987456</v>
      </c>
      <c r="C876" s="63" t="s">
        <v>144</v>
      </c>
      <c r="D876" s="64">
        <v>42664</v>
      </c>
      <c r="E876" s="63" t="s">
        <v>138</v>
      </c>
      <c r="F876" s="65">
        <v>32635</v>
      </c>
      <c r="G876" s="66">
        <v>4.43417436922308E-3</v>
      </c>
      <c r="H876" s="65">
        <v>282</v>
      </c>
      <c r="I876" s="67">
        <v>0.73732393182499301</v>
      </c>
      <c r="J876" s="67">
        <v>3.26942288031317</v>
      </c>
      <c r="K876" s="65">
        <v>91</v>
      </c>
      <c r="L876" s="65">
        <v>15</v>
      </c>
      <c r="M876" s="66">
        <v>3.5211267605633798E-2</v>
      </c>
      <c r="N876" s="67">
        <v>560.18025683783605</v>
      </c>
      <c r="O876" s="67">
        <v>112.036051367567</v>
      </c>
      <c r="P876" s="67">
        <v>104.699998319149</v>
      </c>
      <c r="Q876" s="68">
        <v>0.186904120666748</v>
      </c>
    </row>
    <row r="877" spans="1:17" x14ac:dyDescent="0.35">
      <c r="A877" s="62" t="s">
        <v>136</v>
      </c>
      <c r="B877" s="63">
        <v>987456</v>
      </c>
      <c r="C877" s="63" t="s">
        <v>144</v>
      </c>
      <c r="D877" s="64">
        <v>42665</v>
      </c>
      <c r="E877" s="63" t="s">
        <v>138</v>
      </c>
      <c r="F877" s="65">
        <v>26061</v>
      </c>
      <c r="G877" s="66">
        <v>3.3868317957791E-3</v>
      </c>
      <c r="H877" s="65">
        <v>286</v>
      </c>
      <c r="I877" s="67">
        <v>0.78708954600255898</v>
      </c>
      <c r="J877" s="67">
        <v>2.6657399005268001</v>
      </c>
      <c r="K877" s="65">
        <v>68</v>
      </c>
      <c r="L877" s="65">
        <v>8</v>
      </c>
      <c r="M877" s="66">
        <v>5.22388059701493E-2</v>
      </c>
      <c r="N877" s="67">
        <v>702.37957491559496</v>
      </c>
      <c r="O877" s="67">
        <v>100.339939273656</v>
      </c>
      <c r="P877" s="67">
        <v>105.46999916434299</v>
      </c>
      <c r="Q877" s="68">
        <v>0.150160971262607</v>
      </c>
    </row>
    <row r="878" spans="1:17" x14ac:dyDescent="0.35">
      <c r="A878" s="62" t="s">
        <v>136</v>
      </c>
      <c r="B878" s="63">
        <v>987456</v>
      </c>
      <c r="C878" s="63" t="s">
        <v>144</v>
      </c>
      <c r="D878" s="64">
        <v>42666</v>
      </c>
      <c r="E878" s="63" t="s">
        <v>138</v>
      </c>
      <c r="F878" s="65">
        <v>5651</v>
      </c>
      <c r="G878" s="66">
        <v>3.1965609413320802E-3</v>
      </c>
      <c r="H878" s="65">
        <v>349</v>
      </c>
      <c r="I878" s="67">
        <v>0.70310344213041798</v>
      </c>
      <c r="J878" s="67">
        <v>2.24751300083024</v>
      </c>
      <c r="K878" s="65">
        <v>72</v>
      </c>
      <c r="L878" s="65">
        <v>12</v>
      </c>
      <c r="M878" s="66">
        <v>6.8965517241379296E-2</v>
      </c>
      <c r="N878" s="67">
        <v>757.99751214316996</v>
      </c>
      <c r="O878" s="67">
        <v>94.749689017896202</v>
      </c>
      <c r="P878" s="67">
        <v>81.559999287128406</v>
      </c>
      <c r="Q878" s="68">
        <v>0.10759929680577</v>
      </c>
    </row>
    <row r="879" spans="1:17" x14ac:dyDescent="0.35">
      <c r="A879" s="62" t="s">
        <v>136</v>
      </c>
      <c r="B879" s="63">
        <v>987456</v>
      </c>
      <c r="C879" s="63" t="s">
        <v>144</v>
      </c>
      <c r="D879" s="64">
        <v>42667</v>
      </c>
      <c r="E879" s="63" t="s">
        <v>138</v>
      </c>
      <c r="F879" s="65">
        <v>10578</v>
      </c>
      <c r="G879" s="66">
        <v>3.51095944349652E-3</v>
      </c>
      <c r="H879" s="65">
        <v>349</v>
      </c>
      <c r="I879" s="67">
        <v>0.67803737771845296</v>
      </c>
      <c r="J879" s="67">
        <v>2.3805617343442198</v>
      </c>
      <c r="K879" s="65">
        <v>17</v>
      </c>
      <c r="L879" s="65">
        <v>12</v>
      </c>
      <c r="M879" s="66">
        <v>5.60747663551402E-2</v>
      </c>
      <c r="N879" s="67">
        <v>1039.14814393147</v>
      </c>
      <c r="O879" s="67">
        <v>173.19135732191199</v>
      </c>
      <c r="P879" s="67">
        <v>72.549999415874495</v>
      </c>
      <c r="Q879" s="68">
        <v>6.9816801232393894E-2</v>
      </c>
    </row>
    <row r="880" spans="1:17" x14ac:dyDescent="0.35">
      <c r="A880" s="62" t="s">
        <v>136</v>
      </c>
      <c r="B880" s="63">
        <v>987456</v>
      </c>
      <c r="C880" s="63" t="s">
        <v>144</v>
      </c>
      <c r="D880" s="64">
        <v>42668</v>
      </c>
      <c r="E880" s="63" t="s">
        <v>138</v>
      </c>
      <c r="F880" s="65">
        <v>1914</v>
      </c>
      <c r="G880" s="66">
        <v>2.8716589352772298E-3</v>
      </c>
      <c r="H880" s="65">
        <v>525</v>
      </c>
      <c r="I880" s="67">
        <v>0.73269230184646805</v>
      </c>
      <c r="J880" s="67">
        <v>2.1040423954062502</v>
      </c>
      <c r="K880" s="65">
        <v>54</v>
      </c>
      <c r="L880" s="65">
        <v>14</v>
      </c>
      <c r="M880" s="66">
        <v>9.6153846153846201E-2</v>
      </c>
      <c r="N880" s="67">
        <v>331.03570031293799</v>
      </c>
      <c r="O880" s="67">
        <v>66.207140062587698</v>
      </c>
      <c r="P880" s="67">
        <v>38.099999696016297</v>
      </c>
      <c r="Q880" s="68">
        <v>0.115093325765164</v>
      </c>
    </row>
    <row r="881" spans="1:17" x14ac:dyDescent="0.35">
      <c r="A881" s="62" t="s">
        <v>136</v>
      </c>
      <c r="B881" s="63">
        <v>987456</v>
      </c>
      <c r="C881" s="63" t="s">
        <v>144</v>
      </c>
      <c r="D881" s="64">
        <v>42669</v>
      </c>
      <c r="E881" s="63" t="s">
        <v>138</v>
      </c>
      <c r="F881" s="65">
        <v>5387</v>
      </c>
      <c r="G881" s="66">
        <v>2.7758501040943801E-3</v>
      </c>
      <c r="H881" s="65">
        <v>184</v>
      </c>
      <c r="I881" s="67">
        <v>0.707045455547896</v>
      </c>
      <c r="J881" s="67">
        <v>1.96265220138209</v>
      </c>
      <c r="K881" s="65">
        <v>94</v>
      </c>
      <c r="L881" s="65">
        <v>12</v>
      </c>
      <c r="M881" s="66">
        <v>6.8181818181818205E-2</v>
      </c>
      <c r="N881" s="67">
        <v>166.71085323955401</v>
      </c>
      <c r="O881" s="67">
        <v>55.570284413184602</v>
      </c>
      <c r="P881" s="67">
        <v>31.110000044107402</v>
      </c>
      <c r="Q881" s="68">
        <v>0.18661052618694399</v>
      </c>
    </row>
    <row r="882" spans="1:17" x14ac:dyDescent="0.35">
      <c r="A882" s="62" t="s">
        <v>136</v>
      </c>
      <c r="B882" s="63">
        <v>987456</v>
      </c>
      <c r="C882" s="63" t="s">
        <v>144</v>
      </c>
      <c r="D882" s="64">
        <v>42670</v>
      </c>
      <c r="E882" s="63" t="s">
        <v>138</v>
      </c>
      <c r="F882" s="65">
        <v>53731</v>
      </c>
      <c r="G882" s="66">
        <v>1.91220485533755E-3</v>
      </c>
      <c r="H882" s="65">
        <v>173</v>
      </c>
      <c r="I882" s="67">
        <v>0.71130433678627003</v>
      </c>
      <c r="J882" s="67">
        <v>1.36015960642536</v>
      </c>
      <c r="K882" s="65">
        <v>65</v>
      </c>
      <c r="L882" s="65">
        <v>9</v>
      </c>
      <c r="M882" s="66">
        <v>0.173913043478261</v>
      </c>
      <c r="N882" s="67">
        <v>706.03570907770802</v>
      </c>
      <c r="O882" s="67">
        <v>176.50892726942701</v>
      </c>
      <c r="P882" s="67">
        <v>16.359999746084199</v>
      </c>
      <c r="Q882" s="68">
        <v>2.3171632164972599E-2</v>
      </c>
    </row>
    <row r="883" spans="1:17" x14ac:dyDescent="0.35">
      <c r="A883" s="62" t="s">
        <v>136</v>
      </c>
      <c r="B883" s="63">
        <v>987456</v>
      </c>
      <c r="C883" s="63" t="s">
        <v>144</v>
      </c>
      <c r="D883" s="64">
        <v>42671</v>
      </c>
      <c r="E883" s="63" t="s">
        <v>138</v>
      </c>
      <c r="F883" s="65">
        <v>9932</v>
      </c>
      <c r="G883" s="66">
        <v>3.1604654503663301E-3</v>
      </c>
      <c r="H883" s="65">
        <v>191</v>
      </c>
      <c r="I883" s="67">
        <v>0.82681818306446098</v>
      </c>
      <c r="J883" s="67">
        <v>2.6131303013098899</v>
      </c>
      <c r="K883" s="65">
        <v>51</v>
      </c>
      <c r="L883" s="65">
        <v>12</v>
      </c>
      <c r="M883" s="66">
        <v>0.11363636363636399</v>
      </c>
      <c r="N883" s="67">
        <v>567.96150099645502</v>
      </c>
      <c r="O883" s="67">
        <v>113.592300199291</v>
      </c>
      <c r="P883" s="67">
        <v>36.380000054836302</v>
      </c>
      <c r="Q883" s="68">
        <v>6.4053637422624099E-2</v>
      </c>
    </row>
    <row r="884" spans="1:17" x14ac:dyDescent="0.35">
      <c r="A884" s="62" t="s">
        <v>136</v>
      </c>
      <c r="B884" s="63">
        <v>987456</v>
      </c>
      <c r="C884" s="63" t="s">
        <v>144</v>
      </c>
      <c r="D884" s="64">
        <v>42672</v>
      </c>
      <c r="E884" s="63" t="s">
        <v>138</v>
      </c>
      <c r="F884" s="65">
        <v>31703</v>
      </c>
      <c r="G884" s="66">
        <v>2.9807165886002801E-3</v>
      </c>
      <c r="H884" s="65">
        <v>474</v>
      </c>
      <c r="I884" s="67">
        <v>0.80897957755594796</v>
      </c>
      <c r="J884" s="67">
        <v>2.4113388466598602</v>
      </c>
      <c r="K884" s="65">
        <v>82</v>
      </c>
      <c r="L884" s="65">
        <v>12</v>
      </c>
      <c r="M884" s="66">
        <v>0.102040816326531</v>
      </c>
      <c r="N884" s="67">
        <v>425.45952363754202</v>
      </c>
      <c r="O884" s="67">
        <v>85.091904727508407</v>
      </c>
      <c r="P884" s="67">
        <v>39.639999300241499</v>
      </c>
      <c r="Q884" s="68">
        <v>9.3169848359092505E-2</v>
      </c>
    </row>
    <row r="885" spans="1:17" x14ac:dyDescent="0.35">
      <c r="A885" s="62" t="s">
        <v>136</v>
      </c>
      <c r="B885" s="63">
        <v>987456</v>
      </c>
      <c r="C885" s="63" t="s">
        <v>144</v>
      </c>
      <c r="D885" s="64">
        <v>42673</v>
      </c>
      <c r="E885" s="63" t="s">
        <v>138</v>
      </c>
      <c r="F885" s="65">
        <v>18541</v>
      </c>
      <c r="G885" s="66">
        <v>1.8034972163412501E-3</v>
      </c>
      <c r="H885" s="65">
        <v>381</v>
      </c>
      <c r="I885" s="67">
        <v>0.78869564377743295</v>
      </c>
      <c r="J885" s="67">
        <v>1.42241039809307</v>
      </c>
      <c r="K885" s="65">
        <v>54</v>
      </c>
      <c r="L885" s="65">
        <v>5</v>
      </c>
      <c r="M885" s="66">
        <v>4.3478260869565202E-2</v>
      </c>
      <c r="N885" s="67">
        <v>162.42488781526899</v>
      </c>
      <c r="O885" s="67">
        <v>162.42488781526899</v>
      </c>
      <c r="P885" s="67">
        <v>18.139999806881001</v>
      </c>
      <c r="Q885" s="68">
        <v>0.111682390863106</v>
      </c>
    </row>
    <row r="886" spans="1:17" x14ac:dyDescent="0.35">
      <c r="A886" s="62" t="s">
        <v>136</v>
      </c>
      <c r="B886" s="63">
        <v>987456</v>
      </c>
      <c r="C886" s="63" t="s">
        <v>144</v>
      </c>
      <c r="D886" s="64">
        <v>42674</v>
      </c>
      <c r="E886" s="63" t="s">
        <v>138</v>
      </c>
      <c r="F886" s="65">
        <v>42028</v>
      </c>
      <c r="G886" s="66">
        <v>3.2310177705977398E-3</v>
      </c>
      <c r="H886" s="65">
        <v>214</v>
      </c>
      <c r="I886" s="67">
        <v>0.68911765077534803</v>
      </c>
      <c r="J886" s="67">
        <v>2.2265513756877202</v>
      </c>
      <c r="K886" s="65">
        <v>81</v>
      </c>
      <c r="L886" s="65">
        <v>5</v>
      </c>
      <c r="M886" s="66">
        <v>5.8823529411764698E-2</v>
      </c>
      <c r="N886" s="67">
        <v>133.30682422129601</v>
      </c>
      <c r="O886" s="67">
        <v>66.653412110647906</v>
      </c>
      <c r="P886" s="67">
        <v>23.430000126361801</v>
      </c>
      <c r="Q886" s="68">
        <v>0.17575994524831601</v>
      </c>
    </row>
    <row r="887" spans="1:17" x14ac:dyDescent="0.35">
      <c r="A887" s="62" t="s">
        <v>136</v>
      </c>
      <c r="B887" s="63">
        <v>987456</v>
      </c>
      <c r="C887" s="63" t="s">
        <v>144</v>
      </c>
      <c r="D887" s="64">
        <v>42675</v>
      </c>
      <c r="E887" s="63" t="s">
        <v>138</v>
      </c>
      <c r="F887" s="65">
        <v>57306</v>
      </c>
      <c r="G887" s="66">
        <v>3.0322521363594598E-3</v>
      </c>
      <c r="H887" s="65">
        <v>286</v>
      </c>
      <c r="I887" s="67">
        <v>0.72121211976716004</v>
      </c>
      <c r="J887" s="67">
        <v>2.1868969909323099</v>
      </c>
      <c r="K887" s="65">
        <v>28</v>
      </c>
      <c r="L887" s="65">
        <v>6</v>
      </c>
      <c r="M887" s="66">
        <v>3.03030303030303E-2</v>
      </c>
      <c r="N887" s="67">
        <v>39.678332914350399</v>
      </c>
      <c r="O887" s="67">
        <v>39.678332914350399</v>
      </c>
      <c r="P887" s="67">
        <v>23.799999952316298</v>
      </c>
      <c r="Q887" s="68">
        <v>0.59982358643169098</v>
      </c>
    </row>
    <row r="888" spans="1:17" x14ac:dyDescent="0.35">
      <c r="A888" s="62" t="s">
        <v>136</v>
      </c>
      <c r="B888" s="63">
        <v>987456</v>
      </c>
      <c r="C888" s="63" t="s">
        <v>144</v>
      </c>
      <c r="D888" s="64">
        <v>42676</v>
      </c>
      <c r="E888" s="63" t="s">
        <v>138</v>
      </c>
      <c r="F888" s="65">
        <v>14660</v>
      </c>
      <c r="G888" s="66">
        <v>2.5396825396825401E-3</v>
      </c>
      <c r="H888" s="65">
        <v>378</v>
      </c>
      <c r="I888" s="67">
        <v>0.79208332424362504</v>
      </c>
      <c r="J888" s="67">
        <v>2.0116401885552402</v>
      </c>
      <c r="K888" s="65">
        <v>84</v>
      </c>
      <c r="L888" s="65">
        <v>6</v>
      </c>
      <c r="M888" s="66">
        <v>0.16666666666666699</v>
      </c>
      <c r="N888" s="67">
        <v>435.18027976107902</v>
      </c>
      <c r="O888" s="67">
        <v>108.79506994027</v>
      </c>
      <c r="P888" s="67">
        <v>19.009999781847</v>
      </c>
      <c r="Q888" s="68">
        <v>4.3683045087162101E-2</v>
      </c>
    </row>
    <row r="889" spans="1:17" x14ac:dyDescent="0.35">
      <c r="A889" s="62" t="s">
        <v>136</v>
      </c>
      <c r="B889" s="63">
        <v>987456</v>
      </c>
      <c r="C889" s="63" t="s">
        <v>144</v>
      </c>
      <c r="D889" s="64">
        <v>42677</v>
      </c>
      <c r="E889" s="63" t="s">
        <v>138</v>
      </c>
      <c r="F889" s="65">
        <v>32574</v>
      </c>
      <c r="G889" s="66">
        <v>3.5117461855170701E-3</v>
      </c>
      <c r="H889" s="65">
        <v>298</v>
      </c>
      <c r="I889" s="67">
        <v>0.66620689938808297</v>
      </c>
      <c r="J889" s="67">
        <v>2.3395495376912598</v>
      </c>
      <c r="K889" s="65">
        <v>72</v>
      </c>
      <c r="L889" s="65">
        <v>4</v>
      </c>
      <c r="M889" s="66">
        <v>6.8965517241379296E-2</v>
      </c>
      <c r="N889" s="67">
        <v>406.23896448129301</v>
      </c>
      <c r="O889" s="67">
        <v>203.11948224064699</v>
      </c>
      <c r="P889" s="67">
        <v>19.320000082254399</v>
      </c>
      <c r="Q889" s="68">
        <v>4.7558215167575503E-2</v>
      </c>
    </row>
    <row r="890" spans="1:17" x14ac:dyDescent="0.35">
      <c r="A890" s="62" t="s">
        <v>136</v>
      </c>
      <c r="B890" s="63">
        <v>987456</v>
      </c>
      <c r="C890" s="63" t="s">
        <v>144</v>
      </c>
      <c r="D890" s="64">
        <v>42678</v>
      </c>
      <c r="E890" s="63" t="s">
        <v>138</v>
      </c>
      <c r="F890" s="65">
        <v>20151</v>
      </c>
      <c r="G890" s="66">
        <v>2.58030073849987E-3</v>
      </c>
      <c r="H890" s="65">
        <v>382</v>
      </c>
      <c r="I890" s="67">
        <v>0.71793102807012099</v>
      </c>
      <c r="J890" s="67">
        <v>1.8524779619213001</v>
      </c>
      <c r="K890" s="65">
        <v>77</v>
      </c>
      <c r="L890" s="65">
        <v>7</v>
      </c>
      <c r="M890" s="66">
        <v>3.4482758620689703E-2</v>
      </c>
      <c r="N890" s="67">
        <v>316.72289279629001</v>
      </c>
      <c r="O890" s="67">
        <v>316.72289279629001</v>
      </c>
      <c r="P890" s="67">
        <v>20.819999814033501</v>
      </c>
      <c r="Q890" s="68">
        <v>6.5735696053472695E-2</v>
      </c>
    </row>
    <row r="891" spans="1:17" x14ac:dyDescent="0.35">
      <c r="A891" s="62" t="s">
        <v>136</v>
      </c>
      <c r="B891" s="63">
        <v>894875</v>
      </c>
      <c r="C891" s="63" t="s">
        <v>145</v>
      </c>
      <c r="D891" s="64">
        <v>42552</v>
      </c>
      <c r="E891" s="63" t="s">
        <v>138</v>
      </c>
      <c r="F891" s="65">
        <v>5330</v>
      </c>
      <c r="G891" s="66">
        <v>1.45586275246916E-2</v>
      </c>
      <c r="H891" s="65">
        <v>445</v>
      </c>
      <c r="I891" s="67">
        <v>0.64187793083873701</v>
      </c>
      <c r="J891" s="67">
        <v>9.3448617114009096</v>
      </c>
      <c r="K891" s="65">
        <v>97</v>
      </c>
      <c r="L891" s="65">
        <v>43</v>
      </c>
      <c r="M891" s="66">
        <v>8.2159624413145504E-2</v>
      </c>
      <c r="N891" s="67">
        <v>4832.0512139340699</v>
      </c>
      <c r="O891" s="67">
        <v>138.058606112402</v>
      </c>
      <c r="P891" s="67">
        <v>273.43999853730202</v>
      </c>
      <c r="Q891" s="68">
        <v>5.6588803891148599E-2</v>
      </c>
    </row>
    <row r="892" spans="1:17" x14ac:dyDescent="0.35">
      <c r="A892" s="62" t="s">
        <v>136</v>
      </c>
      <c r="B892" s="63">
        <v>894875</v>
      </c>
      <c r="C892" s="63" t="s">
        <v>145</v>
      </c>
      <c r="D892" s="64">
        <v>42553</v>
      </c>
      <c r="E892" s="63" t="s">
        <v>138</v>
      </c>
      <c r="F892" s="65">
        <v>65165</v>
      </c>
      <c r="G892" s="66">
        <v>1.50232677439449E-2</v>
      </c>
      <c r="H892" s="65">
        <v>262</v>
      </c>
      <c r="I892" s="67">
        <v>0.71387806505691698</v>
      </c>
      <c r="J892" s="67">
        <v>10.7247813078794</v>
      </c>
      <c r="K892" s="65">
        <v>45</v>
      </c>
      <c r="L892" s="65">
        <v>32</v>
      </c>
      <c r="M892" s="66">
        <v>5.12195121951219E-2</v>
      </c>
      <c r="N892" s="67">
        <v>1732.8204559634801</v>
      </c>
      <c r="O892" s="67">
        <v>82.515259807784801</v>
      </c>
      <c r="P892" s="67">
        <v>292.69000667333597</v>
      </c>
      <c r="Q892" s="68">
        <v>0.16890959802906699</v>
      </c>
    </row>
    <row r="893" spans="1:17" x14ac:dyDescent="0.35">
      <c r="A893" s="62" t="s">
        <v>136</v>
      </c>
      <c r="B893" s="63">
        <v>894875</v>
      </c>
      <c r="C893" s="63" t="s">
        <v>145</v>
      </c>
      <c r="D893" s="64">
        <v>42554</v>
      </c>
      <c r="E893" s="63" t="s">
        <v>138</v>
      </c>
      <c r="F893" s="65">
        <v>54600</v>
      </c>
      <c r="G893" s="66">
        <v>1.2998613891883601E-2</v>
      </c>
      <c r="H893" s="65">
        <v>462</v>
      </c>
      <c r="I893" s="67">
        <v>0.73748818004583305</v>
      </c>
      <c r="J893" s="67">
        <v>9.5863241022436902</v>
      </c>
      <c r="K893" s="65">
        <v>77</v>
      </c>
      <c r="L893" s="65">
        <v>24</v>
      </c>
      <c r="M893" s="66">
        <v>3.5545023696682498E-2</v>
      </c>
      <c r="N893" s="67">
        <v>1264.06777439848</v>
      </c>
      <c r="O893" s="67">
        <v>84.271184959898505</v>
      </c>
      <c r="P893" s="67">
        <v>311.22001197934202</v>
      </c>
      <c r="Q893" s="68">
        <v>0.24620516263650399</v>
      </c>
    </row>
    <row r="894" spans="1:17" x14ac:dyDescent="0.35">
      <c r="A894" s="62" t="s">
        <v>136</v>
      </c>
      <c r="B894" s="63">
        <v>894875</v>
      </c>
      <c r="C894" s="63" t="s">
        <v>145</v>
      </c>
      <c r="D894" s="64">
        <v>42555</v>
      </c>
      <c r="E894" s="63" t="s">
        <v>138</v>
      </c>
      <c r="F894" s="65">
        <v>38179</v>
      </c>
      <c r="G894" s="66">
        <v>1.47406791584063E-2</v>
      </c>
      <c r="H894" s="65">
        <v>171</v>
      </c>
      <c r="I894" s="67">
        <v>0.73095447912715295</v>
      </c>
      <c r="J894" s="67">
        <v>10.7747654562134</v>
      </c>
      <c r="K894" s="65">
        <v>40</v>
      </c>
      <c r="L894" s="65">
        <v>28</v>
      </c>
      <c r="M894" s="66">
        <v>4.7722342733188698E-2</v>
      </c>
      <c r="N894" s="67">
        <v>1966.5917650358499</v>
      </c>
      <c r="O894" s="67">
        <v>89.390534774356695</v>
      </c>
      <c r="P894" s="67">
        <v>336.97001487761702</v>
      </c>
      <c r="Q894" s="68">
        <v>0.171347211388061</v>
      </c>
    </row>
    <row r="895" spans="1:17" x14ac:dyDescent="0.35">
      <c r="A895" s="62" t="s">
        <v>136</v>
      </c>
      <c r="B895" s="63">
        <v>894875</v>
      </c>
      <c r="C895" s="63" t="s">
        <v>145</v>
      </c>
      <c r="D895" s="64">
        <v>42556</v>
      </c>
      <c r="E895" s="63" t="s">
        <v>138</v>
      </c>
      <c r="F895" s="65">
        <v>2987</v>
      </c>
      <c r="G895" s="66">
        <v>1.51304922365378E-2</v>
      </c>
      <c r="H895" s="65">
        <v>298</v>
      </c>
      <c r="I895" s="67">
        <v>0.81978165872362496</v>
      </c>
      <c r="J895" s="67">
        <v>12.403700022973901</v>
      </c>
      <c r="K895" s="65">
        <v>23</v>
      </c>
      <c r="L895" s="65">
        <v>20</v>
      </c>
      <c r="M895" s="66">
        <v>2.8384279475982498E-2</v>
      </c>
      <c r="N895" s="67">
        <v>1241.16173898435</v>
      </c>
      <c r="O895" s="67">
        <v>95.473979921872996</v>
      </c>
      <c r="P895" s="67">
        <v>375.45999969541998</v>
      </c>
      <c r="Q895" s="68">
        <v>0.30250690776422201</v>
      </c>
    </row>
    <row r="896" spans="1:17" x14ac:dyDescent="0.35">
      <c r="A896" s="62" t="s">
        <v>136</v>
      </c>
      <c r="B896" s="63">
        <v>894875</v>
      </c>
      <c r="C896" s="63" t="s">
        <v>145</v>
      </c>
      <c r="D896" s="64">
        <v>42557</v>
      </c>
      <c r="E896" s="63" t="s">
        <v>138</v>
      </c>
      <c r="F896" s="65">
        <v>12958</v>
      </c>
      <c r="G896" s="66">
        <v>1.3259696630357301E-2</v>
      </c>
      <c r="H896" s="65">
        <v>299</v>
      </c>
      <c r="I896" s="67">
        <v>0.90076776935706404</v>
      </c>
      <c r="J896" s="67">
        <v>11.9439073560784</v>
      </c>
      <c r="K896" s="65">
        <v>49</v>
      </c>
      <c r="L896" s="65">
        <v>17</v>
      </c>
      <c r="M896" s="66">
        <v>2.4952015355086399E-2</v>
      </c>
      <c r="N896" s="67">
        <v>771.19889343008504</v>
      </c>
      <c r="O896" s="67">
        <v>59.322991802314199</v>
      </c>
      <c r="P896" s="67">
        <v>469.30000783503101</v>
      </c>
      <c r="Q896" s="68">
        <v>0.60853304100024097</v>
      </c>
    </row>
    <row r="897" spans="1:17" x14ac:dyDescent="0.35">
      <c r="A897" s="62" t="s">
        <v>136</v>
      </c>
      <c r="B897" s="63">
        <v>894875</v>
      </c>
      <c r="C897" s="63" t="s">
        <v>145</v>
      </c>
      <c r="D897" s="64">
        <v>42558</v>
      </c>
      <c r="E897" s="63" t="s">
        <v>138</v>
      </c>
      <c r="F897" s="65">
        <v>48957</v>
      </c>
      <c r="G897" s="66">
        <v>1.4167470674859101E-2</v>
      </c>
      <c r="H897" s="65">
        <v>304</v>
      </c>
      <c r="I897" s="67">
        <v>0.86087815008229696</v>
      </c>
      <c r="J897" s="67">
        <v>12.1964659459179</v>
      </c>
      <c r="K897" s="65">
        <v>46</v>
      </c>
      <c r="L897" s="65">
        <v>19</v>
      </c>
      <c r="M897" s="66">
        <v>2.1505376344085999E-2</v>
      </c>
      <c r="N897" s="67">
        <v>864.63828642867702</v>
      </c>
      <c r="O897" s="67">
        <v>72.053190535723004</v>
      </c>
      <c r="P897" s="67">
        <v>480.37000774592201</v>
      </c>
      <c r="Q897" s="68">
        <v>0.55557337129963802</v>
      </c>
    </row>
    <row r="898" spans="1:17" x14ac:dyDescent="0.35">
      <c r="A898" s="62" t="s">
        <v>136</v>
      </c>
      <c r="B898" s="63">
        <v>894875</v>
      </c>
      <c r="C898" s="63" t="s">
        <v>145</v>
      </c>
      <c r="D898" s="64">
        <v>42559</v>
      </c>
      <c r="E898" s="63" t="s">
        <v>138</v>
      </c>
      <c r="F898" s="65">
        <v>13688</v>
      </c>
      <c r="G898" s="66">
        <v>1.2525365614722599E-2</v>
      </c>
      <c r="H898" s="65">
        <v>156</v>
      </c>
      <c r="I898" s="67">
        <v>0.87152702651321301</v>
      </c>
      <c r="J898" s="67">
        <v>10.91619465019</v>
      </c>
      <c r="K898" s="65">
        <v>69</v>
      </c>
      <c r="L898" s="65">
        <v>48</v>
      </c>
      <c r="M898" s="66">
        <v>7.6350093109869593E-2</v>
      </c>
      <c r="N898" s="67">
        <v>3437.9201797207102</v>
      </c>
      <c r="O898" s="67">
        <v>83.851711700505007</v>
      </c>
      <c r="P898" s="67">
        <v>468.01001323759601</v>
      </c>
      <c r="Q898" s="68">
        <v>0.13613172754802499</v>
      </c>
    </row>
    <row r="899" spans="1:17" x14ac:dyDescent="0.35">
      <c r="A899" s="62" t="s">
        <v>136</v>
      </c>
      <c r="B899" s="63">
        <v>894875</v>
      </c>
      <c r="C899" s="63" t="s">
        <v>145</v>
      </c>
      <c r="D899" s="64">
        <v>42560</v>
      </c>
      <c r="E899" s="63" t="s">
        <v>138</v>
      </c>
      <c r="F899" s="65">
        <v>33035</v>
      </c>
      <c r="G899" s="66">
        <v>1.3191588422441201E-2</v>
      </c>
      <c r="H899" s="65">
        <v>326</v>
      </c>
      <c r="I899" s="67">
        <v>0.85339217901814202</v>
      </c>
      <c r="J899" s="67">
        <v>11.2575983885376</v>
      </c>
      <c r="K899" s="65">
        <v>73</v>
      </c>
      <c r="L899" s="65">
        <v>22</v>
      </c>
      <c r="M899" s="66">
        <v>3.9215686274509803E-2</v>
      </c>
      <c r="N899" s="67">
        <v>2698.1156265347199</v>
      </c>
      <c r="O899" s="67">
        <v>134.90578132673599</v>
      </c>
      <c r="P899" s="67">
        <v>435.23001129925302</v>
      </c>
      <c r="Q899" s="68">
        <v>0.16130888054572901</v>
      </c>
    </row>
    <row r="900" spans="1:17" x14ac:dyDescent="0.35">
      <c r="A900" s="62" t="s">
        <v>136</v>
      </c>
      <c r="B900" s="63">
        <v>894875</v>
      </c>
      <c r="C900" s="63" t="s">
        <v>145</v>
      </c>
      <c r="D900" s="64">
        <v>42561</v>
      </c>
      <c r="E900" s="63" t="s">
        <v>138</v>
      </c>
      <c r="F900" s="65">
        <v>24688</v>
      </c>
      <c r="G900" s="66">
        <v>1.34763476347635E-2</v>
      </c>
      <c r="H900" s="65">
        <v>442</v>
      </c>
      <c r="I900" s="67">
        <v>0.65394559485706905</v>
      </c>
      <c r="J900" s="67">
        <v>8.8127981705160607</v>
      </c>
      <c r="K900" s="65">
        <v>75</v>
      </c>
      <c r="L900" s="65">
        <v>15</v>
      </c>
      <c r="M900" s="66">
        <v>2.4943310657596401E-2</v>
      </c>
      <c r="N900" s="67">
        <v>752.22578237479001</v>
      </c>
      <c r="O900" s="67">
        <v>68.384162034071807</v>
      </c>
      <c r="P900" s="67">
        <v>288.39000733196701</v>
      </c>
      <c r="Q900" s="68">
        <v>0.38338224252499697</v>
      </c>
    </row>
    <row r="901" spans="1:17" x14ac:dyDescent="0.35">
      <c r="A901" s="62" t="s">
        <v>136</v>
      </c>
      <c r="B901" s="63">
        <v>894875</v>
      </c>
      <c r="C901" s="63" t="s">
        <v>145</v>
      </c>
      <c r="D901" s="64">
        <v>42562</v>
      </c>
      <c r="E901" s="63" t="s">
        <v>138</v>
      </c>
      <c r="F901" s="65">
        <v>55212</v>
      </c>
      <c r="G901" s="66">
        <v>1.43424464209524E-2</v>
      </c>
      <c r="H901" s="65">
        <v>577</v>
      </c>
      <c r="I901" s="67">
        <v>0.55132723236520498</v>
      </c>
      <c r="J901" s="67">
        <v>7.9073812906099397</v>
      </c>
      <c r="K901" s="65">
        <v>39</v>
      </c>
      <c r="L901" s="65">
        <v>30</v>
      </c>
      <c r="M901" s="66">
        <v>5.0343249427917597E-2</v>
      </c>
      <c r="N901" s="67">
        <v>2351.7590144478299</v>
      </c>
      <c r="O901" s="67">
        <v>106.898137020356</v>
      </c>
      <c r="P901" s="67">
        <v>240.93000054359399</v>
      </c>
      <c r="Q901" s="68">
        <v>0.102446721395968</v>
      </c>
    </row>
    <row r="902" spans="1:17" x14ac:dyDescent="0.35">
      <c r="A902" s="62" t="s">
        <v>136</v>
      </c>
      <c r="B902" s="63">
        <v>894875</v>
      </c>
      <c r="C902" s="63" t="s">
        <v>145</v>
      </c>
      <c r="D902" s="64">
        <v>42563</v>
      </c>
      <c r="E902" s="63" t="s">
        <v>138</v>
      </c>
      <c r="F902" s="65">
        <v>30517</v>
      </c>
      <c r="G902" s="66">
        <v>1.5089913995308801E-2</v>
      </c>
      <c r="H902" s="65">
        <v>314</v>
      </c>
      <c r="I902" s="67">
        <v>0.537668403334568</v>
      </c>
      <c r="J902" s="67">
        <v>8.1133699643136605</v>
      </c>
      <c r="K902" s="65">
        <v>42</v>
      </c>
      <c r="L902" s="65">
        <v>27</v>
      </c>
      <c r="M902" s="66">
        <v>5.9585492227979299E-2</v>
      </c>
      <c r="N902" s="67">
        <v>2471.4755179383501</v>
      </c>
      <c r="O902" s="67">
        <v>107.45545730166801</v>
      </c>
      <c r="P902" s="67">
        <v>207.54000368714301</v>
      </c>
      <c r="Q902" s="68">
        <v>8.3974128888101796E-2</v>
      </c>
    </row>
    <row r="903" spans="1:17" x14ac:dyDescent="0.35">
      <c r="A903" s="62" t="s">
        <v>136</v>
      </c>
      <c r="B903" s="63">
        <v>894875</v>
      </c>
      <c r="C903" s="63" t="s">
        <v>145</v>
      </c>
      <c r="D903" s="64">
        <v>42564</v>
      </c>
      <c r="E903" s="63" t="s">
        <v>138</v>
      </c>
      <c r="F903" s="65">
        <v>5453</v>
      </c>
      <c r="G903" s="66">
        <v>1.37635045138375E-2</v>
      </c>
      <c r="H903" s="65">
        <v>289</v>
      </c>
      <c r="I903" s="67">
        <v>0.56306452364210202</v>
      </c>
      <c r="J903" s="67">
        <v>7.7497411127298301</v>
      </c>
      <c r="K903" s="65">
        <v>27</v>
      </c>
      <c r="L903" s="65">
        <v>19</v>
      </c>
      <c r="M903" s="66">
        <v>3.7634408602150497E-2</v>
      </c>
      <c r="N903" s="67">
        <v>2059.5125245681102</v>
      </c>
      <c r="O903" s="67">
        <v>147.10803746915099</v>
      </c>
      <c r="P903" s="67">
        <v>209.46000279486199</v>
      </c>
      <c r="Q903" s="68">
        <v>0.101703680019516</v>
      </c>
    </row>
    <row r="904" spans="1:17" x14ac:dyDescent="0.35">
      <c r="A904" s="62" t="s">
        <v>136</v>
      </c>
      <c r="B904" s="63">
        <v>894875</v>
      </c>
      <c r="C904" s="63" t="s">
        <v>145</v>
      </c>
      <c r="D904" s="64">
        <v>42565</v>
      </c>
      <c r="E904" s="63" t="s">
        <v>138</v>
      </c>
      <c r="F904" s="65">
        <v>11816</v>
      </c>
      <c r="G904" s="66">
        <v>1.5927594656548898E-2</v>
      </c>
      <c r="H904" s="65">
        <v>302</v>
      </c>
      <c r="I904" s="67">
        <v>0.57972704393618202</v>
      </c>
      <c r="J904" s="67">
        <v>9.2336573672548106</v>
      </c>
      <c r="K904" s="65">
        <v>87</v>
      </c>
      <c r="L904" s="65">
        <v>9</v>
      </c>
      <c r="M904" s="66">
        <v>1.7369727047146399E-2</v>
      </c>
      <c r="N904" s="67">
        <v>426.13880606898698</v>
      </c>
      <c r="O904" s="67">
        <v>60.876972295569601</v>
      </c>
      <c r="P904" s="67">
        <v>233.62999870628099</v>
      </c>
      <c r="Q904" s="68">
        <v>0.54824858796938403</v>
      </c>
    </row>
    <row r="905" spans="1:17" x14ac:dyDescent="0.35">
      <c r="A905" s="62" t="s">
        <v>136</v>
      </c>
      <c r="B905" s="63">
        <v>894875</v>
      </c>
      <c r="C905" s="63" t="s">
        <v>145</v>
      </c>
      <c r="D905" s="64">
        <v>42566</v>
      </c>
      <c r="E905" s="63" t="s">
        <v>138</v>
      </c>
      <c r="F905" s="65">
        <v>18119</v>
      </c>
      <c r="G905" s="66">
        <v>1.50720063128822E-2</v>
      </c>
      <c r="H905" s="65">
        <v>568</v>
      </c>
      <c r="I905" s="67">
        <v>0.57086388249905995</v>
      </c>
      <c r="J905" s="67">
        <v>8.6040640408222799</v>
      </c>
      <c r="K905" s="65">
        <v>53</v>
      </c>
      <c r="L905" s="65">
        <v>46</v>
      </c>
      <c r="M905" s="66">
        <v>9.1623036649214701E-2</v>
      </c>
      <c r="N905" s="67">
        <v>3853.9199654342301</v>
      </c>
      <c r="O905" s="67">
        <v>110.111999012407</v>
      </c>
      <c r="P905" s="67">
        <v>218.070003114641</v>
      </c>
      <c r="Q905" s="68">
        <v>5.6583947012524401E-2</v>
      </c>
    </row>
    <row r="906" spans="1:17" x14ac:dyDescent="0.35">
      <c r="A906" s="62" t="s">
        <v>136</v>
      </c>
      <c r="B906" s="63">
        <v>894875</v>
      </c>
      <c r="C906" s="63" t="s">
        <v>145</v>
      </c>
      <c r="D906" s="64">
        <v>42567</v>
      </c>
      <c r="E906" s="63" t="s">
        <v>138</v>
      </c>
      <c r="F906" s="65">
        <v>52440</v>
      </c>
      <c r="G906" s="66">
        <v>1.5424739195231E-2</v>
      </c>
      <c r="H906" s="65">
        <v>509</v>
      </c>
      <c r="I906" s="67">
        <v>0.589661835778307</v>
      </c>
      <c r="J906" s="67">
        <v>9.0953800302615093</v>
      </c>
      <c r="K906" s="65">
        <v>58</v>
      </c>
      <c r="L906" s="65">
        <v>16</v>
      </c>
      <c r="M906" s="66">
        <v>3.3816425120772903E-2</v>
      </c>
      <c r="N906" s="67">
        <v>1429.7692012597299</v>
      </c>
      <c r="O906" s="67">
        <v>102.12637151855201</v>
      </c>
      <c r="P906" s="67">
        <v>244.12000001221901</v>
      </c>
      <c r="Q906" s="68">
        <v>0.17074084390482899</v>
      </c>
    </row>
    <row r="907" spans="1:17" x14ac:dyDescent="0.35">
      <c r="A907" s="62" t="s">
        <v>136</v>
      </c>
      <c r="B907" s="63">
        <v>894875</v>
      </c>
      <c r="C907" s="63" t="s">
        <v>145</v>
      </c>
      <c r="D907" s="64">
        <v>42568</v>
      </c>
      <c r="E907" s="63" t="s">
        <v>138</v>
      </c>
      <c r="F907" s="65">
        <v>6228</v>
      </c>
      <c r="G907" s="66">
        <v>1.70419522100149E-2</v>
      </c>
      <c r="H907" s="65">
        <v>462</v>
      </c>
      <c r="I907" s="67">
        <v>0.56646809381373397</v>
      </c>
      <c r="J907" s="67">
        <v>9.6537221832718707</v>
      </c>
      <c r="K907" s="65">
        <v>62</v>
      </c>
      <c r="L907" s="65">
        <v>23</v>
      </c>
      <c r="M907" s="66">
        <v>4.2553191489361701E-2</v>
      </c>
      <c r="N907" s="67">
        <v>2525.6720635315801</v>
      </c>
      <c r="O907" s="67">
        <v>126.28360317657901</v>
      </c>
      <c r="P907" s="67">
        <v>266.24000409245502</v>
      </c>
      <c r="Q907" s="68">
        <v>0.105413528516516</v>
      </c>
    </row>
    <row r="908" spans="1:17" x14ac:dyDescent="0.35">
      <c r="A908" s="62" t="s">
        <v>136</v>
      </c>
      <c r="B908" s="63">
        <v>894875</v>
      </c>
      <c r="C908" s="63" t="s">
        <v>145</v>
      </c>
      <c r="D908" s="64">
        <v>42569</v>
      </c>
      <c r="E908" s="63" t="s">
        <v>138</v>
      </c>
      <c r="F908" s="65">
        <v>56275</v>
      </c>
      <c r="G908" s="66">
        <v>1.4795008912656E-2</v>
      </c>
      <c r="H908" s="65">
        <v>489</v>
      </c>
      <c r="I908" s="67">
        <v>0.57465060906237897</v>
      </c>
      <c r="J908" s="67">
        <v>8.50196088274107</v>
      </c>
      <c r="K908" s="65">
        <v>28</v>
      </c>
      <c r="L908" s="65">
        <v>7</v>
      </c>
      <c r="M908" s="66">
        <v>1.68674698795181E-2</v>
      </c>
      <c r="N908" s="67">
        <v>579.00423084054296</v>
      </c>
      <c r="O908" s="67">
        <v>82.714890120077499</v>
      </c>
      <c r="P908" s="67">
        <v>238.480002760887</v>
      </c>
      <c r="Q908" s="68">
        <v>0.41187955123347703</v>
      </c>
    </row>
    <row r="909" spans="1:17" x14ac:dyDescent="0.35">
      <c r="A909" s="62" t="s">
        <v>136</v>
      </c>
      <c r="B909" s="63">
        <v>894875</v>
      </c>
      <c r="C909" s="63" t="s">
        <v>145</v>
      </c>
      <c r="D909" s="64">
        <v>42570</v>
      </c>
      <c r="E909" s="63" t="s">
        <v>138</v>
      </c>
      <c r="F909" s="65">
        <v>38027</v>
      </c>
      <c r="G909" s="66">
        <v>1.55729781978305E-2</v>
      </c>
      <c r="H909" s="65">
        <v>510</v>
      </c>
      <c r="I909" s="67">
        <v>0.535195402664015</v>
      </c>
      <c r="J909" s="67">
        <v>8.3345863372658293</v>
      </c>
      <c r="K909" s="65">
        <v>89</v>
      </c>
      <c r="L909" s="65">
        <v>11</v>
      </c>
      <c r="M909" s="66">
        <v>2.2988505747126398E-2</v>
      </c>
      <c r="N909" s="67">
        <v>1090.71656223073</v>
      </c>
      <c r="O909" s="67">
        <v>109.07165622307301</v>
      </c>
      <c r="P909" s="67">
        <v>232.81000015884601</v>
      </c>
      <c r="Q909" s="68">
        <v>0.21344683689656699</v>
      </c>
    </row>
    <row r="910" spans="1:17" x14ac:dyDescent="0.35">
      <c r="A910" s="62" t="s">
        <v>136</v>
      </c>
      <c r="B910" s="63">
        <v>894875</v>
      </c>
      <c r="C910" s="63" t="s">
        <v>145</v>
      </c>
      <c r="D910" s="64">
        <v>42571</v>
      </c>
      <c r="E910" s="63" t="s">
        <v>138</v>
      </c>
      <c r="F910" s="65">
        <v>52524</v>
      </c>
      <c r="G910" s="66">
        <v>1.4847087686646099E-2</v>
      </c>
      <c r="H910" s="65">
        <v>464</v>
      </c>
      <c r="I910" s="67">
        <v>0.42886040512567902</v>
      </c>
      <c r="J910" s="67">
        <v>6.36732804023152</v>
      </c>
      <c r="K910" s="65">
        <v>86</v>
      </c>
      <c r="L910" s="65">
        <v>22</v>
      </c>
      <c r="M910" s="66">
        <v>6.2678062678062696E-2</v>
      </c>
      <c r="N910" s="67">
        <v>2579.8182224112402</v>
      </c>
      <c r="O910" s="67">
        <v>117.264464655057</v>
      </c>
      <c r="P910" s="67">
        <v>150.530002199113</v>
      </c>
      <c r="Q910" s="68">
        <v>5.8349073160053701E-2</v>
      </c>
    </row>
    <row r="911" spans="1:17" x14ac:dyDescent="0.35">
      <c r="A911" s="62" t="s">
        <v>136</v>
      </c>
      <c r="B911" s="63">
        <v>894875</v>
      </c>
      <c r="C911" s="63" t="s">
        <v>145</v>
      </c>
      <c r="D911" s="64">
        <v>42572</v>
      </c>
      <c r="E911" s="63" t="s">
        <v>138</v>
      </c>
      <c r="F911" s="65">
        <v>27079</v>
      </c>
      <c r="G911" s="66">
        <v>1.3102772083073399E-2</v>
      </c>
      <c r="H911" s="65">
        <v>278</v>
      </c>
      <c r="I911" s="67">
        <v>0.44180272927596498</v>
      </c>
      <c r="J911" s="67">
        <v>5.7888404673827196</v>
      </c>
      <c r="K911" s="65">
        <v>37</v>
      </c>
      <c r="L911" s="65">
        <v>25</v>
      </c>
      <c r="M911" s="66">
        <v>8.5034013605442202E-2</v>
      </c>
      <c r="N911" s="67">
        <v>2870.34321515498</v>
      </c>
      <c r="O911" s="67">
        <v>114.81372860619901</v>
      </c>
      <c r="P911" s="67">
        <v>129.89000240713401</v>
      </c>
      <c r="Q911" s="68">
        <v>4.52524289504245E-2</v>
      </c>
    </row>
    <row r="912" spans="1:17" x14ac:dyDescent="0.35">
      <c r="A912" s="62" t="s">
        <v>136</v>
      </c>
      <c r="B912" s="63">
        <v>894875</v>
      </c>
      <c r="C912" s="63" t="s">
        <v>145</v>
      </c>
      <c r="D912" s="64">
        <v>42573</v>
      </c>
      <c r="E912" s="63" t="s">
        <v>138</v>
      </c>
      <c r="F912" s="65">
        <v>24389</v>
      </c>
      <c r="G912" s="66">
        <v>1.2730969852356101E-2</v>
      </c>
      <c r="H912" s="65">
        <v>168</v>
      </c>
      <c r="I912" s="67">
        <v>0.416736125609734</v>
      </c>
      <c r="J912" s="67">
        <v>5.3054550515252101</v>
      </c>
      <c r="K912" s="65">
        <v>53</v>
      </c>
      <c r="L912" s="65">
        <v>23</v>
      </c>
      <c r="M912" s="66">
        <v>6.5972222222222196E-2</v>
      </c>
      <c r="N912" s="67">
        <v>2555.2770522463302</v>
      </c>
      <c r="O912" s="67">
        <v>134.48826590770099</v>
      </c>
      <c r="P912" s="67">
        <v>120.02000417560301</v>
      </c>
      <c r="Q912" s="68">
        <v>4.6969468171795599E-2</v>
      </c>
    </row>
    <row r="913" spans="1:17" x14ac:dyDescent="0.35">
      <c r="A913" s="62" t="s">
        <v>136</v>
      </c>
      <c r="B913" s="63">
        <v>894875</v>
      </c>
      <c r="C913" s="63" t="s">
        <v>145</v>
      </c>
      <c r="D913" s="64">
        <v>42574</v>
      </c>
      <c r="E913" s="63" t="s">
        <v>138</v>
      </c>
      <c r="F913" s="65">
        <v>32429</v>
      </c>
      <c r="G913" s="66">
        <v>1.4848120457991301E-2</v>
      </c>
      <c r="H913" s="65">
        <v>334</v>
      </c>
      <c r="I913" s="67">
        <v>0.43056338692320101</v>
      </c>
      <c r="J913" s="67">
        <v>6.3930570338364099</v>
      </c>
      <c r="K913" s="65">
        <v>13</v>
      </c>
      <c r="L913" s="65">
        <v>18</v>
      </c>
      <c r="M913" s="66">
        <v>5.63380281690141E-2</v>
      </c>
      <c r="N913" s="67">
        <v>1760.22126584181</v>
      </c>
      <c r="O913" s="67">
        <v>110.013829115113</v>
      </c>
      <c r="P913" s="67">
        <v>122.280001886189</v>
      </c>
      <c r="Q913" s="68">
        <v>6.9468540267697304E-2</v>
      </c>
    </row>
    <row r="914" spans="1:17" x14ac:dyDescent="0.35">
      <c r="A914" s="62" t="s">
        <v>136</v>
      </c>
      <c r="B914" s="63">
        <v>894875</v>
      </c>
      <c r="C914" s="63" t="s">
        <v>145</v>
      </c>
      <c r="D914" s="64">
        <v>42575</v>
      </c>
      <c r="E914" s="63" t="s">
        <v>138</v>
      </c>
      <c r="F914" s="65">
        <v>36120</v>
      </c>
      <c r="G914" s="66">
        <v>1.5200969877832701E-2</v>
      </c>
      <c r="H914" s="65">
        <v>318</v>
      </c>
      <c r="I914" s="67">
        <v>0.520490817245713</v>
      </c>
      <c r="J914" s="67">
        <v>7.9119652346406104</v>
      </c>
      <c r="K914" s="65">
        <v>89</v>
      </c>
      <c r="L914" s="65">
        <v>17</v>
      </c>
      <c r="M914" s="66">
        <v>3.9877300613496897E-2</v>
      </c>
      <c r="N914" s="67">
        <v>1327.8157091334499</v>
      </c>
      <c r="O914" s="67">
        <v>102.13966993334201</v>
      </c>
      <c r="P914" s="67">
        <v>169.680006422102</v>
      </c>
      <c r="Q914" s="68">
        <v>0.12778882284262</v>
      </c>
    </row>
    <row r="915" spans="1:17" x14ac:dyDescent="0.35">
      <c r="A915" s="62" t="s">
        <v>136</v>
      </c>
      <c r="B915" s="63">
        <v>894875</v>
      </c>
      <c r="C915" s="63" t="s">
        <v>145</v>
      </c>
      <c r="D915" s="64">
        <v>42576</v>
      </c>
      <c r="E915" s="63" t="s">
        <v>138</v>
      </c>
      <c r="F915" s="65">
        <v>37287</v>
      </c>
      <c r="G915" s="66">
        <v>1.6006237387635298E-2</v>
      </c>
      <c r="H915" s="65">
        <v>159</v>
      </c>
      <c r="I915" s="67">
        <v>0.48727795947076302</v>
      </c>
      <c r="J915" s="67">
        <v>7.7994866930515601</v>
      </c>
      <c r="K915" s="65">
        <v>42</v>
      </c>
      <c r="L915" s="65">
        <v>20</v>
      </c>
      <c r="M915" s="66">
        <v>4.5845272206303703E-2</v>
      </c>
      <c r="N915" s="67">
        <v>1757.84426001734</v>
      </c>
      <c r="O915" s="67">
        <v>109.86526625108399</v>
      </c>
      <c r="P915" s="67">
        <v>170.06000785529599</v>
      </c>
      <c r="Q915" s="68">
        <v>9.6743500959304798E-2</v>
      </c>
    </row>
    <row r="916" spans="1:17" x14ac:dyDescent="0.35">
      <c r="A916" s="62" t="s">
        <v>136</v>
      </c>
      <c r="B916" s="63">
        <v>894875</v>
      </c>
      <c r="C916" s="63" t="s">
        <v>145</v>
      </c>
      <c r="D916" s="64">
        <v>42577</v>
      </c>
      <c r="E916" s="63" t="s">
        <v>138</v>
      </c>
      <c r="F916" s="65">
        <v>5441</v>
      </c>
      <c r="G916" s="66">
        <v>1.4078805325656699E-2</v>
      </c>
      <c r="H916" s="65">
        <v>333</v>
      </c>
      <c r="I916" s="67">
        <v>0.55255590676785304</v>
      </c>
      <c r="J916" s="67">
        <v>7.7793270429263197</v>
      </c>
      <c r="K916" s="65">
        <v>30</v>
      </c>
      <c r="L916" s="65">
        <v>20</v>
      </c>
      <c r="M916" s="66">
        <v>5.1118210862619799E-2</v>
      </c>
      <c r="N916" s="67">
        <v>2209.5813103292598</v>
      </c>
      <c r="O916" s="67">
        <v>138.098831895579</v>
      </c>
      <c r="P916" s="67">
        <v>172.949998818338</v>
      </c>
      <c r="Q916" s="68">
        <v>7.8272746972396195E-2</v>
      </c>
    </row>
    <row r="917" spans="1:17" x14ac:dyDescent="0.35">
      <c r="A917" s="62" t="s">
        <v>136</v>
      </c>
      <c r="B917" s="63">
        <v>894875</v>
      </c>
      <c r="C917" s="63" t="s">
        <v>145</v>
      </c>
      <c r="D917" s="64">
        <v>42578</v>
      </c>
      <c r="E917" s="63" t="s">
        <v>138</v>
      </c>
      <c r="F917" s="65">
        <v>24002</v>
      </c>
      <c r="G917" s="66">
        <v>1.5647677793904202E-2</v>
      </c>
      <c r="H917" s="65">
        <v>205</v>
      </c>
      <c r="I917" s="67">
        <v>0.55562318788058496</v>
      </c>
      <c r="J917" s="67">
        <v>8.6942126187772999</v>
      </c>
      <c r="K917" s="65">
        <v>25</v>
      </c>
      <c r="L917" s="65">
        <v>12</v>
      </c>
      <c r="M917" s="66">
        <v>2.8985507246376802E-2</v>
      </c>
      <c r="N917" s="67">
        <v>1573.8611685414601</v>
      </c>
      <c r="O917" s="67">
        <v>157.386116854146</v>
      </c>
      <c r="P917" s="67">
        <v>191.68999981880199</v>
      </c>
      <c r="Q917" s="68">
        <v>0.12179600313567999</v>
      </c>
    </row>
    <row r="918" spans="1:17" x14ac:dyDescent="0.35">
      <c r="A918" s="62" t="s">
        <v>136</v>
      </c>
      <c r="B918" s="63">
        <v>894875</v>
      </c>
      <c r="C918" s="63" t="s">
        <v>145</v>
      </c>
      <c r="D918" s="64">
        <v>42579</v>
      </c>
      <c r="E918" s="63" t="s">
        <v>138</v>
      </c>
      <c r="F918" s="65">
        <v>68961</v>
      </c>
      <c r="G918" s="66">
        <v>1.5283010880149E-2</v>
      </c>
      <c r="H918" s="65">
        <v>437</v>
      </c>
      <c r="I918" s="67">
        <v>0.55091414200219402</v>
      </c>
      <c r="J918" s="67">
        <v>8.4196268262474998</v>
      </c>
      <c r="K918" s="65">
        <v>82</v>
      </c>
      <c r="L918" s="65">
        <v>18</v>
      </c>
      <c r="M918" s="66">
        <v>4.7091412742382301E-2</v>
      </c>
      <c r="N918" s="67">
        <v>1679.9637053169299</v>
      </c>
      <c r="O918" s="67">
        <v>98.821394430407395</v>
      </c>
      <c r="P918" s="67">
        <v>198.880005262792</v>
      </c>
      <c r="Q918" s="68">
        <v>0.118383513068381</v>
      </c>
    </row>
    <row r="919" spans="1:17" x14ac:dyDescent="0.35">
      <c r="A919" s="62" t="s">
        <v>136</v>
      </c>
      <c r="B919" s="63">
        <v>894875</v>
      </c>
      <c r="C919" s="63" t="s">
        <v>145</v>
      </c>
      <c r="D919" s="64">
        <v>42580</v>
      </c>
      <c r="E919" s="63" t="s">
        <v>138</v>
      </c>
      <c r="F919" s="65">
        <v>44559</v>
      </c>
      <c r="G919" s="66">
        <v>1.55456710248461E-2</v>
      </c>
      <c r="H919" s="65">
        <v>550</v>
      </c>
      <c r="I919" s="67">
        <v>0.52208092832410302</v>
      </c>
      <c r="J919" s="67">
        <v>8.1160983600727707</v>
      </c>
      <c r="K919" s="65">
        <v>18</v>
      </c>
      <c r="L919" s="65">
        <v>23</v>
      </c>
      <c r="M919" s="66">
        <v>5.4913294797687903E-2</v>
      </c>
      <c r="N919" s="67">
        <v>2072.5645974879999</v>
      </c>
      <c r="O919" s="67">
        <v>109.08234723621</v>
      </c>
      <c r="P919" s="67">
        <v>180.64000120014001</v>
      </c>
      <c r="Q919" s="68">
        <v>8.7157718229424599E-2</v>
      </c>
    </row>
    <row r="920" spans="1:17" x14ac:dyDescent="0.35">
      <c r="A920" s="62" t="s">
        <v>136</v>
      </c>
      <c r="B920" s="63">
        <v>894875</v>
      </c>
      <c r="C920" s="63" t="s">
        <v>145</v>
      </c>
      <c r="D920" s="64">
        <v>42581</v>
      </c>
      <c r="E920" s="63" t="s">
        <v>138</v>
      </c>
      <c r="F920" s="65">
        <v>15567</v>
      </c>
      <c r="G920" s="66">
        <v>1.52558804020613E-2</v>
      </c>
      <c r="H920" s="65">
        <v>264</v>
      </c>
      <c r="I920" s="67">
        <v>0.46347826868794001</v>
      </c>
      <c r="J920" s="67">
        <v>7.0707690360576603</v>
      </c>
      <c r="K920" s="65">
        <v>87</v>
      </c>
      <c r="L920" s="65">
        <v>18</v>
      </c>
      <c r="M920" s="66">
        <v>6.02006688963211E-2</v>
      </c>
      <c r="N920" s="67">
        <v>2141.6285143303298</v>
      </c>
      <c r="O920" s="67">
        <v>118.979361907241</v>
      </c>
      <c r="P920" s="67">
        <v>138.580002337694</v>
      </c>
      <c r="Q920" s="68">
        <v>6.47077686024492E-2</v>
      </c>
    </row>
    <row r="921" spans="1:17" x14ac:dyDescent="0.35">
      <c r="A921" s="62" t="s">
        <v>136</v>
      </c>
      <c r="B921" s="63">
        <v>894875</v>
      </c>
      <c r="C921" s="63" t="s">
        <v>145</v>
      </c>
      <c r="D921" s="64">
        <v>42582</v>
      </c>
      <c r="E921" s="63" t="s">
        <v>138</v>
      </c>
      <c r="F921" s="65">
        <v>56329</v>
      </c>
      <c r="G921" s="66">
        <v>1.38622207652321E-2</v>
      </c>
      <c r="H921" s="65">
        <v>187</v>
      </c>
      <c r="I921" s="67">
        <v>0.47347974223462302</v>
      </c>
      <c r="J921" s="67">
        <v>6.5634807147215097</v>
      </c>
      <c r="K921" s="65">
        <v>20</v>
      </c>
      <c r="L921" s="65">
        <v>12</v>
      </c>
      <c r="M921" s="66">
        <v>3.7162162162162199E-2</v>
      </c>
      <c r="N921" s="67">
        <v>1102.9475321981199</v>
      </c>
      <c r="O921" s="67">
        <v>100.26795747255601</v>
      </c>
      <c r="P921" s="67">
        <v>140.15000370144799</v>
      </c>
      <c r="Q921" s="68">
        <v>0.127068604453139</v>
      </c>
    </row>
    <row r="922" spans="1:17" x14ac:dyDescent="0.35">
      <c r="A922" s="62" t="s">
        <v>136</v>
      </c>
      <c r="B922" s="63">
        <v>894875</v>
      </c>
      <c r="C922" s="63" t="s">
        <v>145</v>
      </c>
      <c r="D922" s="64">
        <v>42583</v>
      </c>
      <c r="E922" s="63" t="s">
        <v>138</v>
      </c>
      <c r="F922" s="65">
        <v>47833</v>
      </c>
      <c r="G922" s="66">
        <v>1.5470442079602501E-2</v>
      </c>
      <c r="H922" s="65">
        <v>231</v>
      </c>
      <c r="I922" s="67">
        <v>0.46863637943610997</v>
      </c>
      <c r="J922" s="67">
        <v>7.2500119644609402</v>
      </c>
      <c r="K922" s="65">
        <v>83</v>
      </c>
      <c r="L922" s="65">
        <v>13</v>
      </c>
      <c r="M922" s="66">
        <v>3.3333333333333298E-2</v>
      </c>
      <c r="N922" s="67">
        <v>1435.7216717107799</v>
      </c>
      <c r="O922" s="67">
        <v>130.52015197370699</v>
      </c>
      <c r="P922" s="67">
        <v>154.65000521391599</v>
      </c>
      <c r="Q922" s="68">
        <v>0.107715867400426</v>
      </c>
    </row>
    <row r="923" spans="1:17" x14ac:dyDescent="0.35">
      <c r="A923" s="62" t="s">
        <v>136</v>
      </c>
      <c r="B923" s="63">
        <v>894875</v>
      </c>
      <c r="C923" s="63" t="s">
        <v>145</v>
      </c>
      <c r="D923" s="64">
        <v>42584</v>
      </c>
      <c r="E923" s="63" t="s">
        <v>138</v>
      </c>
      <c r="F923" s="65">
        <v>23407</v>
      </c>
      <c r="G923" s="66">
        <v>1.5482564028360599E-2</v>
      </c>
      <c r="H923" s="65">
        <v>596</v>
      </c>
      <c r="I923" s="67">
        <v>0.45501558814557502</v>
      </c>
      <c r="J923" s="67">
        <v>7.0448079773660197</v>
      </c>
      <c r="K923" s="65">
        <v>73</v>
      </c>
      <c r="L923" s="65">
        <v>12</v>
      </c>
      <c r="M923" s="66">
        <v>3.4267912772585701E-2</v>
      </c>
      <c r="N923" s="67">
        <v>1863.8989513836</v>
      </c>
      <c r="O923" s="67">
        <v>169.445359216691</v>
      </c>
      <c r="P923" s="67">
        <v>146.06000379472999</v>
      </c>
      <c r="Q923" s="68">
        <v>7.8362619221555602E-2</v>
      </c>
    </row>
    <row r="924" spans="1:17" x14ac:dyDescent="0.35">
      <c r="A924" s="62" t="s">
        <v>136</v>
      </c>
      <c r="B924" s="63">
        <v>894875</v>
      </c>
      <c r="C924" s="63" t="s">
        <v>145</v>
      </c>
      <c r="D924" s="64">
        <v>42585</v>
      </c>
      <c r="E924" s="63" t="s">
        <v>138</v>
      </c>
      <c r="F924" s="65">
        <v>57508</v>
      </c>
      <c r="G924" s="66">
        <v>1.55679883240088E-2</v>
      </c>
      <c r="H924" s="65">
        <v>160</v>
      </c>
      <c r="I924" s="67">
        <v>0.45484376065433002</v>
      </c>
      <c r="J924" s="67">
        <v>7.0810023551148502</v>
      </c>
      <c r="K924" s="65">
        <v>52</v>
      </c>
      <c r="L924" s="65">
        <v>18</v>
      </c>
      <c r="M924" s="66">
        <v>5.6250000000000001E-2</v>
      </c>
      <c r="N924" s="67">
        <v>1761.94171079954</v>
      </c>
      <c r="O924" s="67">
        <v>97.885650599974298</v>
      </c>
      <c r="P924" s="67">
        <v>145.55000340938599</v>
      </c>
      <c r="Q924" s="68">
        <v>8.2607729028299007E-2</v>
      </c>
    </row>
    <row r="925" spans="1:17" x14ac:dyDescent="0.35">
      <c r="A925" s="62" t="s">
        <v>136</v>
      </c>
      <c r="B925" s="63">
        <v>894875</v>
      </c>
      <c r="C925" s="63" t="s">
        <v>145</v>
      </c>
      <c r="D925" s="64">
        <v>42586</v>
      </c>
      <c r="E925" s="63" t="s">
        <v>138</v>
      </c>
      <c r="F925" s="65">
        <v>56513</v>
      </c>
      <c r="G925" s="66">
        <v>1.71433895462592E-2</v>
      </c>
      <c r="H925" s="65">
        <v>336</v>
      </c>
      <c r="I925" s="67">
        <v>0.46508154038177901</v>
      </c>
      <c r="J925" s="67">
        <v>7.9730740175391102</v>
      </c>
      <c r="K925" s="65">
        <v>91</v>
      </c>
      <c r="L925" s="65">
        <v>19</v>
      </c>
      <c r="M925" s="66">
        <v>4.6195652173912999E-2</v>
      </c>
      <c r="N925" s="67">
        <v>1801.3881695519301</v>
      </c>
      <c r="O925" s="67">
        <v>105.964009973643</v>
      </c>
      <c r="P925" s="67">
        <v>171.15000686049501</v>
      </c>
      <c r="Q925" s="68">
        <v>9.5010064878501999E-2</v>
      </c>
    </row>
    <row r="926" spans="1:17" x14ac:dyDescent="0.35">
      <c r="A926" s="62" t="s">
        <v>136</v>
      </c>
      <c r="B926" s="63">
        <v>894875</v>
      </c>
      <c r="C926" s="63" t="s">
        <v>145</v>
      </c>
      <c r="D926" s="64">
        <v>42587</v>
      </c>
      <c r="E926" s="63" t="s">
        <v>138</v>
      </c>
      <c r="F926" s="65">
        <v>57651</v>
      </c>
      <c r="G926" s="66">
        <v>1.55710062866897E-2</v>
      </c>
      <c r="H926" s="65">
        <v>508</v>
      </c>
      <c r="I926" s="67">
        <v>0.45834226452093102</v>
      </c>
      <c r="J926" s="67">
        <v>7.13685028231101</v>
      </c>
      <c r="K926" s="65">
        <v>64</v>
      </c>
      <c r="L926" s="65">
        <v>25</v>
      </c>
      <c r="M926" s="66">
        <v>6.4171122994652399E-2</v>
      </c>
      <c r="N926" s="67">
        <v>2526.0389860508099</v>
      </c>
      <c r="O926" s="67">
        <v>105.251624418784</v>
      </c>
      <c r="P926" s="67">
        <v>171.42000693082801</v>
      </c>
      <c r="Q926" s="68">
        <v>6.7861188159579797E-2</v>
      </c>
    </row>
    <row r="927" spans="1:17" x14ac:dyDescent="0.35">
      <c r="A927" s="62" t="s">
        <v>136</v>
      </c>
      <c r="B927" s="63">
        <v>894875</v>
      </c>
      <c r="C927" s="63" t="s">
        <v>145</v>
      </c>
      <c r="D927" s="64">
        <v>42588</v>
      </c>
      <c r="E927" s="63" t="s">
        <v>138</v>
      </c>
      <c r="F927" s="65">
        <v>40886</v>
      </c>
      <c r="G927" s="66">
        <v>1.64438559774484E-2</v>
      </c>
      <c r="H927" s="65">
        <v>397</v>
      </c>
      <c r="I927" s="67">
        <v>0.465142876432314</v>
      </c>
      <c r="J927" s="67">
        <v>7.6487424689890497</v>
      </c>
      <c r="K927" s="65">
        <v>85</v>
      </c>
      <c r="L927" s="65">
        <v>14</v>
      </c>
      <c r="M927" s="66">
        <v>3.11688311688312E-2</v>
      </c>
      <c r="N927" s="67">
        <v>2264.6145591202999</v>
      </c>
      <c r="O927" s="67">
        <v>188.71787992669201</v>
      </c>
      <c r="P927" s="67">
        <v>179.080007426441</v>
      </c>
      <c r="Q927" s="68">
        <v>7.9077477756746894E-2</v>
      </c>
    </row>
    <row r="928" spans="1:17" x14ac:dyDescent="0.35">
      <c r="A928" s="62" t="s">
        <v>136</v>
      </c>
      <c r="B928" s="63">
        <v>894875</v>
      </c>
      <c r="C928" s="63" t="s">
        <v>145</v>
      </c>
      <c r="D928" s="64">
        <v>42589</v>
      </c>
      <c r="E928" s="63" t="s">
        <v>138</v>
      </c>
      <c r="F928" s="65">
        <v>32197</v>
      </c>
      <c r="G928" s="66">
        <v>1.6617234794620701E-2</v>
      </c>
      <c r="H928" s="65">
        <v>354</v>
      </c>
      <c r="I928" s="67">
        <v>0.44916872124581603</v>
      </c>
      <c r="J928" s="67">
        <v>7.4639421033412701</v>
      </c>
      <c r="K928" s="65">
        <v>42</v>
      </c>
      <c r="L928" s="65">
        <v>24</v>
      </c>
      <c r="M928" s="66">
        <v>5.1344743276283598E-2</v>
      </c>
      <c r="N928" s="67">
        <v>2191.1536572123</v>
      </c>
      <c r="O928" s="67">
        <v>104.340650343443</v>
      </c>
      <c r="P928" s="67">
        <v>183.71000698953901</v>
      </c>
      <c r="Q928" s="68">
        <v>8.38416814744357E-2</v>
      </c>
    </row>
    <row r="929" spans="1:17" x14ac:dyDescent="0.35">
      <c r="A929" s="62" t="s">
        <v>136</v>
      </c>
      <c r="B929" s="63">
        <v>894875</v>
      </c>
      <c r="C929" s="63" t="s">
        <v>145</v>
      </c>
      <c r="D929" s="64">
        <v>42590</v>
      </c>
      <c r="E929" s="63" t="s">
        <v>138</v>
      </c>
      <c r="F929" s="65">
        <v>14583</v>
      </c>
      <c r="G929" s="66">
        <v>1.5786475709984499E-2</v>
      </c>
      <c r="H929" s="65">
        <v>319</v>
      </c>
      <c r="I929" s="67">
        <v>0.462396927677172</v>
      </c>
      <c r="J929" s="67">
        <v>7.2996178671471501</v>
      </c>
      <c r="K929" s="65">
        <v>36</v>
      </c>
      <c r="L929" s="65">
        <v>18</v>
      </c>
      <c r="M929" s="66">
        <v>3.60824742268041E-2</v>
      </c>
      <c r="N929" s="67">
        <v>1165.6319969665401</v>
      </c>
      <c r="O929" s="67">
        <v>83.259428354752501</v>
      </c>
      <c r="P929" s="67">
        <v>179.41000793874301</v>
      </c>
      <c r="Q929" s="68">
        <v>0.15391650916038899</v>
      </c>
    </row>
    <row r="930" spans="1:17" x14ac:dyDescent="0.35">
      <c r="A930" s="62" t="s">
        <v>136</v>
      </c>
      <c r="B930" s="63">
        <v>894875</v>
      </c>
      <c r="C930" s="63" t="s">
        <v>145</v>
      </c>
      <c r="D930" s="64">
        <v>42591</v>
      </c>
      <c r="E930" s="63" t="s">
        <v>138</v>
      </c>
      <c r="F930" s="65">
        <v>30452</v>
      </c>
      <c r="G930" s="66">
        <v>1.7688679245283001E-2</v>
      </c>
      <c r="H930" s="65">
        <v>405</v>
      </c>
      <c r="I930" s="67">
        <v>0.455270849432175</v>
      </c>
      <c r="J930" s="67">
        <v>8.0531400253332901</v>
      </c>
      <c r="K930" s="65">
        <v>53</v>
      </c>
      <c r="L930" s="65">
        <v>21</v>
      </c>
      <c r="M930" s="66">
        <v>3.9583333333333297E-2</v>
      </c>
      <c r="N930" s="67">
        <v>2010.82078809059</v>
      </c>
      <c r="O930" s="67">
        <v>105.83267305739901</v>
      </c>
      <c r="P930" s="67">
        <v>218.530007727444</v>
      </c>
      <c r="Q930" s="68">
        <v>0.108677018370669</v>
      </c>
    </row>
    <row r="931" spans="1:17" x14ac:dyDescent="0.35">
      <c r="A931" s="62" t="s">
        <v>136</v>
      </c>
      <c r="B931" s="63">
        <v>894875</v>
      </c>
      <c r="C931" s="63" t="s">
        <v>145</v>
      </c>
      <c r="D931" s="64">
        <v>42592</v>
      </c>
      <c r="E931" s="63" t="s">
        <v>138</v>
      </c>
      <c r="F931" s="65">
        <v>42148</v>
      </c>
      <c r="G931" s="66">
        <v>1.5748031496062999E-2</v>
      </c>
      <c r="H931" s="65">
        <v>419</v>
      </c>
      <c r="I931" s="67">
        <v>0.46211455450577898</v>
      </c>
      <c r="J931" s="67">
        <v>7.2773945591461198</v>
      </c>
      <c r="K931" s="65">
        <v>24</v>
      </c>
      <c r="L931" s="65">
        <v>11</v>
      </c>
      <c r="M931" s="66">
        <v>1.9823788546255501E-2</v>
      </c>
      <c r="N931" s="67">
        <v>733.35918933692801</v>
      </c>
      <c r="O931" s="67">
        <v>81.484354370769694</v>
      </c>
      <c r="P931" s="67">
        <v>209.80000774562399</v>
      </c>
      <c r="Q931" s="68">
        <v>0.28608083296169801</v>
      </c>
    </row>
    <row r="932" spans="1:17" x14ac:dyDescent="0.35">
      <c r="A932" s="62" t="s">
        <v>136</v>
      </c>
      <c r="B932" s="63">
        <v>894875</v>
      </c>
      <c r="C932" s="63" t="s">
        <v>145</v>
      </c>
      <c r="D932" s="64">
        <v>42593</v>
      </c>
      <c r="E932" s="63" t="s">
        <v>138</v>
      </c>
      <c r="F932" s="65">
        <v>42030</v>
      </c>
      <c r="G932" s="66">
        <v>1.48846960167715E-2</v>
      </c>
      <c r="H932" s="65">
        <v>191</v>
      </c>
      <c r="I932" s="67">
        <v>0.45187794964568201</v>
      </c>
      <c r="J932" s="67">
        <v>6.72606591715794</v>
      </c>
      <c r="K932" s="65">
        <v>37</v>
      </c>
      <c r="L932" s="65">
        <v>19</v>
      </c>
      <c r="M932" s="66">
        <v>3.9906103286384997E-2</v>
      </c>
      <c r="N932" s="67">
        <v>2690.3345700399</v>
      </c>
      <c r="O932" s="67">
        <v>158.25497470822901</v>
      </c>
      <c r="P932" s="67">
        <v>192.50000654906</v>
      </c>
      <c r="Q932" s="68">
        <v>7.1552441355353602E-2</v>
      </c>
    </row>
    <row r="933" spans="1:17" x14ac:dyDescent="0.35">
      <c r="A933" s="62" t="s">
        <v>136</v>
      </c>
      <c r="B933" s="63">
        <v>894875</v>
      </c>
      <c r="C933" s="63" t="s">
        <v>145</v>
      </c>
      <c r="D933" s="64">
        <v>42594</v>
      </c>
      <c r="E933" s="63" t="s">
        <v>138</v>
      </c>
      <c r="F933" s="65">
        <v>52862</v>
      </c>
      <c r="G933" s="66">
        <v>1.47331415787792E-2</v>
      </c>
      <c r="H933" s="65">
        <v>522</v>
      </c>
      <c r="I933" s="67">
        <v>0.45815619747124098</v>
      </c>
      <c r="J933" s="67">
        <v>6.7500801225389004</v>
      </c>
      <c r="K933" s="65">
        <v>9</v>
      </c>
      <c r="L933" s="65">
        <v>21</v>
      </c>
      <c r="M933" s="66">
        <v>4.1214750542299401E-2</v>
      </c>
      <c r="N933" s="67">
        <v>2941.8434416719501</v>
      </c>
      <c r="O933" s="67">
        <v>154.833865351155</v>
      </c>
      <c r="P933" s="67">
        <v>211.21000703424201</v>
      </c>
      <c r="Q933" s="68">
        <v>7.1795121399867795E-2</v>
      </c>
    </row>
    <row r="934" spans="1:17" x14ac:dyDescent="0.35">
      <c r="A934" s="62" t="s">
        <v>136</v>
      </c>
      <c r="B934" s="63">
        <v>894875</v>
      </c>
      <c r="C934" s="63" t="s">
        <v>145</v>
      </c>
      <c r="D934" s="64">
        <v>42595</v>
      </c>
      <c r="E934" s="63" t="s">
        <v>138</v>
      </c>
      <c r="F934" s="65">
        <v>26139</v>
      </c>
      <c r="G934" s="66">
        <v>1.6004826289080499E-2</v>
      </c>
      <c r="H934" s="65">
        <v>180</v>
      </c>
      <c r="I934" s="67">
        <v>0.446984497280977</v>
      </c>
      <c r="J934" s="67">
        <v>7.1539092328940299</v>
      </c>
      <c r="K934" s="65">
        <v>64</v>
      </c>
      <c r="L934" s="65">
        <v>15</v>
      </c>
      <c r="M934" s="66">
        <v>3.3259423503325898E-2</v>
      </c>
      <c r="N934" s="67">
        <v>1442.6625336135401</v>
      </c>
      <c r="O934" s="67">
        <v>96.177502240902797</v>
      </c>
      <c r="P934" s="67">
        <v>201.590008273721</v>
      </c>
      <c r="Q934" s="68">
        <v>0.13973469441171599</v>
      </c>
    </row>
    <row r="935" spans="1:17" x14ac:dyDescent="0.35">
      <c r="A935" s="62" t="s">
        <v>136</v>
      </c>
      <c r="B935" s="63">
        <v>894875</v>
      </c>
      <c r="C935" s="63" t="s">
        <v>145</v>
      </c>
      <c r="D935" s="64">
        <v>42596</v>
      </c>
      <c r="E935" s="63" t="s">
        <v>138</v>
      </c>
      <c r="F935" s="65">
        <v>25626</v>
      </c>
      <c r="G935" s="66">
        <v>1.54572313900699E-2</v>
      </c>
      <c r="H935" s="65">
        <v>457</v>
      </c>
      <c r="I935" s="67">
        <v>0.45678323057495401</v>
      </c>
      <c r="J935" s="67">
        <v>7.0606040901007097</v>
      </c>
      <c r="K935" s="65">
        <v>73</v>
      </c>
      <c r="L935" s="65">
        <v>12</v>
      </c>
      <c r="M935" s="66">
        <v>2.7972027972028E-2</v>
      </c>
      <c r="N935" s="67">
        <v>1770.6069775255901</v>
      </c>
      <c r="O935" s="67">
        <v>147.55058146046599</v>
      </c>
      <c r="P935" s="67">
        <v>195.96000591665501</v>
      </c>
      <c r="Q935" s="68">
        <v>0.11067391488003001</v>
      </c>
    </row>
    <row r="936" spans="1:17" x14ac:dyDescent="0.35">
      <c r="A936" s="62" t="s">
        <v>136</v>
      </c>
      <c r="B936" s="63">
        <v>894875</v>
      </c>
      <c r="C936" s="63" t="s">
        <v>145</v>
      </c>
      <c r="D936" s="64">
        <v>42597</v>
      </c>
      <c r="E936" s="63" t="s">
        <v>138</v>
      </c>
      <c r="F936" s="65">
        <v>67543</v>
      </c>
      <c r="G936" s="66">
        <v>1.48931868724308E-2</v>
      </c>
      <c r="H936" s="65">
        <v>352</v>
      </c>
      <c r="I936" s="67">
        <v>0.45246607508527198</v>
      </c>
      <c r="J936" s="67">
        <v>6.7386618096802398</v>
      </c>
      <c r="K936" s="65">
        <v>21</v>
      </c>
      <c r="L936" s="65">
        <v>19</v>
      </c>
      <c r="M936" s="66">
        <v>3.3936651583710398E-2</v>
      </c>
      <c r="N936" s="67">
        <v>1673.2626319815499</v>
      </c>
      <c r="O936" s="67">
        <v>111.55084213210399</v>
      </c>
      <c r="P936" s="67">
        <v>199.99000518769</v>
      </c>
      <c r="Q936" s="68">
        <v>0.119520989332591</v>
      </c>
    </row>
    <row r="937" spans="1:17" x14ac:dyDescent="0.35">
      <c r="A937" s="62" t="s">
        <v>136</v>
      </c>
      <c r="B937" s="63">
        <v>894875</v>
      </c>
      <c r="C937" s="63" t="s">
        <v>145</v>
      </c>
      <c r="D937" s="64">
        <v>42598</v>
      </c>
      <c r="E937" s="63" t="s">
        <v>138</v>
      </c>
      <c r="F937" s="65">
        <v>56952</v>
      </c>
      <c r="G937" s="66">
        <v>1.6161033151762198E-2</v>
      </c>
      <c r="H937" s="65">
        <v>443</v>
      </c>
      <c r="I937" s="67">
        <v>0.444419661719751</v>
      </c>
      <c r="J937" s="67">
        <v>7.18228088634784</v>
      </c>
      <c r="K937" s="65">
        <v>21</v>
      </c>
      <c r="L937" s="65">
        <v>19</v>
      </c>
      <c r="M937" s="66">
        <v>3.7946428571428603E-2</v>
      </c>
      <c r="N937" s="67">
        <v>1427.4444109736901</v>
      </c>
      <c r="O937" s="67">
        <v>83.967318292570198</v>
      </c>
      <c r="P937" s="67">
        <v>199.100008450449</v>
      </c>
      <c r="Q937" s="68">
        <v>0.13948004343975701</v>
      </c>
    </row>
    <row r="938" spans="1:17" x14ac:dyDescent="0.35">
      <c r="A938" s="62" t="s">
        <v>136</v>
      </c>
      <c r="B938" s="63">
        <v>894875</v>
      </c>
      <c r="C938" s="63" t="s">
        <v>145</v>
      </c>
      <c r="D938" s="64">
        <v>42599</v>
      </c>
      <c r="E938" s="63" t="s">
        <v>138</v>
      </c>
      <c r="F938" s="65">
        <v>65136</v>
      </c>
      <c r="G938" s="66">
        <v>1.5827731749257501E-2</v>
      </c>
      <c r="H938" s="65">
        <v>279</v>
      </c>
      <c r="I938" s="67">
        <v>0.410345695508115</v>
      </c>
      <c r="J938" s="67">
        <v>6.4948415929649297</v>
      </c>
      <c r="K938" s="65">
        <v>97</v>
      </c>
      <c r="L938" s="65">
        <v>10</v>
      </c>
      <c r="M938" s="66">
        <v>2.4691358024691398E-2</v>
      </c>
      <c r="N938" s="67">
        <v>1135.1094934154701</v>
      </c>
      <c r="O938" s="67">
        <v>113.510949341547</v>
      </c>
      <c r="P938" s="67">
        <v>166.19000668078701</v>
      </c>
      <c r="Q938" s="68">
        <v>0.146408789323691</v>
      </c>
    </row>
    <row r="939" spans="1:17" x14ac:dyDescent="0.35">
      <c r="A939" s="62" t="s">
        <v>136</v>
      </c>
      <c r="B939" s="63">
        <v>894875</v>
      </c>
      <c r="C939" s="63" t="s">
        <v>145</v>
      </c>
      <c r="D939" s="64">
        <v>42600</v>
      </c>
      <c r="E939" s="63" t="s">
        <v>138</v>
      </c>
      <c r="F939" s="65">
        <v>8705</v>
      </c>
      <c r="G939" s="66">
        <v>1.4977692797960501E-2</v>
      </c>
      <c r="H939" s="65">
        <v>491</v>
      </c>
      <c r="I939" s="67">
        <v>0.39295212393428403</v>
      </c>
      <c r="J939" s="67">
        <v>5.8855161965937999</v>
      </c>
      <c r="K939" s="65">
        <v>45</v>
      </c>
      <c r="L939" s="65">
        <v>18</v>
      </c>
      <c r="M939" s="66">
        <v>4.2553191489361701E-2</v>
      </c>
      <c r="N939" s="67">
        <v>1631.2295220025301</v>
      </c>
      <c r="O939" s="67">
        <v>101.951845125158</v>
      </c>
      <c r="P939" s="67">
        <v>147.74999859929099</v>
      </c>
      <c r="Q939" s="68">
        <v>9.0575848834510003E-2</v>
      </c>
    </row>
    <row r="940" spans="1:17" x14ac:dyDescent="0.35">
      <c r="A940" s="62" t="s">
        <v>136</v>
      </c>
      <c r="B940" s="63">
        <v>894875</v>
      </c>
      <c r="C940" s="63" t="s">
        <v>145</v>
      </c>
      <c r="D940" s="64">
        <v>42601</v>
      </c>
      <c r="E940" s="63" t="s">
        <v>138</v>
      </c>
      <c r="F940" s="65">
        <v>19324</v>
      </c>
      <c r="G940" s="66">
        <v>1.6700884396715101E-2</v>
      </c>
      <c r="H940" s="65">
        <v>227</v>
      </c>
      <c r="I940" s="67">
        <v>0.417990552847126</v>
      </c>
      <c r="J940" s="67">
        <v>6.9808119020188899</v>
      </c>
      <c r="K940" s="65">
        <v>77</v>
      </c>
      <c r="L940" s="65">
        <v>25</v>
      </c>
      <c r="M940" s="66">
        <v>5.4373522458628802E-2</v>
      </c>
      <c r="N940" s="67">
        <v>2568.4169720608402</v>
      </c>
      <c r="O940" s="67">
        <v>111.67030313308</v>
      </c>
      <c r="P940" s="67">
        <v>176.81000385433401</v>
      </c>
      <c r="Q940" s="68">
        <v>6.8840069886497296E-2</v>
      </c>
    </row>
    <row r="941" spans="1:17" x14ac:dyDescent="0.35">
      <c r="A941" s="62" t="s">
        <v>136</v>
      </c>
      <c r="B941" s="63">
        <v>894875</v>
      </c>
      <c r="C941" s="63" t="s">
        <v>145</v>
      </c>
      <c r="D941" s="64">
        <v>42602</v>
      </c>
      <c r="E941" s="63" t="s">
        <v>138</v>
      </c>
      <c r="F941" s="65">
        <v>15989</v>
      </c>
      <c r="G941" s="66">
        <v>1.8108574717053499E-2</v>
      </c>
      <c r="H941" s="65">
        <v>275</v>
      </c>
      <c r="I941" s="67">
        <v>0.42398307178863998</v>
      </c>
      <c r="J941" s="67">
        <v>7.6777291342504599</v>
      </c>
      <c r="K941" s="65">
        <v>45</v>
      </c>
      <c r="L941" s="65">
        <v>18</v>
      </c>
      <c r="M941" s="66">
        <v>3.17796610169492E-2</v>
      </c>
      <c r="N941" s="67">
        <v>1727.9703564881499</v>
      </c>
      <c r="O941" s="67">
        <v>115.198023765877</v>
      </c>
      <c r="P941" s="67">
        <v>200.12000988423799</v>
      </c>
      <c r="Q941" s="68">
        <v>0.115812177641145</v>
      </c>
    </row>
    <row r="942" spans="1:17" x14ac:dyDescent="0.35">
      <c r="A942" s="62" t="s">
        <v>136</v>
      </c>
      <c r="B942" s="63">
        <v>894875</v>
      </c>
      <c r="C942" s="63" t="s">
        <v>145</v>
      </c>
      <c r="D942" s="64">
        <v>42603</v>
      </c>
      <c r="E942" s="63" t="s">
        <v>138</v>
      </c>
      <c r="F942" s="65">
        <v>62771</v>
      </c>
      <c r="G942" s="66">
        <v>1.3266942922069201E-2</v>
      </c>
      <c r="H942" s="65">
        <v>379</v>
      </c>
      <c r="I942" s="67">
        <v>0.433022686756528</v>
      </c>
      <c r="J942" s="67">
        <v>5.7448872691599302</v>
      </c>
      <c r="K942" s="65">
        <v>33</v>
      </c>
      <c r="L942" s="65">
        <v>15</v>
      </c>
      <c r="M942" s="66">
        <v>3.7783375314861499E-2</v>
      </c>
      <c r="N942" s="67">
        <v>2051.6899327282899</v>
      </c>
      <c r="O942" s="67">
        <v>136.77932884855301</v>
      </c>
      <c r="P942" s="67">
        <v>171.91000664234201</v>
      </c>
      <c r="Q942" s="68">
        <v>8.3789467355693301E-2</v>
      </c>
    </row>
    <row r="943" spans="1:17" x14ac:dyDescent="0.35">
      <c r="A943" s="62" t="s">
        <v>136</v>
      </c>
      <c r="B943" s="63">
        <v>894875</v>
      </c>
      <c r="C943" s="63" t="s">
        <v>145</v>
      </c>
      <c r="D943" s="64">
        <v>42604</v>
      </c>
      <c r="E943" s="63" t="s">
        <v>138</v>
      </c>
      <c r="F943" s="65">
        <v>29998</v>
      </c>
      <c r="G943" s="66">
        <v>1.50093808630394E-2</v>
      </c>
      <c r="H943" s="65">
        <v>254</v>
      </c>
      <c r="I943" s="67">
        <v>0.45651787027184498</v>
      </c>
      <c r="J943" s="67">
        <v>6.8520505856937302</v>
      </c>
      <c r="K943" s="65">
        <v>71</v>
      </c>
      <c r="L943" s="65">
        <v>11</v>
      </c>
      <c r="M943" s="66">
        <v>2.23214285714286E-2</v>
      </c>
      <c r="N943" s="67">
        <v>863.95104479473196</v>
      </c>
      <c r="O943" s="67">
        <v>86.395104479473204</v>
      </c>
      <c r="P943" s="67">
        <v>204.52000588178601</v>
      </c>
      <c r="Q943" s="68">
        <v>0.236726382951917</v>
      </c>
    </row>
    <row r="944" spans="1:17" x14ac:dyDescent="0.35">
      <c r="A944" s="62" t="s">
        <v>136</v>
      </c>
      <c r="B944" s="63">
        <v>894875</v>
      </c>
      <c r="C944" s="63" t="s">
        <v>145</v>
      </c>
      <c r="D944" s="64">
        <v>42605</v>
      </c>
      <c r="E944" s="63" t="s">
        <v>138</v>
      </c>
      <c r="F944" s="65">
        <v>67634</v>
      </c>
      <c r="G944" s="66">
        <v>1.3249794576828299E-2</v>
      </c>
      <c r="H944" s="65">
        <v>441</v>
      </c>
      <c r="I944" s="67">
        <v>0.45888889469302602</v>
      </c>
      <c r="J944" s="67">
        <v>6.0801835882703701</v>
      </c>
      <c r="K944" s="65">
        <v>18</v>
      </c>
      <c r="L944" s="65">
        <v>15</v>
      </c>
      <c r="M944" s="66">
        <v>3.8759689922480599E-2</v>
      </c>
      <c r="N944" s="67">
        <v>2226.2890344242501</v>
      </c>
      <c r="O944" s="67">
        <v>148.41926896161701</v>
      </c>
      <c r="P944" s="67">
        <v>177.59000224620101</v>
      </c>
      <c r="Q944" s="68">
        <v>7.9769517569459894E-2</v>
      </c>
    </row>
    <row r="945" spans="1:17" x14ac:dyDescent="0.35">
      <c r="A945" s="62" t="s">
        <v>136</v>
      </c>
      <c r="B945" s="63">
        <v>894875</v>
      </c>
      <c r="C945" s="63" t="s">
        <v>145</v>
      </c>
      <c r="D945" s="64">
        <v>42606</v>
      </c>
      <c r="E945" s="63" t="s">
        <v>138</v>
      </c>
      <c r="F945" s="65">
        <v>60476</v>
      </c>
      <c r="G945" s="66">
        <v>1.50759141777746E-2</v>
      </c>
      <c r="H945" s="65">
        <v>324</v>
      </c>
      <c r="I945" s="67">
        <v>0.43586289317261201</v>
      </c>
      <c r="J945" s="67">
        <v>6.5710315707468503</v>
      </c>
      <c r="K945" s="65">
        <v>43</v>
      </c>
      <c r="L945" s="65">
        <v>32</v>
      </c>
      <c r="M945" s="66">
        <v>7.3286052009456301E-2</v>
      </c>
      <c r="N945" s="67">
        <v>5181.6692835792501</v>
      </c>
      <c r="O945" s="67">
        <v>167.15062205094401</v>
      </c>
      <c r="P945" s="67">
        <v>184.370003812015</v>
      </c>
      <c r="Q945" s="68">
        <v>3.5581198591018701E-2</v>
      </c>
    </row>
    <row r="946" spans="1:17" x14ac:dyDescent="0.35">
      <c r="A946" s="62" t="s">
        <v>136</v>
      </c>
      <c r="B946" s="63">
        <v>894875</v>
      </c>
      <c r="C946" s="63" t="s">
        <v>145</v>
      </c>
      <c r="D946" s="64">
        <v>42607</v>
      </c>
      <c r="E946" s="63" t="s">
        <v>138</v>
      </c>
      <c r="F946" s="65">
        <v>59992</v>
      </c>
      <c r="G946" s="66">
        <v>1.26677160632636E-2</v>
      </c>
      <c r="H946" s="65">
        <v>221</v>
      </c>
      <c r="I946" s="67">
        <v>0.45745562704709902</v>
      </c>
      <c r="J946" s="67">
        <v>5.7949179949748597</v>
      </c>
      <c r="K946" s="65">
        <v>86</v>
      </c>
      <c r="L946" s="65">
        <v>15</v>
      </c>
      <c r="M946" s="66">
        <v>4.4378698224852103E-2</v>
      </c>
      <c r="N946" s="67">
        <v>1450.7673953931701</v>
      </c>
      <c r="O946" s="67">
        <v>96.717826359544901</v>
      </c>
      <c r="P946" s="67">
        <v>154.62000194191901</v>
      </c>
      <c r="Q946" s="68">
        <v>0.10657807890700199</v>
      </c>
    </row>
    <row r="947" spans="1:17" x14ac:dyDescent="0.35">
      <c r="A947" s="62" t="s">
        <v>136</v>
      </c>
      <c r="B947" s="63">
        <v>894875</v>
      </c>
      <c r="C947" s="63" t="s">
        <v>145</v>
      </c>
      <c r="D947" s="64">
        <v>42608</v>
      </c>
      <c r="E947" s="63" t="s">
        <v>138</v>
      </c>
      <c r="F947" s="65">
        <v>57990</v>
      </c>
      <c r="G947" s="66">
        <v>1.54680327323531E-2</v>
      </c>
      <c r="H947" s="65">
        <v>204</v>
      </c>
      <c r="I947" s="67">
        <v>0.46015054879970402</v>
      </c>
      <c r="J947" s="67">
        <v>7.11762375064409</v>
      </c>
      <c r="K947" s="65">
        <v>65</v>
      </c>
      <c r="L947" s="65">
        <v>26</v>
      </c>
      <c r="M947" s="66">
        <v>4.7311827956989197E-2</v>
      </c>
      <c r="N947" s="67">
        <v>2107.6047508896299</v>
      </c>
      <c r="O947" s="67">
        <v>95.800215949528393</v>
      </c>
      <c r="P947" s="67">
        <v>213.97000519186301</v>
      </c>
      <c r="Q947" s="68">
        <v>0.10152283301769199</v>
      </c>
    </row>
    <row r="948" spans="1:17" x14ac:dyDescent="0.35">
      <c r="A948" s="62" t="s">
        <v>136</v>
      </c>
      <c r="B948" s="63">
        <v>894875</v>
      </c>
      <c r="C948" s="63" t="s">
        <v>145</v>
      </c>
      <c r="D948" s="64">
        <v>42609</v>
      </c>
      <c r="E948" s="63" t="s">
        <v>138</v>
      </c>
      <c r="F948" s="65">
        <v>67997</v>
      </c>
      <c r="G948" s="66">
        <v>1.46565424686562E-2</v>
      </c>
      <c r="H948" s="65">
        <v>278</v>
      </c>
      <c r="I948" s="67">
        <v>0.47004820866038999</v>
      </c>
      <c r="J948" s="67">
        <v>6.8892815325467698</v>
      </c>
      <c r="K948" s="65">
        <v>72</v>
      </c>
      <c r="L948" s="65">
        <v>13</v>
      </c>
      <c r="M948" s="66">
        <v>3.13253012048193E-2</v>
      </c>
      <c r="N948" s="67">
        <v>1069.9689706906599</v>
      </c>
      <c r="O948" s="67">
        <v>82.3053054377433</v>
      </c>
      <c r="P948" s="67">
        <v>195.07000659406199</v>
      </c>
      <c r="Q948" s="68">
        <v>0.18231370435737401</v>
      </c>
    </row>
    <row r="949" spans="1:17" x14ac:dyDescent="0.35">
      <c r="A949" s="62" t="s">
        <v>136</v>
      </c>
      <c r="B949" s="63">
        <v>894875</v>
      </c>
      <c r="C949" s="63" t="s">
        <v>145</v>
      </c>
      <c r="D949" s="64">
        <v>42610</v>
      </c>
      <c r="E949" s="63" t="s">
        <v>138</v>
      </c>
      <c r="F949" s="65">
        <v>18043</v>
      </c>
      <c r="G949" s="66">
        <v>1.41659111514053E-2</v>
      </c>
      <c r="H949" s="65">
        <v>232</v>
      </c>
      <c r="I949" s="67">
        <v>0.47258668235937801</v>
      </c>
      <c r="J949" s="67">
        <v>6.6946209536403201</v>
      </c>
      <c r="K949" s="65">
        <v>50</v>
      </c>
      <c r="L949" s="65">
        <v>21</v>
      </c>
      <c r="M949" s="66">
        <v>5.6000000000000001E-2</v>
      </c>
      <c r="N949" s="67">
        <v>2378.6860051741401</v>
      </c>
      <c r="O949" s="67">
        <v>113.270762151149</v>
      </c>
      <c r="P949" s="67">
        <v>177.220005884767</v>
      </c>
      <c r="Q949" s="68">
        <v>7.4503320530442493E-2</v>
      </c>
    </row>
    <row r="950" spans="1:17" x14ac:dyDescent="0.35">
      <c r="A950" s="62" t="s">
        <v>136</v>
      </c>
      <c r="B950" s="63">
        <v>894875</v>
      </c>
      <c r="C950" s="63" t="s">
        <v>145</v>
      </c>
      <c r="D950" s="64">
        <v>42611</v>
      </c>
      <c r="E950" s="63" t="s">
        <v>138</v>
      </c>
      <c r="F950" s="65">
        <v>7974</v>
      </c>
      <c r="G950" s="66">
        <v>1.6443948087957801E-2</v>
      </c>
      <c r="H950" s="65">
        <v>434</v>
      </c>
      <c r="I950" s="67">
        <v>0.46070259956062798</v>
      </c>
      <c r="J950" s="67">
        <v>7.5757696311621796</v>
      </c>
      <c r="K950" s="65">
        <v>95</v>
      </c>
      <c r="L950" s="65">
        <v>15</v>
      </c>
      <c r="M950" s="66">
        <v>3.2786885245901599E-2</v>
      </c>
      <c r="N950" s="67">
        <v>1316.3412281266001</v>
      </c>
      <c r="O950" s="67">
        <v>94.024373437614003</v>
      </c>
      <c r="P950" s="67">
        <v>196.720010012388</v>
      </c>
      <c r="Q950" s="68">
        <v>0.14944454052567999</v>
      </c>
    </row>
    <row r="951" spans="1:17" x14ac:dyDescent="0.35">
      <c r="A951" s="62" t="s">
        <v>136</v>
      </c>
      <c r="B951" s="63">
        <v>894875</v>
      </c>
      <c r="C951" s="63" t="s">
        <v>145</v>
      </c>
      <c r="D951" s="64">
        <v>42612</v>
      </c>
      <c r="E951" s="63" t="s">
        <v>138</v>
      </c>
      <c r="F951" s="65">
        <v>20572</v>
      </c>
      <c r="G951" s="66">
        <v>1.55112983531214E-2</v>
      </c>
      <c r="H951" s="65">
        <v>410</v>
      </c>
      <c r="I951" s="67">
        <v>0.47237039712476098</v>
      </c>
      <c r="J951" s="67">
        <v>7.3270781629846198</v>
      </c>
      <c r="K951" s="65">
        <v>98</v>
      </c>
      <c r="L951" s="65">
        <v>13</v>
      </c>
      <c r="M951" s="66">
        <v>2.96296296296296E-2</v>
      </c>
      <c r="N951" s="67">
        <v>1598.5515122167801</v>
      </c>
      <c r="O951" s="67">
        <v>133.21262601806501</v>
      </c>
      <c r="P951" s="67">
        <v>191.310010835528</v>
      </c>
      <c r="Q951" s="68">
        <v>0.119677101033942</v>
      </c>
    </row>
    <row r="952" spans="1:17" x14ac:dyDescent="0.35">
      <c r="A952" s="62" t="s">
        <v>136</v>
      </c>
      <c r="B952" s="63">
        <v>894875</v>
      </c>
      <c r="C952" s="63" t="s">
        <v>145</v>
      </c>
      <c r="D952" s="64">
        <v>42613</v>
      </c>
      <c r="E952" s="63" t="s">
        <v>138</v>
      </c>
      <c r="F952" s="65">
        <v>14554</v>
      </c>
      <c r="G952" s="66">
        <v>1.38943894389439E-2</v>
      </c>
      <c r="H952" s="65">
        <v>337</v>
      </c>
      <c r="I952" s="67">
        <v>0.46850357949733701</v>
      </c>
      <c r="J952" s="67">
        <v>6.5095711870752204</v>
      </c>
      <c r="K952" s="65">
        <v>85</v>
      </c>
      <c r="L952" s="65">
        <v>17</v>
      </c>
      <c r="M952" s="66">
        <v>4.0380047505938203E-2</v>
      </c>
      <c r="N952" s="67">
        <v>1944.68873680656</v>
      </c>
      <c r="O952" s="67">
        <v>114.39345510626799</v>
      </c>
      <c r="P952" s="67">
        <v>197.24000696837899</v>
      </c>
      <c r="Q952" s="68">
        <v>0.101424975233967</v>
      </c>
    </row>
    <row r="953" spans="1:17" x14ac:dyDescent="0.35">
      <c r="A953" s="62" t="s">
        <v>136</v>
      </c>
      <c r="B953" s="63">
        <v>894875</v>
      </c>
      <c r="C953" s="63" t="s">
        <v>145</v>
      </c>
      <c r="D953" s="64">
        <v>42614</v>
      </c>
      <c r="E953" s="63" t="s">
        <v>138</v>
      </c>
      <c r="F953" s="65">
        <v>38204</v>
      </c>
      <c r="G953" s="66">
        <v>1.45069520328573E-2</v>
      </c>
      <c r="H953" s="65">
        <v>180</v>
      </c>
      <c r="I953" s="67">
        <v>0.47116884312459401</v>
      </c>
      <c r="J953" s="67">
        <v>6.8352238065853497</v>
      </c>
      <c r="K953" s="65">
        <v>48</v>
      </c>
      <c r="L953" s="65">
        <v>18</v>
      </c>
      <c r="M953" s="66">
        <v>3.8961038961039002E-2</v>
      </c>
      <c r="N953" s="67">
        <v>1976.27652184506</v>
      </c>
      <c r="O953" s="67">
        <v>131.75176812300401</v>
      </c>
      <c r="P953" s="67">
        <v>181.40000460296901</v>
      </c>
      <c r="Q953" s="68">
        <v>9.1788776822391505E-2</v>
      </c>
    </row>
    <row r="954" spans="1:17" x14ac:dyDescent="0.35">
      <c r="A954" s="62" t="s">
        <v>136</v>
      </c>
      <c r="B954" s="63">
        <v>894875</v>
      </c>
      <c r="C954" s="63" t="s">
        <v>145</v>
      </c>
      <c r="D954" s="64">
        <v>42615</v>
      </c>
      <c r="E954" s="63" t="s">
        <v>138</v>
      </c>
      <c r="F954" s="65">
        <v>48447</v>
      </c>
      <c r="G954" s="66">
        <v>1.5484624936089399E-2</v>
      </c>
      <c r="H954" s="65">
        <v>320</v>
      </c>
      <c r="I954" s="67">
        <v>0.488726428639636</v>
      </c>
      <c r="J954" s="67">
        <v>7.56774544383922</v>
      </c>
      <c r="K954" s="65">
        <v>35</v>
      </c>
      <c r="L954" s="65">
        <v>25</v>
      </c>
      <c r="M954" s="66">
        <v>4.9528301886792497E-2</v>
      </c>
      <c r="N954" s="67">
        <v>3692.4332779271099</v>
      </c>
      <c r="O954" s="67">
        <v>175.83015609176701</v>
      </c>
      <c r="P954" s="67">
        <v>207.220005743206</v>
      </c>
      <c r="Q954" s="68">
        <v>5.6120176086035201E-2</v>
      </c>
    </row>
    <row r="955" spans="1:17" x14ac:dyDescent="0.35">
      <c r="A955" s="62" t="s">
        <v>136</v>
      </c>
      <c r="B955" s="63">
        <v>894875</v>
      </c>
      <c r="C955" s="63" t="s">
        <v>145</v>
      </c>
      <c r="D955" s="64">
        <v>42616</v>
      </c>
      <c r="E955" s="63" t="s">
        <v>138</v>
      </c>
      <c r="F955" s="65">
        <v>45632</v>
      </c>
      <c r="G955" s="66">
        <v>1.5080776641470299E-2</v>
      </c>
      <c r="H955" s="65">
        <v>459</v>
      </c>
      <c r="I955" s="67">
        <v>0.463636372595366</v>
      </c>
      <c r="J955" s="67">
        <v>6.9919965779722197</v>
      </c>
      <c r="K955" s="65">
        <v>40</v>
      </c>
      <c r="L955" s="65">
        <v>22</v>
      </c>
      <c r="M955" s="66">
        <v>4.9140049140049102E-2</v>
      </c>
      <c r="N955" s="67">
        <v>3217.3031286247501</v>
      </c>
      <c r="O955" s="67">
        <v>160.86515643123801</v>
      </c>
      <c r="P955" s="67">
        <v>188.700003646314</v>
      </c>
      <c r="Q955" s="68">
        <v>5.8651608537419499E-2</v>
      </c>
    </row>
    <row r="956" spans="1:17" x14ac:dyDescent="0.35">
      <c r="A956" s="62" t="s">
        <v>136</v>
      </c>
      <c r="B956" s="63">
        <v>894875</v>
      </c>
      <c r="C956" s="63" t="s">
        <v>145</v>
      </c>
      <c r="D956" s="64">
        <v>42617</v>
      </c>
      <c r="E956" s="63" t="s">
        <v>138</v>
      </c>
      <c r="F956" s="65">
        <v>51677</v>
      </c>
      <c r="G956" s="66">
        <v>1.6097214550619399E-2</v>
      </c>
      <c r="H956" s="65">
        <v>573</v>
      </c>
      <c r="I956" s="67">
        <v>0.483823537680448</v>
      </c>
      <c r="J956" s="67">
        <v>7.7882112906818799</v>
      </c>
      <c r="K956" s="65">
        <v>40</v>
      </c>
      <c r="L956" s="65">
        <v>22</v>
      </c>
      <c r="M956" s="66">
        <v>4.9019607843137303E-2</v>
      </c>
      <c r="N956" s="67">
        <v>2304.5242290057799</v>
      </c>
      <c r="O956" s="67">
        <v>115.226211450289</v>
      </c>
      <c r="P956" s="67">
        <v>197.40000337362301</v>
      </c>
      <c r="Q956" s="68">
        <v>8.5657595129206093E-2</v>
      </c>
    </row>
    <row r="957" spans="1:17" x14ac:dyDescent="0.35">
      <c r="A957" s="62" t="s">
        <v>136</v>
      </c>
      <c r="B957" s="63">
        <v>894875</v>
      </c>
      <c r="C957" s="63" t="s">
        <v>145</v>
      </c>
      <c r="D957" s="64">
        <v>42618</v>
      </c>
      <c r="E957" s="63" t="s">
        <v>138</v>
      </c>
      <c r="F957" s="65">
        <v>16609</v>
      </c>
      <c r="G957" s="66">
        <v>1.34144923041135E-2</v>
      </c>
      <c r="H957" s="65">
        <v>265</v>
      </c>
      <c r="I957" s="67">
        <v>0.48511561380989998</v>
      </c>
      <c r="J957" s="67">
        <v>6.5075796680582103</v>
      </c>
      <c r="K957" s="65">
        <v>31</v>
      </c>
      <c r="L957" s="65">
        <v>23</v>
      </c>
      <c r="M957" s="66">
        <v>6.3583815028901702E-2</v>
      </c>
      <c r="N957" s="67">
        <v>3167.0782673095</v>
      </c>
      <c r="O957" s="67">
        <v>143.95810305952301</v>
      </c>
      <c r="P957" s="67">
        <v>167.85000237822501</v>
      </c>
      <c r="Q957" s="68">
        <v>5.2998375225130498E-2</v>
      </c>
    </row>
    <row r="958" spans="1:17" x14ac:dyDescent="0.35">
      <c r="A958" s="62" t="s">
        <v>136</v>
      </c>
      <c r="B958" s="63">
        <v>894875</v>
      </c>
      <c r="C958" s="63" t="s">
        <v>145</v>
      </c>
      <c r="D958" s="64">
        <v>42619</v>
      </c>
      <c r="E958" s="63" t="s">
        <v>138</v>
      </c>
      <c r="F958" s="65">
        <v>7608</v>
      </c>
      <c r="G958" s="66">
        <v>1.18550222493971E-2</v>
      </c>
      <c r="H958" s="65">
        <v>186</v>
      </c>
      <c r="I958" s="67">
        <v>0.65661891692859697</v>
      </c>
      <c r="J958" s="67">
        <v>7.78423186956352</v>
      </c>
      <c r="K958" s="65">
        <v>45</v>
      </c>
      <c r="L958" s="65">
        <v>13</v>
      </c>
      <c r="M958" s="66">
        <v>3.4383954154727801E-2</v>
      </c>
      <c r="N958" s="67">
        <v>1563.71812276271</v>
      </c>
      <c r="O958" s="67">
        <v>130.30984356355901</v>
      </c>
      <c r="P958" s="67">
        <v>229.16000200808</v>
      </c>
      <c r="Q958" s="68">
        <v>0.14654815255527701</v>
      </c>
    </row>
    <row r="959" spans="1:17" x14ac:dyDescent="0.35">
      <c r="A959" s="62" t="s">
        <v>136</v>
      </c>
      <c r="B959" s="63">
        <v>894875</v>
      </c>
      <c r="C959" s="63" t="s">
        <v>145</v>
      </c>
      <c r="D959" s="64">
        <v>42620</v>
      </c>
      <c r="E959" s="63" t="s">
        <v>138</v>
      </c>
      <c r="F959" s="65">
        <v>30240</v>
      </c>
      <c r="G959" s="66">
        <v>1.3885275754422499E-2</v>
      </c>
      <c r="H959" s="65">
        <v>536</v>
      </c>
      <c r="I959" s="67">
        <v>0.68220141425344905</v>
      </c>
      <c r="J959" s="67">
        <v>9.4725547569661401</v>
      </c>
      <c r="K959" s="65">
        <v>98</v>
      </c>
      <c r="L959" s="65">
        <v>11</v>
      </c>
      <c r="M959" s="66">
        <v>2.5761124121779898E-2</v>
      </c>
      <c r="N959" s="67">
        <v>1493.91482479621</v>
      </c>
      <c r="O959" s="67">
        <v>135.810438617838</v>
      </c>
      <c r="P959" s="67">
        <v>291.30000388622301</v>
      </c>
      <c r="Q959" s="68">
        <v>0.19499103901452999</v>
      </c>
    </row>
    <row r="960" spans="1:17" x14ac:dyDescent="0.35">
      <c r="A960" s="62" t="s">
        <v>136</v>
      </c>
      <c r="B960" s="63">
        <v>894875</v>
      </c>
      <c r="C960" s="63" t="s">
        <v>145</v>
      </c>
      <c r="D960" s="64">
        <v>42621</v>
      </c>
      <c r="E960" s="63" t="s">
        <v>138</v>
      </c>
      <c r="F960" s="65">
        <v>48429</v>
      </c>
      <c r="G960" s="66">
        <v>1.40053123598606E-2</v>
      </c>
      <c r="H960" s="65">
        <v>198</v>
      </c>
      <c r="I960" s="67">
        <v>0.66546799334252404</v>
      </c>
      <c r="J960" s="67">
        <v>9.3200871122517093</v>
      </c>
      <c r="K960" s="65">
        <v>19</v>
      </c>
      <c r="L960" s="65">
        <v>19</v>
      </c>
      <c r="M960" s="66">
        <v>4.6798029556650203E-2</v>
      </c>
      <c r="N960" s="67">
        <v>3070.4206477944999</v>
      </c>
      <c r="O960" s="67">
        <v>161.60108672602601</v>
      </c>
      <c r="P960" s="67">
        <v>270.18000529706501</v>
      </c>
      <c r="Q960" s="68">
        <v>8.7994459485913404E-2</v>
      </c>
    </row>
    <row r="961" spans="1:17" x14ac:dyDescent="0.35">
      <c r="A961" s="62" t="s">
        <v>136</v>
      </c>
      <c r="B961" s="63">
        <v>894875</v>
      </c>
      <c r="C961" s="63" t="s">
        <v>145</v>
      </c>
      <c r="D961" s="64">
        <v>42622</v>
      </c>
      <c r="E961" s="63" t="s">
        <v>138</v>
      </c>
      <c r="F961" s="65">
        <v>56072</v>
      </c>
      <c r="G961" s="66">
        <v>1.4740975683431501E-2</v>
      </c>
      <c r="H961" s="65">
        <v>580</v>
      </c>
      <c r="I961" s="67">
        <v>0.67774591375081294</v>
      </c>
      <c r="J961" s="67">
        <v>9.9906360341457994</v>
      </c>
      <c r="K961" s="65">
        <v>48</v>
      </c>
      <c r="L961" s="65">
        <v>32</v>
      </c>
      <c r="M961" s="66">
        <v>5.7377049180327898E-2</v>
      </c>
      <c r="N961" s="67">
        <v>3344.2102410888101</v>
      </c>
      <c r="O961" s="67">
        <v>119.436080038886</v>
      </c>
      <c r="P961" s="67">
        <v>330.74000591039697</v>
      </c>
      <c r="Q961" s="68">
        <v>9.8899286249034907E-2</v>
      </c>
    </row>
    <row r="962" spans="1:17" x14ac:dyDescent="0.35">
      <c r="A962" s="62" t="s">
        <v>136</v>
      </c>
      <c r="B962" s="63">
        <v>894875</v>
      </c>
      <c r="C962" s="63" t="s">
        <v>145</v>
      </c>
      <c r="D962" s="64">
        <v>42623</v>
      </c>
      <c r="E962" s="63" t="s">
        <v>138</v>
      </c>
      <c r="F962" s="65">
        <v>7953</v>
      </c>
      <c r="G962" s="66">
        <v>1.33662284126042E-2</v>
      </c>
      <c r="H962" s="65">
        <v>300</v>
      </c>
      <c r="I962" s="67">
        <v>0.64448599592199396</v>
      </c>
      <c r="J962" s="67">
        <v>8.6143470302180898</v>
      </c>
      <c r="K962" s="65">
        <v>86</v>
      </c>
      <c r="L962" s="65">
        <v>20</v>
      </c>
      <c r="M962" s="66">
        <v>4.4392523364486E-2</v>
      </c>
      <c r="N962" s="67">
        <v>1937.07558052998</v>
      </c>
      <c r="O962" s="67">
        <v>101.951346343683</v>
      </c>
      <c r="P962" s="67">
        <v>275.840006254613</v>
      </c>
      <c r="Q962" s="68">
        <v>0.14240022899836699</v>
      </c>
    </row>
    <row r="963" spans="1:17" x14ac:dyDescent="0.35">
      <c r="A963" s="62" t="s">
        <v>136</v>
      </c>
      <c r="B963" s="63">
        <v>894875</v>
      </c>
      <c r="C963" s="63" t="s">
        <v>145</v>
      </c>
      <c r="D963" s="64">
        <v>42624</v>
      </c>
      <c r="E963" s="63" t="s">
        <v>138</v>
      </c>
      <c r="F963" s="65">
        <v>43784</v>
      </c>
      <c r="G963" s="66">
        <v>1.50084172682398E-2</v>
      </c>
      <c r="H963" s="65">
        <v>398</v>
      </c>
      <c r="I963" s="67">
        <v>0.81469582345605795</v>
      </c>
      <c r="J963" s="67">
        <v>12.227294865120699</v>
      </c>
      <c r="K963" s="65">
        <v>87</v>
      </c>
      <c r="L963" s="65">
        <v>24</v>
      </c>
      <c r="M963" s="66">
        <v>4.5627376425855501E-2</v>
      </c>
      <c r="N963" s="67">
        <v>3163.9474804349502</v>
      </c>
      <c r="O963" s="67">
        <v>131.83114501812301</v>
      </c>
      <c r="P963" s="67">
        <v>428.53000313788698</v>
      </c>
      <c r="Q963" s="68">
        <v>0.135441566520243</v>
      </c>
    </row>
    <row r="964" spans="1:17" x14ac:dyDescent="0.35">
      <c r="A964" s="62" t="s">
        <v>136</v>
      </c>
      <c r="B964" s="63">
        <v>894875</v>
      </c>
      <c r="C964" s="63" t="s">
        <v>145</v>
      </c>
      <c r="D964" s="64">
        <v>42625</v>
      </c>
      <c r="E964" s="63" t="s">
        <v>138</v>
      </c>
      <c r="F964" s="65">
        <v>24376</v>
      </c>
      <c r="G964" s="66">
        <v>1.43674338166822E-2</v>
      </c>
      <c r="H964" s="65">
        <v>566</v>
      </c>
      <c r="I964" s="67">
        <v>0.82881483018950197</v>
      </c>
      <c r="J964" s="67">
        <v>11.9079422190324</v>
      </c>
      <c r="K964" s="65">
        <v>17</v>
      </c>
      <c r="L964" s="65">
        <v>23</v>
      </c>
      <c r="M964" s="66">
        <v>4.0740740740740702E-2</v>
      </c>
      <c r="N964" s="67">
        <v>3259.2380192978098</v>
      </c>
      <c r="O964" s="67">
        <v>148.14718269535501</v>
      </c>
      <c r="P964" s="67">
        <v>447.56000830233103</v>
      </c>
      <c r="Q964" s="68">
        <v>0.13732044289258599</v>
      </c>
    </row>
    <row r="965" spans="1:17" x14ac:dyDescent="0.35">
      <c r="A965" s="62" t="s">
        <v>136</v>
      </c>
      <c r="B965" s="63">
        <v>894875</v>
      </c>
      <c r="C965" s="63" t="s">
        <v>145</v>
      </c>
      <c r="D965" s="64">
        <v>42626</v>
      </c>
      <c r="E965" s="63" t="s">
        <v>138</v>
      </c>
      <c r="F965" s="65">
        <v>12606</v>
      </c>
      <c r="G965" s="66">
        <v>1.4372163388804799E-2</v>
      </c>
      <c r="H965" s="65">
        <v>390</v>
      </c>
      <c r="I965" s="67">
        <v>0.82582709403302401</v>
      </c>
      <c r="J965" s="67">
        <v>11.8689219263445</v>
      </c>
      <c r="K965" s="65">
        <v>86</v>
      </c>
      <c r="L965" s="65">
        <v>19</v>
      </c>
      <c r="M965" s="66">
        <v>3.5714285714285698E-2</v>
      </c>
      <c r="N965" s="67">
        <v>2511.0239099074802</v>
      </c>
      <c r="O965" s="67">
        <v>132.15915315302499</v>
      </c>
      <c r="P965" s="67">
        <v>439.34001402556902</v>
      </c>
      <c r="Q965" s="68">
        <v>0.17496448850690399</v>
      </c>
    </row>
    <row r="966" spans="1:17" x14ac:dyDescent="0.35">
      <c r="A966" s="62" t="s">
        <v>136</v>
      </c>
      <c r="B966" s="63">
        <v>894875</v>
      </c>
      <c r="C966" s="63" t="s">
        <v>145</v>
      </c>
      <c r="D966" s="64">
        <v>42627</v>
      </c>
      <c r="E966" s="63" t="s">
        <v>138</v>
      </c>
      <c r="F966" s="65">
        <v>30596</v>
      </c>
      <c r="G966" s="66">
        <v>1.44366793219355E-2</v>
      </c>
      <c r="H966" s="65">
        <v>182</v>
      </c>
      <c r="I966" s="67">
        <v>0.812110572816239</v>
      </c>
      <c r="J966" s="67">
        <v>11.7241799137014</v>
      </c>
      <c r="K966" s="65">
        <v>97</v>
      </c>
      <c r="L966" s="65">
        <v>26</v>
      </c>
      <c r="M966" s="66">
        <v>3.8525963149078697E-2</v>
      </c>
      <c r="N966" s="67">
        <v>3392.97997992509</v>
      </c>
      <c r="O966" s="67">
        <v>147.520868692395</v>
      </c>
      <c r="P966" s="67">
        <v>484.83001197129499</v>
      </c>
      <c r="Q966" s="68">
        <v>0.14289209333383701</v>
      </c>
    </row>
    <row r="967" spans="1:17" x14ac:dyDescent="0.35">
      <c r="A967" s="62" t="s">
        <v>136</v>
      </c>
      <c r="B967" s="63">
        <v>894875</v>
      </c>
      <c r="C967" s="63" t="s">
        <v>145</v>
      </c>
      <c r="D967" s="64">
        <v>42628</v>
      </c>
      <c r="E967" s="63" t="s">
        <v>138</v>
      </c>
      <c r="F967" s="65">
        <v>65619</v>
      </c>
      <c r="G967" s="66">
        <v>1.47605156207146E-2</v>
      </c>
      <c r="H967" s="65">
        <v>201</v>
      </c>
      <c r="I967" s="67">
        <v>0.79623312727120299</v>
      </c>
      <c r="J967" s="67">
        <v>11.752811512817001</v>
      </c>
      <c r="K967" s="65">
        <v>98</v>
      </c>
      <c r="L967" s="65">
        <v>35</v>
      </c>
      <c r="M967" s="66">
        <v>5.9121621621621601E-2</v>
      </c>
      <c r="N967" s="67">
        <v>4573.2427890238296</v>
      </c>
      <c r="O967" s="67">
        <v>130.66407968639501</v>
      </c>
      <c r="P967" s="67">
        <v>471.37001134455198</v>
      </c>
      <c r="Q967" s="68">
        <v>0.10307128510121499</v>
      </c>
    </row>
    <row r="968" spans="1:17" x14ac:dyDescent="0.35">
      <c r="A968" s="62" t="s">
        <v>136</v>
      </c>
      <c r="B968" s="63">
        <v>894875</v>
      </c>
      <c r="C968" s="63" t="s">
        <v>145</v>
      </c>
      <c r="D968" s="64">
        <v>42629</v>
      </c>
      <c r="E968" s="63" t="s">
        <v>138</v>
      </c>
      <c r="F968" s="65">
        <v>67048</v>
      </c>
      <c r="G968" s="66">
        <v>1.50047938638543E-2</v>
      </c>
      <c r="H968" s="65">
        <v>456</v>
      </c>
      <c r="I968" s="67">
        <v>0.83801918881484105</v>
      </c>
      <c r="J968" s="67">
        <v>12.574305182121099</v>
      </c>
      <c r="K968" s="65">
        <v>48</v>
      </c>
      <c r="L968" s="65">
        <v>54</v>
      </c>
      <c r="M968" s="66">
        <v>7.8274760383386599E-2</v>
      </c>
      <c r="N968" s="67">
        <v>7190.7575610495796</v>
      </c>
      <c r="O968" s="67">
        <v>146.75015430713401</v>
      </c>
      <c r="P968" s="67">
        <v>524.60001219809101</v>
      </c>
      <c r="Q968" s="68">
        <v>7.2954762797136793E-2</v>
      </c>
    </row>
    <row r="969" spans="1:17" x14ac:dyDescent="0.35">
      <c r="A969" s="62" t="s">
        <v>136</v>
      </c>
      <c r="B969" s="63">
        <v>894875</v>
      </c>
      <c r="C969" s="63" t="s">
        <v>145</v>
      </c>
      <c r="D969" s="64">
        <v>42630</v>
      </c>
      <c r="E969" s="63" t="s">
        <v>138</v>
      </c>
      <c r="F969" s="65">
        <v>15433</v>
      </c>
      <c r="G969" s="66">
        <v>1.4378959493184899E-2</v>
      </c>
      <c r="H969" s="65">
        <v>238</v>
      </c>
      <c r="I969" s="67">
        <v>0.99337784820627895</v>
      </c>
      <c r="J969" s="67">
        <v>14.2837398407852</v>
      </c>
      <c r="K969" s="65">
        <v>78</v>
      </c>
      <c r="L969" s="65">
        <v>32</v>
      </c>
      <c r="M969" s="66">
        <v>4.2723631508678202E-2</v>
      </c>
      <c r="N969" s="67">
        <v>4954.1974103432904</v>
      </c>
      <c r="O969" s="67">
        <v>154.81866907322799</v>
      </c>
      <c r="P969" s="67">
        <v>744.04000830650295</v>
      </c>
      <c r="Q969" s="68">
        <v>0.15018376271262601</v>
      </c>
    </row>
    <row r="970" spans="1:17" x14ac:dyDescent="0.35">
      <c r="A970" s="62" t="s">
        <v>136</v>
      </c>
      <c r="B970" s="63">
        <v>894875</v>
      </c>
      <c r="C970" s="63" t="s">
        <v>145</v>
      </c>
      <c r="D970" s="64">
        <v>42631</v>
      </c>
      <c r="E970" s="63" t="s">
        <v>138</v>
      </c>
      <c r="F970" s="65">
        <v>30608</v>
      </c>
      <c r="G970" s="66">
        <v>1.36528117359413E-2</v>
      </c>
      <c r="H970" s="65">
        <v>441</v>
      </c>
      <c r="I970" s="67">
        <v>1.01618911887394</v>
      </c>
      <c r="J970" s="67">
        <v>13.873838728097899</v>
      </c>
      <c r="K970" s="65">
        <v>60</v>
      </c>
      <c r="L970" s="65">
        <v>23</v>
      </c>
      <c r="M970" s="66">
        <v>3.2951289398280799E-2</v>
      </c>
      <c r="N970" s="67">
        <v>2639.1216156627602</v>
      </c>
      <c r="O970" s="67">
        <v>114.744418072294</v>
      </c>
      <c r="P970" s="67">
        <v>709.30000497400795</v>
      </c>
      <c r="Q970" s="68">
        <v>0.26876366771596599</v>
      </c>
    </row>
    <row r="971" spans="1:17" x14ac:dyDescent="0.35">
      <c r="A971" s="62" t="s">
        <v>136</v>
      </c>
      <c r="B971" s="63">
        <v>894875</v>
      </c>
      <c r="C971" s="63" t="s">
        <v>145</v>
      </c>
      <c r="D971" s="64">
        <v>42632</v>
      </c>
      <c r="E971" s="63" t="s">
        <v>138</v>
      </c>
      <c r="F971" s="65">
        <v>52203</v>
      </c>
      <c r="G971" s="66">
        <v>1.4783100411988E-2</v>
      </c>
      <c r="H971" s="65">
        <v>394</v>
      </c>
      <c r="I971" s="67">
        <v>1.0655464612945</v>
      </c>
      <c r="J971" s="67">
        <v>15.7520803309552</v>
      </c>
      <c r="K971" s="65">
        <v>61</v>
      </c>
      <c r="L971" s="65">
        <v>23</v>
      </c>
      <c r="M971" s="66">
        <v>2.86885245901639E-2</v>
      </c>
      <c r="N971" s="67">
        <v>1888.2617518136301</v>
      </c>
      <c r="O971" s="67">
        <v>89.917226276839301</v>
      </c>
      <c r="P971" s="67">
        <v>779.98000966757502</v>
      </c>
      <c r="Q971" s="68">
        <v>0.41306773752019599</v>
      </c>
    </row>
    <row r="972" spans="1:17" x14ac:dyDescent="0.35">
      <c r="A972" s="62" t="s">
        <v>136</v>
      </c>
      <c r="B972" s="63">
        <v>894875</v>
      </c>
      <c r="C972" s="63" t="s">
        <v>145</v>
      </c>
      <c r="D972" s="64">
        <v>42633</v>
      </c>
      <c r="E972" s="63" t="s">
        <v>138</v>
      </c>
      <c r="F972" s="65">
        <v>5705</v>
      </c>
      <c r="G972" s="66">
        <v>1.5770024063252001E-2</v>
      </c>
      <c r="H972" s="65">
        <v>288</v>
      </c>
      <c r="I972" s="67">
        <v>1.0490735782670699</v>
      </c>
      <c r="J972" s="67">
        <v>16.543915573393601</v>
      </c>
      <c r="K972" s="65">
        <v>34</v>
      </c>
      <c r="L972" s="65">
        <v>13</v>
      </c>
      <c r="M972" s="66">
        <v>1.63487738419619E-2</v>
      </c>
      <c r="N972" s="67">
        <v>1711.6147869004801</v>
      </c>
      <c r="O972" s="67">
        <v>142.63456557504</v>
      </c>
      <c r="P972" s="67">
        <v>770.02000644803002</v>
      </c>
      <c r="Q972" s="68">
        <v>0.44987926742701301</v>
      </c>
    </row>
    <row r="973" spans="1:17" x14ac:dyDescent="0.35">
      <c r="A973" s="62" t="s">
        <v>136</v>
      </c>
      <c r="B973" s="63">
        <v>894875</v>
      </c>
      <c r="C973" s="63" t="s">
        <v>145</v>
      </c>
      <c r="D973" s="64">
        <v>42634</v>
      </c>
      <c r="E973" s="63" t="s">
        <v>138</v>
      </c>
      <c r="F973" s="65">
        <v>18233</v>
      </c>
      <c r="G973" s="66">
        <v>1.4391287436795E-2</v>
      </c>
      <c r="H973" s="65">
        <v>431</v>
      </c>
      <c r="I973" s="67">
        <v>1.05240540955518</v>
      </c>
      <c r="J973" s="67">
        <v>15.145468748946501</v>
      </c>
      <c r="K973" s="65">
        <v>26</v>
      </c>
      <c r="L973" s="65">
        <v>25</v>
      </c>
      <c r="M973" s="66">
        <v>2.8378378378378401E-2</v>
      </c>
      <c r="N973" s="67">
        <v>3484.2138284517901</v>
      </c>
      <c r="O973" s="67">
        <v>165.91494421198999</v>
      </c>
      <c r="P973" s="67">
        <v>778.78000307083096</v>
      </c>
      <c r="Q973" s="68">
        <v>0.22351670747397301</v>
      </c>
    </row>
    <row r="974" spans="1:17" x14ac:dyDescent="0.35">
      <c r="A974" s="62" t="s">
        <v>136</v>
      </c>
      <c r="B974" s="63">
        <v>894875</v>
      </c>
      <c r="C974" s="63" t="s">
        <v>145</v>
      </c>
      <c r="D974" s="64">
        <v>42635</v>
      </c>
      <c r="E974" s="63" t="s">
        <v>138</v>
      </c>
      <c r="F974" s="65">
        <v>1738</v>
      </c>
      <c r="G974" s="66">
        <v>1.4798982188295199E-2</v>
      </c>
      <c r="H974" s="65">
        <v>196</v>
      </c>
      <c r="I974" s="67">
        <v>1.0634938296048499</v>
      </c>
      <c r="J974" s="67">
        <v>15.738626241684001</v>
      </c>
      <c r="K974" s="65">
        <v>34</v>
      </c>
      <c r="L974" s="65">
        <v>23</v>
      </c>
      <c r="M974" s="66">
        <v>3.0261348005502099E-2</v>
      </c>
      <c r="N974" s="67">
        <v>2692.69774184886</v>
      </c>
      <c r="O974" s="67">
        <v>122.39535190222099</v>
      </c>
      <c r="P974" s="67">
        <v>773.16001412272499</v>
      </c>
      <c r="Q974" s="68">
        <v>0.28713212110909198</v>
      </c>
    </row>
    <row r="975" spans="1:17" x14ac:dyDescent="0.35">
      <c r="A975" s="62" t="s">
        <v>136</v>
      </c>
      <c r="B975" s="63">
        <v>894875</v>
      </c>
      <c r="C975" s="63" t="s">
        <v>145</v>
      </c>
      <c r="D975" s="64">
        <v>42636</v>
      </c>
      <c r="E975" s="63" t="s">
        <v>138</v>
      </c>
      <c r="F975" s="65">
        <v>39471</v>
      </c>
      <c r="G975" s="66">
        <v>1.4543456360472599E-2</v>
      </c>
      <c r="H975" s="65">
        <v>524</v>
      </c>
      <c r="I975" s="67">
        <v>1.0582493900952501</v>
      </c>
      <c r="J975" s="67">
        <v>15.3906038233469</v>
      </c>
      <c r="K975" s="65">
        <v>32</v>
      </c>
      <c r="L975" s="65">
        <v>32</v>
      </c>
      <c r="M975" s="66">
        <v>4.0302267002518898E-2</v>
      </c>
      <c r="N975" s="67">
        <v>4509.9215057962501</v>
      </c>
      <c r="O975" s="67">
        <v>140.93504705613299</v>
      </c>
      <c r="P975" s="67">
        <v>840.25001573562599</v>
      </c>
      <c r="Q975" s="68">
        <v>0.18631145013404801</v>
      </c>
    </row>
    <row r="976" spans="1:17" x14ac:dyDescent="0.35">
      <c r="A976" s="62" t="s">
        <v>136</v>
      </c>
      <c r="B976" s="63">
        <v>894875</v>
      </c>
      <c r="C976" s="63" t="s">
        <v>145</v>
      </c>
      <c r="D976" s="64">
        <v>42637</v>
      </c>
      <c r="E976" s="63" t="s">
        <v>138</v>
      </c>
      <c r="F976" s="65">
        <v>33264</v>
      </c>
      <c r="G976" s="66">
        <v>1.36590034147509E-2</v>
      </c>
      <c r="H976" s="65">
        <v>322</v>
      </c>
      <c r="I976" s="67">
        <v>1.0540445870274999</v>
      </c>
      <c r="J976" s="67">
        <v>14.3971986135082</v>
      </c>
      <c r="K976" s="65">
        <v>97</v>
      </c>
      <c r="L976" s="65">
        <v>33</v>
      </c>
      <c r="M976" s="66">
        <v>4.7770700636942699E-2</v>
      </c>
      <c r="N976" s="67">
        <v>2589.8668360001602</v>
      </c>
      <c r="O976" s="67">
        <v>86.328894533338499</v>
      </c>
      <c r="P976" s="67">
        <v>661.94000065326702</v>
      </c>
      <c r="Q976" s="68">
        <v>0.25558843082279098</v>
      </c>
    </row>
    <row r="977" spans="1:17" x14ac:dyDescent="0.35">
      <c r="A977" s="62" t="s">
        <v>136</v>
      </c>
      <c r="B977" s="63">
        <v>894875</v>
      </c>
      <c r="C977" s="63" t="s">
        <v>145</v>
      </c>
      <c r="D977" s="64">
        <v>42638</v>
      </c>
      <c r="E977" s="63" t="s">
        <v>138</v>
      </c>
      <c r="F977" s="65">
        <v>3266</v>
      </c>
      <c r="G977" s="66">
        <v>1.3478804409592E-2</v>
      </c>
      <c r="H977" s="65">
        <v>553</v>
      </c>
      <c r="I977" s="67">
        <v>0.88762229082958299</v>
      </c>
      <c r="J977" s="67">
        <v>11.964087247685899</v>
      </c>
      <c r="K977" s="65">
        <v>61</v>
      </c>
      <c r="L977" s="65">
        <v>19</v>
      </c>
      <c r="M977" s="66">
        <v>2.8667790893760502E-2</v>
      </c>
      <c r="N977" s="67">
        <v>1446.2474708950699</v>
      </c>
      <c r="O977" s="67">
        <v>85.073380640886697</v>
      </c>
      <c r="P977" s="67">
        <v>526.36001846194301</v>
      </c>
      <c r="Q977" s="68">
        <v>0.36394879096049998</v>
      </c>
    </row>
    <row r="978" spans="1:17" x14ac:dyDescent="0.35">
      <c r="A978" s="62" t="s">
        <v>136</v>
      </c>
      <c r="B978" s="63">
        <v>894875</v>
      </c>
      <c r="C978" s="63" t="s">
        <v>145</v>
      </c>
      <c r="D978" s="64">
        <v>42639</v>
      </c>
      <c r="E978" s="63" t="s">
        <v>138</v>
      </c>
      <c r="F978" s="65">
        <v>49112</v>
      </c>
      <c r="G978" s="66">
        <v>1.49338240498266E-2</v>
      </c>
      <c r="H978" s="65">
        <v>171</v>
      </c>
      <c r="I978" s="67">
        <v>0.90236968901390902</v>
      </c>
      <c r="J978" s="67">
        <v>13.4758301636305</v>
      </c>
      <c r="K978" s="65">
        <v>45</v>
      </c>
      <c r="L978" s="65">
        <v>21</v>
      </c>
      <c r="M978" s="66">
        <v>3.3175355450236997E-2</v>
      </c>
      <c r="N978" s="67">
        <v>2046.82952439473</v>
      </c>
      <c r="O978" s="67">
        <v>97.468072590225106</v>
      </c>
      <c r="P978" s="67">
        <v>571.20001314580395</v>
      </c>
      <c r="Q978" s="68">
        <v>0.27906574843584703</v>
      </c>
    </row>
    <row r="979" spans="1:17" x14ac:dyDescent="0.35">
      <c r="A979" s="62" t="s">
        <v>136</v>
      </c>
      <c r="B979" s="63">
        <v>894875</v>
      </c>
      <c r="C979" s="63" t="s">
        <v>145</v>
      </c>
      <c r="D979" s="64">
        <v>42640</v>
      </c>
      <c r="E979" s="63" t="s">
        <v>138</v>
      </c>
      <c r="F979" s="65">
        <v>22663</v>
      </c>
      <c r="G979" s="66">
        <v>1.56873435602587E-2</v>
      </c>
      <c r="H979" s="65">
        <v>217</v>
      </c>
      <c r="I979" s="67">
        <v>0.882543463442375</v>
      </c>
      <c r="J979" s="67">
        <v>13.8447625178812</v>
      </c>
      <c r="K979" s="65">
        <v>44</v>
      </c>
      <c r="L979" s="65">
        <v>28</v>
      </c>
      <c r="M979" s="66">
        <v>4.1074249605055298E-2</v>
      </c>
      <c r="N979" s="67">
        <v>4032.9060300925798</v>
      </c>
      <c r="O979" s="67">
        <v>155.11177038817601</v>
      </c>
      <c r="P979" s="67">
        <v>558.65001235902298</v>
      </c>
      <c r="Q979" s="68">
        <v>0.13852294305657301</v>
      </c>
    </row>
    <row r="980" spans="1:17" x14ac:dyDescent="0.35">
      <c r="A980" s="62" t="s">
        <v>136</v>
      </c>
      <c r="B980" s="63">
        <v>894875</v>
      </c>
      <c r="C980" s="63" t="s">
        <v>145</v>
      </c>
      <c r="D980" s="64">
        <v>42641</v>
      </c>
      <c r="E980" s="63" t="s">
        <v>138</v>
      </c>
      <c r="F980" s="65">
        <v>6377</v>
      </c>
      <c r="G980" s="66">
        <v>1.3540608091406E-2</v>
      </c>
      <c r="H980" s="65">
        <v>325</v>
      </c>
      <c r="I980" s="67">
        <v>0.80922923023995696</v>
      </c>
      <c r="J980" s="67">
        <v>10.9574558627894</v>
      </c>
      <c r="K980" s="65">
        <v>67</v>
      </c>
      <c r="L980" s="65">
        <v>25</v>
      </c>
      <c r="M980" s="66">
        <v>4.6653144016227201E-2</v>
      </c>
      <c r="N980" s="67">
        <v>2614.73672774137</v>
      </c>
      <c r="O980" s="67">
        <v>113.684205553973</v>
      </c>
      <c r="P980" s="67">
        <v>398.95001050829899</v>
      </c>
      <c r="Q980" s="68">
        <v>0.15257750666657599</v>
      </c>
    </row>
    <row r="981" spans="1:17" x14ac:dyDescent="0.35">
      <c r="A981" s="62" t="s">
        <v>136</v>
      </c>
      <c r="B981" s="63">
        <v>894875</v>
      </c>
      <c r="C981" s="63" t="s">
        <v>145</v>
      </c>
      <c r="D981" s="64">
        <v>42642</v>
      </c>
      <c r="E981" s="63" t="s">
        <v>138</v>
      </c>
      <c r="F981" s="65">
        <v>16740</v>
      </c>
      <c r="G981" s="66">
        <v>1.5968289920724799E-2</v>
      </c>
      <c r="H981" s="65">
        <v>304</v>
      </c>
      <c r="I981" s="67">
        <v>0.81606385325814801</v>
      </c>
      <c r="J981" s="67">
        <v>13.0311442026499</v>
      </c>
      <c r="K981" s="65">
        <v>74</v>
      </c>
      <c r="L981" s="65">
        <v>15</v>
      </c>
      <c r="M981" s="66">
        <v>2.4822695035461001E-2</v>
      </c>
      <c r="N981" s="67">
        <v>2589.1612868994898</v>
      </c>
      <c r="O981" s="67">
        <v>184.940091921392</v>
      </c>
      <c r="P981" s="67">
        <v>460.26001323759601</v>
      </c>
      <c r="Q981" s="68">
        <v>0.17776413372407401</v>
      </c>
    </row>
    <row r="982" spans="1:17" x14ac:dyDescent="0.35">
      <c r="A982" s="62" t="s">
        <v>136</v>
      </c>
      <c r="B982" s="63">
        <v>894875</v>
      </c>
      <c r="C982" s="63" t="s">
        <v>145</v>
      </c>
      <c r="D982" s="64">
        <v>42643</v>
      </c>
      <c r="E982" s="63" t="s">
        <v>138</v>
      </c>
      <c r="F982" s="65">
        <v>28109</v>
      </c>
      <c r="G982" s="66">
        <v>1.47771317829457E-2</v>
      </c>
      <c r="H982" s="65">
        <v>230</v>
      </c>
      <c r="I982" s="67">
        <v>0.79699454694063498</v>
      </c>
      <c r="J982" s="67">
        <v>11.7772934504309</v>
      </c>
      <c r="K982" s="65">
        <v>61</v>
      </c>
      <c r="L982" s="65">
        <v>31</v>
      </c>
      <c r="M982" s="66">
        <v>5.1001821493624797E-2</v>
      </c>
      <c r="N982" s="67">
        <v>2566.62845401308</v>
      </c>
      <c r="O982" s="67">
        <v>91.665301929038606</v>
      </c>
      <c r="P982" s="67">
        <v>437.55000627040903</v>
      </c>
      <c r="Q982" s="68">
        <v>0.170476566480151</v>
      </c>
    </row>
    <row r="983" spans="1:17" x14ac:dyDescent="0.35">
      <c r="A983" s="62" t="s">
        <v>136</v>
      </c>
      <c r="B983" s="63">
        <v>894875</v>
      </c>
      <c r="C983" s="63" t="s">
        <v>145</v>
      </c>
      <c r="D983" s="64">
        <v>42644</v>
      </c>
      <c r="E983" s="63" t="s">
        <v>138</v>
      </c>
      <c r="F983" s="65">
        <v>23396</v>
      </c>
      <c r="G983" s="66">
        <v>1.5456315261636501E-2</v>
      </c>
      <c r="H983" s="65">
        <v>330</v>
      </c>
      <c r="I983" s="67">
        <v>0.80874047431213303</v>
      </c>
      <c r="J983" s="67">
        <v>12.5001477358137</v>
      </c>
      <c r="K983" s="65">
        <v>95</v>
      </c>
      <c r="L983" s="65">
        <v>24</v>
      </c>
      <c r="M983" s="66">
        <v>4.3893129770992398E-2</v>
      </c>
      <c r="N983" s="67">
        <v>3087.0449252244898</v>
      </c>
      <c r="O983" s="67">
        <v>134.21934457497801</v>
      </c>
      <c r="P983" s="67">
        <v>423.780008539557</v>
      </c>
      <c r="Q983" s="68">
        <v>0.137276916534909</v>
      </c>
    </row>
    <row r="984" spans="1:17" x14ac:dyDescent="0.35">
      <c r="A984" s="62" t="s">
        <v>136</v>
      </c>
      <c r="B984" s="63">
        <v>894875</v>
      </c>
      <c r="C984" s="63" t="s">
        <v>145</v>
      </c>
      <c r="D984" s="64">
        <v>42645</v>
      </c>
      <c r="E984" s="63" t="s">
        <v>138</v>
      </c>
      <c r="F984" s="65">
        <v>13184</v>
      </c>
      <c r="G984" s="66">
        <v>1.38303791431524E-2</v>
      </c>
      <c r="H984" s="65">
        <v>156</v>
      </c>
      <c r="I984" s="67">
        <v>0.84580461668043305</v>
      </c>
      <c r="J984" s="67">
        <v>11.697798529719</v>
      </c>
      <c r="K984" s="65">
        <v>14</v>
      </c>
      <c r="L984" s="65">
        <v>18</v>
      </c>
      <c r="M984" s="66">
        <v>3.4482758620689703E-2</v>
      </c>
      <c r="N984" s="67">
        <v>2021.60657273876</v>
      </c>
      <c r="O984" s="67">
        <v>112.31147626326501</v>
      </c>
      <c r="P984" s="67">
        <v>441.51000990718597</v>
      </c>
      <c r="Q984" s="68">
        <v>0.21839561458738899</v>
      </c>
    </row>
    <row r="985" spans="1:17" x14ac:dyDescent="0.35">
      <c r="A985" s="62" t="s">
        <v>136</v>
      </c>
      <c r="B985" s="63">
        <v>894875</v>
      </c>
      <c r="C985" s="63" t="s">
        <v>145</v>
      </c>
      <c r="D985" s="64">
        <v>42646</v>
      </c>
      <c r="E985" s="63" t="s">
        <v>138</v>
      </c>
      <c r="F985" s="65">
        <v>8479</v>
      </c>
      <c r="G985" s="66">
        <v>1.6026602660265999E-2</v>
      </c>
      <c r="H985" s="65">
        <v>445</v>
      </c>
      <c r="I985" s="67">
        <v>0.91497661996278301</v>
      </c>
      <c r="J985" s="67">
        <v>14.663966731576799</v>
      </c>
      <c r="K985" s="65">
        <v>25</v>
      </c>
      <c r="L985" s="65">
        <v>25</v>
      </c>
      <c r="M985" s="66">
        <v>3.7441497659906398E-2</v>
      </c>
      <c r="N985" s="67">
        <v>2537.4750688161098</v>
      </c>
      <c r="O985" s="67">
        <v>105.728127867338</v>
      </c>
      <c r="P985" s="67">
        <v>586.50001339614403</v>
      </c>
      <c r="Q985" s="68">
        <v>0.231135281131957</v>
      </c>
    </row>
    <row r="986" spans="1:17" x14ac:dyDescent="0.35">
      <c r="A986" s="62" t="s">
        <v>136</v>
      </c>
      <c r="B986" s="63">
        <v>894875</v>
      </c>
      <c r="C986" s="63" t="s">
        <v>145</v>
      </c>
      <c r="D986" s="64">
        <v>42647</v>
      </c>
      <c r="E986" s="63" t="s">
        <v>138</v>
      </c>
      <c r="F986" s="65">
        <v>11436</v>
      </c>
      <c r="G986" s="66">
        <v>1.4026147215012E-2</v>
      </c>
      <c r="H986" s="65">
        <v>539</v>
      </c>
      <c r="I986" s="67">
        <v>0.88811547990970596</v>
      </c>
      <c r="J986" s="67">
        <v>12.4568384651446</v>
      </c>
      <c r="K986" s="65">
        <v>37</v>
      </c>
      <c r="L986" s="65">
        <v>20</v>
      </c>
      <c r="M986" s="66">
        <v>3.3955857385399003E-2</v>
      </c>
      <c r="N986" s="67">
        <v>3877.29767819267</v>
      </c>
      <c r="O986" s="67">
        <v>193.86488390963299</v>
      </c>
      <c r="P986" s="67">
        <v>523.10001766681705</v>
      </c>
      <c r="Q986" s="68">
        <v>0.13491355605965499</v>
      </c>
    </row>
    <row r="987" spans="1:17" x14ac:dyDescent="0.35">
      <c r="A987" s="62" t="s">
        <v>136</v>
      </c>
      <c r="B987" s="63">
        <v>894875</v>
      </c>
      <c r="C987" s="63" t="s">
        <v>145</v>
      </c>
      <c r="D987" s="64">
        <v>42648</v>
      </c>
      <c r="E987" s="63" t="s">
        <v>138</v>
      </c>
      <c r="F987" s="65">
        <v>64027</v>
      </c>
      <c r="G987" s="66">
        <v>1.51263691972118E-2</v>
      </c>
      <c r="H987" s="65">
        <v>230</v>
      </c>
      <c r="I987" s="67">
        <v>0.86385583398764398</v>
      </c>
      <c r="J987" s="67">
        <v>13.0670022780624</v>
      </c>
      <c r="K987" s="65">
        <v>79</v>
      </c>
      <c r="L987" s="65">
        <v>36</v>
      </c>
      <c r="M987" s="66">
        <v>5.3291536050156699E-2</v>
      </c>
      <c r="N987" s="67">
        <v>4075.64510427713</v>
      </c>
      <c r="O987" s="67">
        <v>119.87191483168</v>
      </c>
      <c r="P987" s="67">
        <v>551.14002208411705</v>
      </c>
      <c r="Q987" s="68">
        <v>0.135227677578141</v>
      </c>
    </row>
    <row r="988" spans="1:17" x14ac:dyDescent="0.35">
      <c r="A988" s="62" t="s">
        <v>136</v>
      </c>
      <c r="B988" s="63">
        <v>894875</v>
      </c>
      <c r="C988" s="63" t="s">
        <v>145</v>
      </c>
      <c r="D988" s="64">
        <v>42649</v>
      </c>
      <c r="E988" s="63" t="s">
        <v>138</v>
      </c>
      <c r="F988" s="65">
        <v>19471</v>
      </c>
      <c r="G988" s="66">
        <v>1.60957389295719E-2</v>
      </c>
      <c r="H988" s="65">
        <v>527</v>
      </c>
      <c r="I988" s="67">
        <v>0.879374069282572</v>
      </c>
      <c r="J988" s="67">
        <v>14.154175440607601</v>
      </c>
      <c r="K988" s="65">
        <v>87</v>
      </c>
      <c r="L988" s="65">
        <v>35</v>
      </c>
      <c r="M988" s="66">
        <v>4.7328244274809202E-2</v>
      </c>
      <c r="N988" s="67">
        <v>4936.4211155610601</v>
      </c>
      <c r="O988" s="67">
        <v>159.23939082454999</v>
      </c>
      <c r="P988" s="67">
        <v>575.99001538008497</v>
      </c>
      <c r="Q988" s="68">
        <v>0.116681701559941</v>
      </c>
    </row>
    <row r="989" spans="1:17" x14ac:dyDescent="0.35">
      <c r="A989" s="62" t="s">
        <v>136</v>
      </c>
      <c r="B989" s="63">
        <v>894875</v>
      </c>
      <c r="C989" s="63" t="s">
        <v>145</v>
      </c>
      <c r="D989" s="64">
        <v>42650</v>
      </c>
      <c r="E989" s="63" t="s">
        <v>138</v>
      </c>
      <c r="F989" s="65">
        <v>55439</v>
      </c>
      <c r="G989" s="66">
        <v>1.6804133485020901E-2</v>
      </c>
      <c r="H989" s="65">
        <v>376</v>
      </c>
      <c r="I989" s="67">
        <v>0.90455572700130604</v>
      </c>
      <c r="J989" s="67">
        <v>15.200275181169999</v>
      </c>
      <c r="K989" s="65">
        <v>36</v>
      </c>
      <c r="L989" s="65">
        <v>47</v>
      </c>
      <c r="M989" s="66">
        <v>6.3469675599435796E-2</v>
      </c>
      <c r="N989" s="67">
        <v>5948.9661385626196</v>
      </c>
      <c r="O989" s="67">
        <v>132.19924752361399</v>
      </c>
      <c r="P989" s="67">
        <v>641.33001044392597</v>
      </c>
      <c r="Q989" s="68">
        <v>0.107805288432669</v>
      </c>
    </row>
    <row r="990" spans="1:17" x14ac:dyDescent="0.35">
      <c r="A990" s="62" t="s">
        <v>136</v>
      </c>
      <c r="B990" s="63">
        <v>894875</v>
      </c>
      <c r="C990" s="63" t="s">
        <v>145</v>
      </c>
      <c r="D990" s="64">
        <v>42651</v>
      </c>
      <c r="E990" s="63" t="s">
        <v>138</v>
      </c>
      <c r="F990" s="65">
        <v>14463</v>
      </c>
      <c r="G990" s="66">
        <v>1.4208984375000001E-2</v>
      </c>
      <c r="H990" s="65">
        <v>223</v>
      </c>
      <c r="I990" s="67">
        <v>0.89460484305863897</v>
      </c>
      <c r="J990" s="67">
        <v>12.7114262368195</v>
      </c>
      <c r="K990" s="65">
        <v>74</v>
      </c>
      <c r="L990" s="65">
        <v>19</v>
      </c>
      <c r="M990" s="66">
        <v>3.09278350515464E-2</v>
      </c>
      <c r="N990" s="67">
        <v>2605.2492083741299</v>
      </c>
      <c r="O990" s="67">
        <v>144.73606713189599</v>
      </c>
      <c r="P990" s="67">
        <v>520.660018660128</v>
      </c>
      <c r="Q990" s="68">
        <v>0.19985037016288301</v>
      </c>
    </row>
    <row r="991" spans="1:17" x14ac:dyDescent="0.35">
      <c r="A991" s="62" t="s">
        <v>136</v>
      </c>
      <c r="B991" s="63">
        <v>894875</v>
      </c>
      <c r="C991" s="63" t="s">
        <v>145</v>
      </c>
      <c r="D991" s="64">
        <v>42652</v>
      </c>
      <c r="E991" s="63" t="s">
        <v>138</v>
      </c>
      <c r="F991" s="65">
        <v>10341</v>
      </c>
      <c r="G991" s="66">
        <v>1.2089602461183501E-2</v>
      </c>
      <c r="H991" s="65">
        <v>390</v>
      </c>
      <c r="I991" s="67">
        <v>0.86274355713641004</v>
      </c>
      <c r="J991" s="67">
        <v>10.4302266317265</v>
      </c>
      <c r="K991" s="65">
        <v>88</v>
      </c>
      <c r="L991" s="65">
        <v>17</v>
      </c>
      <c r="M991" s="66">
        <v>2.78330019880716E-2</v>
      </c>
      <c r="N991" s="67">
        <v>1861.39093603334</v>
      </c>
      <c r="O991" s="67">
        <v>132.956495430953</v>
      </c>
      <c r="P991" s="67">
        <v>433.96000923961401</v>
      </c>
      <c r="Q991" s="68">
        <v>0.23313748919632701</v>
      </c>
    </row>
    <row r="992" spans="1:17" x14ac:dyDescent="0.35">
      <c r="A992" s="62" t="s">
        <v>136</v>
      </c>
      <c r="B992" s="63">
        <v>894875</v>
      </c>
      <c r="C992" s="63" t="s">
        <v>145</v>
      </c>
      <c r="D992" s="64">
        <v>42653</v>
      </c>
      <c r="E992" s="63" t="s">
        <v>138</v>
      </c>
      <c r="F992" s="65">
        <v>42308</v>
      </c>
      <c r="G992" s="66">
        <v>1.30612045604355E-2</v>
      </c>
      <c r="H992" s="65">
        <v>570</v>
      </c>
      <c r="I992" s="67">
        <v>0.90013084943606503</v>
      </c>
      <c r="J992" s="67">
        <v>11.756793155643001</v>
      </c>
      <c r="K992" s="65">
        <v>99</v>
      </c>
      <c r="L992" s="65">
        <v>20</v>
      </c>
      <c r="M992" s="66">
        <v>3.3644859813084099E-2</v>
      </c>
      <c r="N992" s="67">
        <v>2732.3258845955302</v>
      </c>
      <c r="O992" s="67">
        <v>151.79588247752901</v>
      </c>
      <c r="P992" s="67">
        <v>481.57000444829498</v>
      </c>
      <c r="Q992" s="68">
        <v>0.17624910965537399</v>
      </c>
    </row>
    <row r="993" spans="1:17" x14ac:dyDescent="0.35">
      <c r="A993" s="62" t="s">
        <v>136</v>
      </c>
      <c r="B993" s="63">
        <v>894875</v>
      </c>
      <c r="C993" s="63" t="s">
        <v>145</v>
      </c>
      <c r="D993" s="64">
        <v>42654</v>
      </c>
      <c r="E993" s="63" t="s">
        <v>138</v>
      </c>
      <c r="F993" s="65">
        <v>54976</v>
      </c>
      <c r="G993" s="66">
        <v>1.29520231356749E-2</v>
      </c>
      <c r="H993" s="65">
        <v>375</v>
      </c>
      <c r="I993" s="67">
        <v>0.94969465685937204</v>
      </c>
      <c r="J993" s="67">
        <v>12.300467167469399</v>
      </c>
      <c r="K993" s="65">
        <v>50</v>
      </c>
      <c r="L993" s="65">
        <v>27</v>
      </c>
      <c r="M993" s="66">
        <v>4.58015267175573E-2</v>
      </c>
      <c r="N993" s="67">
        <v>2104.54226130098</v>
      </c>
      <c r="O993" s="67">
        <v>87.689260887540598</v>
      </c>
      <c r="P993" s="67">
        <v>497.64000019431103</v>
      </c>
      <c r="Q993" s="68">
        <v>0.23645997010612799</v>
      </c>
    </row>
    <row r="994" spans="1:17" x14ac:dyDescent="0.35">
      <c r="A994" s="62" t="s">
        <v>136</v>
      </c>
      <c r="B994" s="63">
        <v>894875</v>
      </c>
      <c r="C994" s="63" t="s">
        <v>145</v>
      </c>
      <c r="D994" s="64">
        <v>42655</v>
      </c>
      <c r="E994" s="63" t="s">
        <v>138</v>
      </c>
      <c r="F994" s="65">
        <v>63001</v>
      </c>
      <c r="G994" s="66">
        <v>1.2970414201183399E-2</v>
      </c>
      <c r="H994" s="65">
        <v>158</v>
      </c>
      <c r="I994" s="67">
        <v>0.91014599927911799</v>
      </c>
      <c r="J994" s="67">
        <v>11.804970594200199</v>
      </c>
      <c r="K994" s="65">
        <v>16</v>
      </c>
      <c r="L994" s="65">
        <v>20</v>
      </c>
      <c r="M994" s="66">
        <v>3.2846715328467203E-2</v>
      </c>
      <c r="N994" s="67">
        <v>1661.7179085484399</v>
      </c>
      <c r="O994" s="67">
        <v>92.317661586024499</v>
      </c>
      <c r="P994" s="67">
        <v>498.76000760495702</v>
      </c>
      <c r="Q994" s="68">
        <v>0.30014721815247097</v>
      </c>
    </row>
    <row r="995" spans="1:17" x14ac:dyDescent="0.35">
      <c r="A995" s="62" t="s">
        <v>136</v>
      </c>
      <c r="B995" s="63">
        <v>894875</v>
      </c>
      <c r="C995" s="63" t="s">
        <v>145</v>
      </c>
      <c r="D995" s="64">
        <v>42656</v>
      </c>
      <c r="E995" s="63" t="s">
        <v>138</v>
      </c>
      <c r="F995" s="65">
        <v>63678</v>
      </c>
      <c r="G995" s="66">
        <v>1.2849435998038301E-2</v>
      </c>
      <c r="H995" s="65">
        <v>265</v>
      </c>
      <c r="I995" s="67">
        <v>0.96333968636529999</v>
      </c>
      <c r="J995" s="67">
        <v>12.3783716443212</v>
      </c>
      <c r="K995" s="65">
        <v>25</v>
      </c>
      <c r="L995" s="65">
        <v>17</v>
      </c>
      <c r="M995" s="66">
        <v>2.8625954198473299E-2</v>
      </c>
      <c r="N995" s="67">
        <v>1286.71791073963</v>
      </c>
      <c r="O995" s="67">
        <v>85.781194049308894</v>
      </c>
      <c r="P995" s="67">
        <v>504.78999565541699</v>
      </c>
      <c r="Q995" s="68">
        <v>0.39230820636144997</v>
      </c>
    </row>
    <row r="996" spans="1:17" x14ac:dyDescent="0.35">
      <c r="A996" s="62" t="s">
        <v>136</v>
      </c>
      <c r="B996" s="63">
        <v>894875</v>
      </c>
      <c r="C996" s="63" t="s">
        <v>145</v>
      </c>
      <c r="D996" s="64">
        <v>42657</v>
      </c>
      <c r="E996" s="63" t="s">
        <v>138</v>
      </c>
      <c r="F996" s="65">
        <v>56779</v>
      </c>
      <c r="G996" s="66">
        <v>1.31750497495368E-2</v>
      </c>
      <c r="H996" s="65">
        <v>421</v>
      </c>
      <c r="I996" s="67">
        <v>0.93623263397926704</v>
      </c>
      <c r="J996" s="67">
        <v>12.334911529816701</v>
      </c>
      <c r="K996" s="65">
        <v>97</v>
      </c>
      <c r="L996" s="65">
        <v>49</v>
      </c>
      <c r="M996" s="66">
        <v>7.4652777777777804E-2</v>
      </c>
      <c r="N996" s="67">
        <v>5723.0468755393704</v>
      </c>
      <c r="O996" s="67">
        <v>133.09411338463701</v>
      </c>
      <c r="P996" s="67">
        <v>539.26999717205797</v>
      </c>
      <c r="Q996" s="68">
        <v>9.4227779170729595E-2</v>
      </c>
    </row>
    <row r="997" spans="1:17" x14ac:dyDescent="0.35">
      <c r="A997" s="62" t="s">
        <v>136</v>
      </c>
      <c r="B997" s="63">
        <v>894875</v>
      </c>
      <c r="C997" s="63" t="s">
        <v>145</v>
      </c>
      <c r="D997" s="64">
        <v>42658</v>
      </c>
      <c r="E997" s="63" t="s">
        <v>138</v>
      </c>
      <c r="F997" s="65">
        <v>7680</v>
      </c>
      <c r="G997" s="66">
        <v>1.25631090759657E-2</v>
      </c>
      <c r="H997" s="65">
        <v>318</v>
      </c>
      <c r="I997" s="67">
        <v>0.87628036748583105</v>
      </c>
      <c r="J997" s="67">
        <v>11.008805837851799</v>
      </c>
      <c r="K997" s="65">
        <v>88</v>
      </c>
      <c r="L997" s="65">
        <v>21</v>
      </c>
      <c r="M997" s="66">
        <v>3.7383177570093497E-2</v>
      </c>
      <c r="N997" s="67">
        <v>2238.0699779339302</v>
      </c>
      <c r="O997" s="67">
        <v>111.90349889669599</v>
      </c>
      <c r="P997" s="67">
        <v>468.80999660491898</v>
      </c>
      <c r="Q997" s="68">
        <v>0.209470660536585</v>
      </c>
    </row>
    <row r="998" spans="1:17" x14ac:dyDescent="0.35">
      <c r="A998" s="62" t="s">
        <v>136</v>
      </c>
      <c r="B998" s="63">
        <v>894875</v>
      </c>
      <c r="C998" s="63" t="s">
        <v>145</v>
      </c>
      <c r="D998" s="64">
        <v>42659</v>
      </c>
      <c r="E998" s="63" t="s">
        <v>138</v>
      </c>
      <c r="F998" s="65">
        <v>992</v>
      </c>
      <c r="G998" s="66">
        <v>1.17792932424055E-2</v>
      </c>
      <c r="H998" s="65">
        <v>248</v>
      </c>
      <c r="I998" s="67">
        <v>0.87231580238593298</v>
      </c>
      <c r="J998" s="67">
        <v>10.2752636362881</v>
      </c>
      <c r="K998" s="65">
        <v>65</v>
      </c>
      <c r="L998" s="65">
        <v>28</v>
      </c>
      <c r="M998" s="66">
        <v>5.4736842105263202E-2</v>
      </c>
      <c r="N998" s="67">
        <v>4881.6404885392803</v>
      </c>
      <c r="O998" s="67">
        <v>187.75540340535699</v>
      </c>
      <c r="P998" s="67">
        <v>414.350006133318</v>
      </c>
      <c r="Q998" s="68">
        <v>8.4879254649353003E-2</v>
      </c>
    </row>
    <row r="999" spans="1:17" x14ac:dyDescent="0.35">
      <c r="A999" s="62" t="s">
        <v>136</v>
      </c>
      <c r="B999" s="63">
        <v>894875</v>
      </c>
      <c r="C999" s="63" t="s">
        <v>145</v>
      </c>
      <c r="D999" s="64">
        <v>42660</v>
      </c>
      <c r="E999" s="63" t="s">
        <v>138</v>
      </c>
      <c r="F999" s="65">
        <v>6465</v>
      </c>
      <c r="G999" s="66">
        <v>1.2770792678408201E-2</v>
      </c>
      <c r="H999" s="65">
        <v>322</v>
      </c>
      <c r="I999" s="67">
        <v>0.916711790260194</v>
      </c>
      <c r="J999" s="67">
        <v>11.707136219265401</v>
      </c>
      <c r="K999" s="65">
        <v>94</v>
      </c>
      <c r="L999" s="65">
        <v>34</v>
      </c>
      <c r="M999" s="66">
        <v>6.3829787234042507E-2</v>
      </c>
      <c r="N999" s="67">
        <v>3159.6106242358201</v>
      </c>
      <c r="O999" s="67">
        <v>95.745776491994505</v>
      </c>
      <c r="P999" s="67">
        <v>473.93999556452002</v>
      </c>
      <c r="Q999" s="68">
        <v>0.14999949421905301</v>
      </c>
    </row>
    <row r="1000" spans="1:17" x14ac:dyDescent="0.35">
      <c r="A1000" s="62" t="s">
        <v>136</v>
      </c>
      <c r="B1000" s="63">
        <v>894875</v>
      </c>
      <c r="C1000" s="63" t="s">
        <v>145</v>
      </c>
      <c r="D1000" s="64">
        <v>42661</v>
      </c>
      <c r="E1000" s="63" t="s">
        <v>138</v>
      </c>
      <c r="F1000" s="65">
        <v>38909</v>
      </c>
      <c r="G1000" s="66">
        <v>1.2965154503615999E-2</v>
      </c>
      <c r="H1000" s="65">
        <v>341</v>
      </c>
      <c r="I1000" s="67">
        <v>0.90496957045176896</v>
      </c>
      <c r="J1000" s="67">
        <v>11.7330703019782</v>
      </c>
      <c r="K1000" s="65">
        <v>89</v>
      </c>
      <c r="L1000" s="65">
        <v>21</v>
      </c>
      <c r="M1000" s="66">
        <v>3.8539553752535503E-2</v>
      </c>
      <c r="N1000" s="67">
        <v>3429.2137568053399</v>
      </c>
      <c r="O1000" s="67">
        <v>180.48493456870199</v>
      </c>
      <c r="P1000" s="67">
        <v>446.149998232722</v>
      </c>
      <c r="Q1000" s="68">
        <v>0.130102708630318</v>
      </c>
    </row>
    <row r="1001" spans="1:17" x14ac:dyDescent="0.35">
      <c r="A1001" s="62" t="s">
        <v>136</v>
      </c>
      <c r="B1001" s="63">
        <v>894875</v>
      </c>
      <c r="C1001" s="63" t="s">
        <v>145</v>
      </c>
      <c r="D1001" s="64">
        <v>42662</v>
      </c>
      <c r="E1001" s="63" t="s">
        <v>138</v>
      </c>
      <c r="F1001" s="65">
        <v>26182</v>
      </c>
      <c r="G1001" s="66">
        <v>1.25773195876289E-2</v>
      </c>
      <c r="H1001" s="65">
        <v>316</v>
      </c>
      <c r="I1001" s="67">
        <v>0.95036885591193299</v>
      </c>
      <c r="J1001" s="67">
        <v>11.953092826933601</v>
      </c>
      <c r="K1001" s="65">
        <v>95</v>
      </c>
      <c r="L1001" s="65">
        <v>24</v>
      </c>
      <c r="M1001" s="66">
        <v>4.3032786885245901E-2</v>
      </c>
      <c r="N1001" s="67">
        <v>2025.89575753022</v>
      </c>
      <c r="O1001" s="67">
        <v>96.471226549057903</v>
      </c>
      <c r="P1001" s="67">
        <v>463.78000168502302</v>
      </c>
      <c r="Q1001" s="68">
        <v>0.22892589609369701</v>
      </c>
    </row>
    <row r="1002" spans="1:17" x14ac:dyDescent="0.35">
      <c r="A1002" s="62" t="s">
        <v>136</v>
      </c>
      <c r="B1002" s="63">
        <v>894875</v>
      </c>
      <c r="C1002" s="63" t="s">
        <v>145</v>
      </c>
      <c r="D1002" s="64">
        <v>42663</v>
      </c>
      <c r="E1002" s="63" t="s">
        <v>138</v>
      </c>
      <c r="F1002" s="65">
        <v>46019</v>
      </c>
      <c r="G1002" s="66">
        <v>1.23495145631068E-2</v>
      </c>
      <c r="H1002" s="65">
        <v>484</v>
      </c>
      <c r="I1002" s="67">
        <v>0.909622638995917</v>
      </c>
      <c r="J1002" s="67">
        <v>11.233398027211701</v>
      </c>
      <c r="K1002" s="65">
        <v>15</v>
      </c>
      <c r="L1002" s="65">
        <v>16</v>
      </c>
      <c r="M1002" s="66">
        <v>3.1446540880503103E-2</v>
      </c>
      <c r="N1002" s="67">
        <v>1938.10194951985</v>
      </c>
      <c r="O1002" s="67">
        <v>129.206796634657</v>
      </c>
      <c r="P1002" s="67">
        <v>433.88999880105303</v>
      </c>
      <c r="Q1002" s="68">
        <v>0.22387367130431199</v>
      </c>
    </row>
    <row r="1003" spans="1:17" x14ac:dyDescent="0.35">
      <c r="A1003" s="62" t="s">
        <v>136</v>
      </c>
      <c r="B1003" s="63">
        <v>894875</v>
      </c>
      <c r="C1003" s="63" t="s">
        <v>145</v>
      </c>
      <c r="D1003" s="64">
        <v>42664</v>
      </c>
      <c r="E1003" s="63" t="s">
        <v>138</v>
      </c>
      <c r="F1003" s="65">
        <v>39316</v>
      </c>
      <c r="G1003" s="66">
        <v>1.25425638764361E-2</v>
      </c>
      <c r="H1003" s="65">
        <v>520</v>
      </c>
      <c r="I1003" s="67">
        <v>0.88544922410801497</v>
      </c>
      <c r="J1003" s="67">
        <v>11.1058034527156</v>
      </c>
      <c r="K1003" s="65">
        <v>44</v>
      </c>
      <c r="L1003" s="65">
        <v>40</v>
      </c>
      <c r="M1003" s="66">
        <v>7.421875E-2</v>
      </c>
      <c r="N1003" s="67">
        <v>4564.8035458685799</v>
      </c>
      <c r="O1003" s="67">
        <v>120.126409101805</v>
      </c>
      <c r="P1003" s="67">
        <v>453.350002743304</v>
      </c>
      <c r="Q1003" s="68">
        <v>9.9314241716626103E-2</v>
      </c>
    </row>
    <row r="1004" spans="1:17" x14ac:dyDescent="0.35">
      <c r="A1004" s="62" t="s">
        <v>136</v>
      </c>
      <c r="B1004" s="63">
        <v>894875</v>
      </c>
      <c r="C1004" s="63" t="s">
        <v>145</v>
      </c>
      <c r="D1004" s="64">
        <v>42665</v>
      </c>
      <c r="E1004" s="63" t="s">
        <v>138</v>
      </c>
      <c r="F1004" s="65">
        <v>5747</v>
      </c>
      <c r="G1004" s="66">
        <v>1.20911322896592E-2</v>
      </c>
      <c r="H1004" s="65">
        <v>370</v>
      </c>
      <c r="I1004" s="67">
        <v>0.932707423759079</v>
      </c>
      <c r="J1004" s="67">
        <v>11.2774888482182</v>
      </c>
      <c r="K1004" s="65">
        <v>31</v>
      </c>
      <c r="L1004" s="65">
        <v>27</v>
      </c>
      <c r="M1004" s="66">
        <v>5.6768558951965101E-2</v>
      </c>
      <c r="N1004" s="67">
        <v>2812.5329959851902</v>
      </c>
      <c r="O1004" s="67">
        <v>108.17434599943</v>
      </c>
      <c r="P1004" s="67">
        <v>427.18000008165802</v>
      </c>
      <c r="Q1004" s="68">
        <v>0.151884440357303</v>
      </c>
    </row>
    <row r="1005" spans="1:17" x14ac:dyDescent="0.35">
      <c r="A1005" s="62" t="s">
        <v>136</v>
      </c>
      <c r="B1005" s="63">
        <v>894875</v>
      </c>
      <c r="C1005" s="63" t="s">
        <v>145</v>
      </c>
      <c r="D1005" s="64">
        <v>42666</v>
      </c>
      <c r="E1005" s="63" t="s">
        <v>138</v>
      </c>
      <c r="F1005" s="65">
        <v>21554</v>
      </c>
      <c r="G1005" s="66">
        <v>1.19628399418725E-2</v>
      </c>
      <c r="H1005" s="65">
        <v>310</v>
      </c>
      <c r="I1005" s="67">
        <v>0.91622559705227902</v>
      </c>
      <c r="J1005" s="67">
        <v>10.960660168183001</v>
      </c>
      <c r="K1005" s="65">
        <v>81</v>
      </c>
      <c r="L1005" s="65">
        <v>22</v>
      </c>
      <c r="M1005" s="66">
        <v>4.1214750542299401E-2</v>
      </c>
      <c r="N1005" s="67">
        <v>2322.32848255404</v>
      </c>
      <c r="O1005" s="67">
        <v>122.227814871265</v>
      </c>
      <c r="P1005" s="67">
        <v>422.38000024110102</v>
      </c>
      <c r="Q1005" s="68">
        <v>0.181877802134424</v>
      </c>
    </row>
    <row r="1006" spans="1:17" x14ac:dyDescent="0.35">
      <c r="A1006" s="62" t="s">
        <v>136</v>
      </c>
      <c r="B1006" s="63">
        <v>894875</v>
      </c>
      <c r="C1006" s="63" t="s">
        <v>145</v>
      </c>
      <c r="D1006" s="64">
        <v>42667</v>
      </c>
      <c r="E1006" s="63" t="s">
        <v>138</v>
      </c>
      <c r="F1006" s="65">
        <v>59433</v>
      </c>
      <c r="G1006" s="66">
        <v>1.21999212908304E-2</v>
      </c>
      <c r="H1006" s="65">
        <v>526</v>
      </c>
      <c r="I1006" s="67">
        <v>0.92550538041258401</v>
      </c>
      <c r="J1006" s="67">
        <v>11.291092795273601</v>
      </c>
      <c r="K1006" s="65">
        <v>85</v>
      </c>
      <c r="L1006" s="65">
        <v>28</v>
      </c>
      <c r="M1006" s="66">
        <v>5.5913978494623699E-2</v>
      </c>
      <c r="N1006" s="67">
        <v>3786.7995865903799</v>
      </c>
      <c r="O1006" s="67">
        <v>145.64613794578401</v>
      </c>
      <c r="P1006" s="67">
        <v>430.36000189185103</v>
      </c>
      <c r="Q1006" s="68">
        <v>0.113647419688071</v>
      </c>
    </row>
    <row r="1007" spans="1:17" x14ac:dyDescent="0.35">
      <c r="A1007" s="62" t="s">
        <v>136</v>
      </c>
      <c r="B1007" s="63">
        <v>894875</v>
      </c>
      <c r="C1007" s="63" t="s">
        <v>145</v>
      </c>
      <c r="D1007" s="64">
        <v>42668</v>
      </c>
      <c r="E1007" s="63" t="s">
        <v>138</v>
      </c>
      <c r="F1007" s="65">
        <v>22446</v>
      </c>
      <c r="G1007" s="66">
        <v>1.28400676668793E-2</v>
      </c>
      <c r="H1007" s="65">
        <v>185</v>
      </c>
      <c r="I1007" s="67">
        <v>0.92894169612592503</v>
      </c>
      <c r="J1007" s="67">
        <v>11.927674236842501</v>
      </c>
      <c r="K1007" s="65">
        <v>77</v>
      </c>
      <c r="L1007" s="65">
        <v>31</v>
      </c>
      <c r="M1007" s="66">
        <v>6.0475161987040997E-2</v>
      </c>
      <c r="N1007" s="67">
        <v>3516.7306849121301</v>
      </c>
      <c r="O1007" s="67">
        <v>125.597524461148</v>
      </c>
      <c r="P1007" s="67">
        <v>430.10000530630401</v>
      </c>
      <c r="Q1007" s="68">
        <v>0.122301092645953</v>
      </c>
    </row>
    <row r="1008" spans="1:17" x14ac:dyDescent="0.35">
      <c r="A1008" s="62" t="s">
        <v>136</v>
      </c>
      <c r="B1008" s="63">
        <v>894875</v>
      </c>
      <c r="C1008" s="63" t="s">
        <v>145</v>
      </c>
      <c r="D1008" s="64">
        <v>42669</v>
      </c>
      <c r="E1008" s="63" t="s">
        <v>138</v>
      </c>
      <c r="F1008" s="65">
        <v>10896</v>
      </c>
      <c r="G1008" s="66">
        <v>1.2887355953049399E-2</v>
      </c>
      <c r="H1008" s="65">
        <v>289</v>
      </c>
      <c r="I1008" s="67">
        <v>0.94686721174115995</v>
      </c>
      <c r="J1008" s="67">
        <v>12.202614797979701</v>
      </c>
      <c r="K1008" s="65">
        <v>64</v>
      </c>
      <c r="L1008" s="65">
        <v>27</v>
      </c>
      <c r="M1008" s="66">
        <v>4.7717842323651401E-2</v>
      </c>
      <c r="N1008" s="67">
        <v>3061.6646615301802</v>
      </c>
      <c r="O1008" s="67">
        <v>133.115854849138</v>
      </c>
      <c r="P1008" s="67">
        <v>456.38999605923902</v>
      </c>
      <c r="Q1008" s="68">
        <v>0.14906596460212601</v>
      </c>
    </row>
    <row r="1009" spans="1:17" x14ac:dyDescent="0.35">
      <c r="A1009" s="62" t="s">
        <v>136</v>
      </c>
      <c r="B1009" s="63">
        <v>894875</v>
      </c>
      <c r="C1009" s="63" t="s">
        <v>145</v>
      </c>
      <c r="D1009" s="64">
        <v>42670</v>
      </c>
      <c r="E1009" s="63" t="s">
        <v>138</v>
      </c>
      <c r="F1009" s="65">
        <v>35253</v>
      </c>
      <c r="G1009" s="66">
        <v>1.3664436438497201E-2</v>
      </c>
      <c r="H1009" s="65">
        <v>308</v>
      </c>
      <c r="I1009" s="67">
        <v>0.90623352282352598</v>
      </c>
      <c r="J1009" s="67">
        <v>12.3831703710574</v>
      </c>
      <c r="K1009" s="65">
        <v>80</v>
      </c>
      <c r="L1009" s="65">
        <v>18</v>
      </c>
      <c r="M1009" s="66">
        <v>3.0131826741996201E-2</v>
      </c>
      <c r="N1009" s="67">
        <v>2453.8535977387501</v>
      </c>
      <c r="O1009" s="67">
        <v>153.36584985867199</v>
      </c>
      <c r="P1009" s="67">
        <v>481.21000061929197</v>
      </c>
      <c r="Q1009" s="68">
        <v>0.19610379407424</v>
      </c>
    </row>
    <row r="1010" spans="1:17" x14ac:dyDescent="0.35">
      <c r="A1010" s="62" t="s">
        <v>136</v>
      </c>
      <c r="B1010" s="63">
        <v>894875</v>
      </c>
      <c r="C1010" s="63" t="s">
        <v>145</v>
      </c>
      <c r="D1010" s="64">
        <v>42671</v>
      </c>
      <c r="E1010" s="63" t="s">
        <v>138</v>
      </c>
      <c r="F1010" s="65">
        <v>44958</v>
      </c>
      <c r="G1010" s="66">
        <v>1.24477578222072E-2</v>
      </c>
      <c r="H1010" s="65">
        <v>212</v>
      </c>
      <c r="I1010" s="67">
        <v>0.892704182819965</v>
      </c>
      <c r="J1010" s="67">
        <v>11.112165474614301</v>
      </c>
      <c r="K1010" s="65">
        <v>72</v>
      </c>
      <c r="L1010" s="65">
        <v>55</v>
      </c>
      <c r="M1010" s="66">
        <v>9.4373865698729603E-2</v>
      </c>
      <c r="N1010" s="67">
        <v>6609.2131743796799</v>
      </c>
      <c r="O1010" s="67">
        <v>127.100253353455</v>
      </c>
      <c r="P1010" s="67">
        <v>491.880004733801</v>
      </c>
      <c r="Q1010" s="68">
        <v>7.4423383200976398E-2</v>
      </c>
    </row>
    <row r="1011" spans="1:17" x14ac:dyDescent="0.35">
      <c r="A1011" s="62" t="s">
        <v>136</v>
      </c>
      <c r="B1011" s="63">
        <v>894875</v>
      </c>
      <c r="C1011" s="63" t="s">
        <v>145</v>
      </c>
      <c r="D1011" s="64">
        <v>42672</v>
      </c>
      <c r="E1011" s="63" t="s">
        <v>138</v>
      </c>
      <c r="F1011" s="65">
        <v>11979</v>
      </c>
      <c r="G1011" s="66">
        <v>1.2211734942103701E-2</v>
      </c>
      <c r="H1011" s="65">
        <v>496</v>
      </c>
      <c r="I1011" s="67">
        <v>0.92340638541961595</v>
      </c>
      <c r="J1011" s="67">
        <v>11.2763940225904</v>
      </c>
      <c r="K1011" s="65">
        <v>91</v>
      </c>
      <c r="L1011" s="65">
        <v>40</v>
      </c>
      <c r="M1011" s="66">
        <v>7.3705179282868502E-2</v>
      </c>
      <c r="N1011" s="67">
        <v>4007.6248837090402</v>
      </c>
      <c r="O1011" s="67">
        <v>108.31418604619</v>
      </c>
      <c r="P1011" s="67">
        <v>463.55000548064697</v>
      </c>
      <c r="Q1011" s="68">
        <v>0.115667014486554</v>
      </c>
    </row>
    <row r="1012" spans="1:17" x14ac:dyDescent="0.35">
      <c r="A1012" s="62" t="s">
        <v>136</v>
      </c>
      <c r="B1012" s="63">
        <v>894875</v>
      </c>
      <c r="C1012" s="63" t="s">
        <v>145</v>
      </c>
      <c r="D1012" s="64">
        <v>42673</v>
      </c>
      <c r="E1012" s="63" t="s">
        <v>138</v>
      </c>
      <c r="F1012" s="65">
        <v>66642</v>
      </c>
      <c r="G1012" s="66">
        <v>1.1881285742457099E-2</v>
      </c>
      <c r="H1012" s="65">
        <v>445</v>
      </c>
      <c r="I1012" s="67">
        <v>0.91593361426438502</v>
      </c>
      <c r="J1012" s="67">
        <v>10.882468992196699</v>
      </c>
      <c r="K1012" s="65">
        <v>58</v>
      </c>
      <c r="L1012" s="65">
        <v>20</v>
      </c>
      <c r="M1012" s="66">
        <v>4.1493775933609998E-2</v>
      </c>
      <c r="N1012" s="67">
        <v>3298.9445656337898</v>
      </c>
      <c r="O1012" s="67">
        <v>164.94722828168901</v>
      </c>
      <c r="P1012" s="67">
        <v>441.48000207543402</v>
      </c>
      <c r="Q1012" s="68">
        <v>0.133824619750959</v>
      </c>
    </row>
    <row r="1013" spans="1:17" x14ac:dyDescent="0.35">
      <c r="A1013" s="62" t="s">
        <v>136</v>
      </c>
      <c r="B1013" s="63">
        <v>894875</v>
      </c>
      <c r="C1013" s="63" t="s">
        <v>145</v>
      </c>
      <c r="D1013" s="64">
        <v>42674</v>
      </c>
      <c r="E1013" s="63" t="s">
        <v>138</v>
      </c>
      <c r="F1013" s="65">
        <v>45087</v>
      </c>
      <c r="G1013" s="66">
        <v>1.2303829252981799E-2</v>
      </c>
      <c r="H1013" s="65">
        <v>548</v>
      </c>
      <c r="I1013" s="67">
        <v>0.93326530486953496</v>
      </c>
      <c r="J1013" s="67">
        <v>11.4827369588468</v>
      </c>
      <c r="K1013" s="65">
        <v>41</v>
      </c>
      <c r="L1013" s="65">
        <v>30</v>
      </c>
      <c r="M1013" s="66">
        <v>6.1224489795918401E-2</v>
      </c>
      <c r="N1013" s="67">
        <v>4098.4315491261996</v>
      </c>
      <c r="O1013" s="67">
        <v>136.614384970873</v>
      </c>
      <c r="P1013" s="67">
        <v>457.29999938607199</v>
      </c>
      <c r="Q1013" s="68">
        <v>0.11157926975346701</v>
      </c>
    </row>
    <row r="1014" spans="1:17" x14ac:dyDescent="0.35">
      <c r="A1014" s="62" t="s">
        <v>136</v>
      </c>
      <c r="B1014" s="63">
        <v>894875</v>
      </c>
      <c r="C1014" s="63" t="s">
        <v>145</v>
      </c>
      <c r="D1014" s="64">
        <v>42675</v>
      </c>
      <c r="E1014" s="63" t="s">
        <v>138</v>
      </c>
      <c r="F1014" s="65">
        <v>21727</v>
      </c>
      <c r="G1014" s="66">
        <v>1.28077863593444E-2</v>
      </c>
      <c r="H1014" s="65">
        <v>452</v>
      </c>
      <c r="I1014" s="67">
        <v>0.88680529605688796</v>
      </c>
      <c r="J1014" s="67">
        <v>11.3580127742317</v>
      </c>
      <c r="K1014" s="65">
        <v>67</v>
      </c>
      <c r="L1014" s="65">
        <v>15</v>
      </c>
      <c r="M1014" s="66">
        <v>2.83553875236295E-2</v>
      </c>
      <c r="N1014" s="67">
        <v>1462.9010388943</v>
      </c>
      <c r="O1014" s="67">
        <v>97.526735926286904</v>
      </c>
      <c r="P1014" s="67">
        <v>469.12000161409401</v>
      </c>
      <c r="Q1014" s="68">
        <v>0.320677878504117</v>
      </c>
    </row>
    <row r="1015" spans="1:17" x14ac:dyDescent="0.35">
      <c r="A1015" s="62" t="s">
        <v>136</v>
      </c>
      <c r="B1015" s="63">
        <v>894875</v>
      </c>
      <c r="C1015" s="63" t="s">
        <v>145</v>
      </c>
      <c r="D1015" s="64">
        <v>42676</v>
      </c>
      <c r="E1015" s="63" t="s">
        <v>138</v>
      </c>
      <c r="F1015" s="65">
        <v>44681</v>
      </c>
      <c r="G1015" s="66">
        <v>1.31977113795296E-2</v>
      </c>
      <c r="H1015" s="65">
        <v>230</v>
      </c>
      <c r="I1015" s="67">
        <v>0.89622351466920303</v>
      </c>
      <c r="J1015" s="67">
        <v>11.828099278151701</v>
      </c>
      <c r="K1015" s="65">
        <v>21</v>
      </c>
      <c r="L1015" s="65">
        <v>17</v>
      </c>
      <c r="M1015" s="66">
        <v>3.0828516377649301E-2</v>
      </c>
      <c r="N1015" s="67">
        <v>1523.05475601083</v>
      </c>
      <c r="O1015" s="67">
        <v>95.190922250676905</v>
      </c>
      <c r="P1015" s="67">
        <v>465.14000411331699</v>
      </c>
      <c r="Q1015" s="68">
        <v>0.30539939701945201</v>
      </c>
    </row>
    <row r="1016" spans="1:17" x14ac:dyDescent="0.35">
      <c r="A1016" s="62" t="s">
        <v>136</v>
      </c>
      <c r="B1016" s="63">
        <v>894875</v>
      </c>
      <c r="C1016" s="63" t="s">
        <v>145</v>
      </c>
      <c r="D1016" s="64">
        <v>42677</v>
      </c>
      <c r="E1016" s="63" t="s">
        <v>138</v>
      </c>
      <c r="F1016" s="65">
        <v>42113</v>
      </c>
      <c r="G1016" s="66">
        <v>1.26820329829299E-2</v>
      </c>
      <c r="H1016" s="65">
        <v>221</v>
      </c>
      <c r="I1016" s="67">
        <v>0.92009505288172599</v>
      </c>
      <c r="J1016" s="67">
        <v>11.668675808076699</v>
      </c>
      <c r="K1016" s="65">
        <v>99</v>
      </c>
      <c r="L1016" s="65">
        <v>20</v>
      </c>
      <c r="M1016" s="66">
        <v>3.2319391634981001E-2</v>
      </c>
      <c r="N1016" s="67">
        <v>2408.3624428849898</v>
      </c>
      <c r="O1016" s="67">
        <v>141.668378993235</v>
      </c>
      <c r="P1016" s="67">
        <v>483.96999781578802</v>
      </c>
      <c r="Q1016" s="68">
        <v>0.200953971544266</v>
      </c>
    </row>
    <row r="1017" spans="1:17" x14ac:dyDescent="0.35">
      <c r="A1017" s="62" t="s">
        <v>136</v>
      </c>
      <c r="B1017" s="63">
        <v>894875</v>
      </c>
      <c r="C1017" s="63" t="s">
        <v>145</v>
      </c>
      <c r="D1017" s="64">
        <v>42678</v>
      </c>
      <c r="E1017" s="63" t="s">
        <v>138</v>
      </c>
      <c r="F1017" s="65">
        <v>59202</v>
      </c>
      <c r="G1017" s="66">
        <v>1.14649954011679E-2</v>
      </c>
      <c r="H1017" s="65">
        <v>320</v>
      </c>
      <c r="I1017" s="67">
        <v>0.93347015319419901</v>
      </c>
      <c r="J1017" s="67">
        <v>10.702231013499</v>
      </c>
      <c r="K1017" s="65">
        <v>34</v>
      </c>
      <c r="L1017" s="65">
        <v>41</v>
      </c>
      <c r="M1017" s="66">
        <v>7.0895522388059698E-2</v>
      </c>
      <c r="N1017" s="67">
        <v>4806.3288850807903</v>
      </c>
      <c r="O1017" s="67">
        <v>126.48233908107299</v>
      </c>
      <c r="P1017" s="67">
        <v>500.34000211209099</v>
      </c>
      <c r="Q1017" s="68">
        <v>0.10410024242518701</v>
      </c>
    </row>
    <row r="1018" spans="1:17" x14ac:dyDescent="0.35">
      <c r="A1018" s="62" t="s">
        <v>136</v>
      </c>
      <c r="B1018" s="63">
        <v>634838</v>
      </c>
      <c r="C1018" s="63" t="s">
        <v>146</v>
      </c>
      <c r="D1018" s="64">
        <v>42552</v>
      </c>
      <c r="E1018" s="63" t="s">
        <v>138</v>
      </c>
      <c r="F1018" s="65">
        <v>45148</v>
      </c>
      <c r="G1018" s="66">
        <v>8.6253048599131497E-3</v>
      </c>
      <c r="H1018" s="65">
        <v>231</v>
      </c>
      <c r="I1018" s="67">
        <v>0.92779309544069999</v>
      </c>
      <c r="J1018" s="67">
        <v>8.0024982950985404</v>
      </c>
      <c r="K1018" s="65">
        <v>99</v>
      </c>
      <c r="L1018" s="65">
        <v>25</v>
      </c>
      <c r="M1018" s="66">
        <v>0.16551724137931001</v>
      </c>
      <c r="N1018" s="67">
        <v>2813.7263349885402</v>
      </c>
      <c r="O1018" s="67">
        <v>117.238597291189</v>
      </c>
      <c r="P1018" s="67">
        <v>134.529998838902</v>
      </c>
      <c r="Q1018" s="68">
        <v>4.7812040981394702E-2</v>
      </c>
    </row>
    <row r="1019" spans="1:17" x14ac:dyDescent="0.35">
      <c r="A1019" s="62" t="s">
        <v>136</v>
      </c>
      <c r="B1019" s="63">
        <v>634838</v>
      </c>
      <c r="C1019" s="63" t="s">
        <v>146</v>
      </c>
      <c r="D1019" s="64">
        <v>42553</v>
      </c>
      <c r="E1019" s="63" t="s">
        <v>138</v>
      </c>
      <c r="F1019" s="65">
        <v>52274</v>
      </c>
      <c r="G1019" s="66">
        <v>7.0127813595747103E-3</v>
      </c>
      <c r="H1019" s="65">
        <v>560</v>
      </c>
      <c r="I1019" s="67">
        <v>1.0087096703148699</v>
      </c>
      <c r="J1019" s="67">
        <v>7.0738603732068404</v>
      </c>
      <c r="K1019" s="65">
        <v>24</v>
      </c>
      <c r="L1019" s="65">
        <v>14</v>
      </c>
      <c r="M1019" s="66">
        <v>0.104838709677419</v>
      </c>
      <c r="N1019" s="67">
        <v>751.01563404791204</v>
      </c>
      <c r="O1019" s="67">
        <v>57.770433388300901</v>
      </c>
      <c r="P1019" s="67">
        <v>125.07999911904299</v>
      </c>
      <c r="Q1019" s="68">
        <v>0.16654779667484801</v>
      </c>
    </row>
    <row r="1020" spans="1:17" x14ac:dyDescent="0.35">
      <c r="A1020" s="62" t="s">
        <v>136</v>
      </c>
      <c r="B1020" s="63">
        <v>634838</v>
      </c>
      <c r="C1020" s="63" t="s">
        <v>146</v>
      </c>
      <c r="D1020" s="64">
        <v>42554</v>
      </c>
      <c r="E1020" s="63" t="s">
        <v>138</v>
      </c>
      <c r="F1020" s="65">
        <v>10194</v>
      </c>
      <c r="G1020" s="66">
        <v>1.0308182784272099E-2</v>
      </c>
      <c r="H1020" s="65">
        <v>264</v>
      </c>
      <c r="I1020" s="67">
        <v>0.96324743683805203</v>
      </c>
      <c r="J1020" s="67">
        <v>9.9293306454081804</v>
      </c>
      <c r="K1020" s="65">
        <v>57</v>
      </c>
      <c r="L1020" s="65">
        <v>14</v>
      </c>
      <c r="M1020" s="66">
        <v>7.2164948453608199E-2</v>
      </c>
      <c r="N1020" s="67">
        <v>1489.9732075500899</v>
      </c>
      <c r="O1020" s="67">
        <v>106.426657682149</v>
      </c>
      <c r="P1020" s="67">
        <v>186.870002746582</v>
      </c>
      <c r="Q1020" s="68">
        <v>0.12541836443746901</v>
      </c>
    </row>
    <row r="1021" spans="1:17" x14ac:dyDescent="0.35">
      <c r="A1021" s="62" t="s">
        <v>136</v>
      </c>
      <c r="B1021" s="63">
        <v>634838</v>
      </c>
      <c r="C1021" s="63" t="s">
        <v>146</v>
      </c>
      <c r="D1021" s="64">
        <v>42555</v>
      </c>
      <c r="E1021" s="63" t="s">
        <v>138</v>
      </c>
      <c r="F1021" s="65">
        <v>62047</v>
      </c>
      <c r="G1021" s="66">
        <v>8.9723966854911106E-3</v>
      </c>
      <c r="H1021" s="65">
        <v>530</v>
      </c>
      <c r="I1021" s="67">
        <v>0.97870588933720304</v>
      </c>
      <c r="J1021" s="67">
        <v>8.7813374775597506</v>
      </c>
      <c r="K1021" s="65">
        <v>65</v>
      </c>
      <c r="L1021" s="65">
        <v>24</v>
      </c>
      <c r="M1021" s="66">
        <v>0.14117647058823499</v>
      </c>
      <c r="N1021" s="67">
        <v>2117.7716337209399</v>
      </c>
      <c r="O1021" s="67">
        <v>88.240484738372601</v>
      </c>
      <c r="P1021" s="67">
        <v>166.38000118732501</v>
      </c>
      <c r="Q1021" s="68">
        <v>7.8563712223774299E-2</v>
      </c>
    </row>
    <row r="1022" spans="1:17" x14ac:dyDescent="0.35">
      <c r="A1022" s="62" t="s">
        <v>136</v>
      </c>
      <c r="B1022" s="63">
        <v>634838</v>
      </c>
      <c r="C1022" s="63" t="s">
        <v>146</v>
      </c>
      <c r="D1022" s="64">
        <v>42556</v>
      </c>
      <c r="E1022" s="63" t="s">
        <v>138</v>
      </c>
      <c r="F1022" s="65">
        <v>6290</v>
      </c>
      <c r="G1022" s="66">
        <v>9.4844828698625698E-3</v>
      </c>
      <c r="H1022" s="65">
        <v>352</v>
      </c>
      <c r="I1022" s="67">
        <v>0.89809524060106605</v>
      </c>
      <c r="J1022" s="67">
        <v>8.5179689249859205</v>
      </c>
      <c r="K1022" s="65">
        <v>56</v>
      </c>
      <c r="L1022" s="65">
        <v>21</v>
      </c>
      <c r="M1022" s="66">
        <v>0.129251700680272</v>
      </c>
      <c r="N1022" s="67">
        <v>2327.3835102641501</v>
      </c>
      <c r="O1022" s="67">
        <v>122.493868961271</v>
      </c>
      <c r="P1022" s="67">
        <v>132.02000036835699</v>
      </c>
      <c r="Q1022" s="68">
        <v>5.6724643698009503E-2</v>
      </c>
    </row>
    <row r="1023" spans="1:17" x14ac:dyDescent="0.35">
      <c r="A1023" s="62" t="s">
        <v>136</v>
      </c>
      <c r="B1023" s="63">
        <v>634838</v>
      </c>
      <c r="C1023" s="63" t="s">
        <v>146</v>
      </c>
      <c r="D1023" s="64">
        <v>42557</v>
      </c>
      <c r="E1023" s="63" t="s">
        <v>138</v>
      </c>
      <c r="F1023" s="65">
        <v>27025</v>
      </c>
      <c r="G1023" s="66">
        <v>8.74145466771265E-3</v>
      </c>
      <c r="H1023" s="65">
        <v>364</v>
      </c>
      <c r="I1023" s="67">
        <v>0.86301280548557302</v>
      </c>
      <c r="J1023" s="67">
        <v>7.5439873168076499</v>
      </c>
      <c r="K1023" s="65">
        <v>88</v>
      </c>
      <c r="L1023" s="65">
        <v>15</v>
      </c>
      <c r="M1023" s="66">
        <v>9.6153846153846201E-2</v>
      </c>
      <c r="N1023" s="67">
        <v>1060.5929705500901</v>
      </c>
      <c r="O1023" s="67">
        <v>70.706198036672404</v>
      </c>
      <c r="P1023" s="67">
        <v>134.62999765574901</v>
      </c>
      <c r="Q1023" s="68">
        <v>0.12693842161326299</v>
      </c>
    </row>
    <row r="1024" spans="1:17" x14ac:dyDescent="0.35">
      <c r="A1024" s="62" t="s">
        <v>136</v>
      </c>
      <c r="B1024" s="63">
        <v>634838</v>
      </c>
      <c r="C1024" s="63" t="s">
        <v>146</v>
      </c>
      <c r="D1024" s="64">
        <v>42558</v>
      </c>
      <c r="E1024" s="63" t="s">
        <v>138</v>
      </c>
      <c r="F1024" s="65">
        <v>9239</v>
      </c>
      <c r="G1024" s="66">
        <v>1.0129751877987699E-2</v>
      </c>
      <c r="H1024" s="65">
        <v>539</v>
      </c>
      <c r="I1024" s="67">
        <v>0.89769662590174204</v>
      </c>
      <c r="J1024" s="67">
        <v>9.0934440820914002</v>
      </c>
      <c r="K1024" s="65">
        <v>82</v>
      </c>
      <c r="L1024" s="65">
        <v>18</v>
      </c>
      <c r="M1024" s="66">
        <v>0.101123595505618</v>
      </c>
      <c r="N1024" s="67">
        <v>2538.98347585386</v>
      </c>
      <c r="O1024" s="67">
        <v>141.05463754743701</v>
      </c>
      <c r="P1024" s="67">
        <v>159.78999941051001</v>
      </c>
      <c r="Q1024" s="68">
        <v>6.2934635427972799E-2</v>
      </c>
    </row>
    <row r="1025" spans="1:17" x14ac:dyDescent="0.35">
      <c r="A1025" s="62" t="s">
        <v>136</v>
      </c>
      <c r="B1025" s="63">
        <v>634838</v>
      </c>
      <c r="C1025" s="63" t="s">
        <v>146</v>
      </c>
      <c r="D1025" s="64">
        <v>42559</v>
      </c>
      <c r="E1025" s="63" t="s">
        <v>138</v>
      </c>
      <c r="F1025" s="65">
        <v>8912</v>
      </c>
      <c r="G1025" s="66">
        <v>8.9960017769880104E-3</v>
      </c>
      <c r="H1025" s="65">
        <v>510</v>
      </c>
      <c r="I1025" s="67">
        <v>0.84419754138331404</v>
      </c>
      <c r="J1025" s="67">
        <v>7.5944025824131902</v>
      </c>
      <c r="K1025" s="65">
        <v>14</v>
      </c>
      <c r="L1025" s="65">
        <v>29</v>
      </c>
      <c r="M1025" s="66">
        <v>0.16666666666666699</v>
      </c>
      <c r="N1025" s="67">
        <v>2431.0657693455901</v>
      </c>
      <c r="O1025" s="67">
        <v>90.039472938725396</v>
      </c>
      <c r="P1025" s="67">
        <v>136.76000170409699</v>
      </c>
      <c r="Q1025" s="68">
        <v>5.6255163240980899E-2</v>
      </c>
    </row>
    <row r="1026" spans="1:17" x14ac:dyDescent="0.35">
      <c r="A1026" s="62" t="s">
        <v>136</v>
      </c>
      <c r="B1026" s="63">
        <v>634838</v>
      </c>
      <c r="C1026" s="63" t="s">
        <v>146</v>
      </c>
      <c r="D1026" s="64">
        <v>42560</v>
      </c>
      <c r="E1026" s="63" t="s">
        <v>138</v>
      </c>
      <c r="F1026" s="65">
        <v>55146</v>
      </c>
      <c r="G1026" s="66">
        <v>1.02700862460281E-2</v>
      </c>
      <c r="H1026" s="65">
        <v>534</v>
      </c>
      <c r="I1026" s="67">
        <v>0.87104972694789495</v>
      </c>
      <c r="J1026" s="67">
        <v>8.9457558203341492</v>
      </c>
      <c r="K1026" s="65">
        <v>84</v>
      </c>
      <c r="L1026" s="65">
        <v>14</v>
      </c>
      <c r="M1026" s="66">
        <v>7.7348066298342497E-2</v>
      </c>
      <c r="N1026" s="67">
        <v>954.05826243815102</v>
      </c>
      <c r="O1026" s="67">
        <v>68.147018745582201</v>
      </c>
      <c r="P1026" s="67">
        <v>157.66000057756901</v>
      </c>
      <c r="Q1026" s="68">
        <v>0.16525196288815699</v>
      </c>
    </row>
    <row r="1027" spans="1:17" x14ac:dyDescent="0.35">
      <c r="A1027" s="62" t="s">
        <v>136</v>
      </c>
      <c r="B1027" s="63">
        <v>634838</v>
      </c>
      <c r="C1027" s="63" t="s">
        <v>146</v>
      </c>
      <c r="D1027" s="64">
        <v>42561</v>
      </c>
      <c r="E1027" s="63" t="s">
        <v>138</v>
      </c>
      <c r="F1027" s="65">
        <v>35448</v>
      </c>
      <c r="G1027" s="66">
        <v>1.08793180798564E-2</v>
      </c>
      <c r="H1027" s="65">
        <v>553</v>
      </c>
      <c r="I1027" s="67">
        <v>0.72814433184481198</v>
      </c>
      <c r="J1027" s="67">
        <v>7.9217137941842504</v>
      </c>
      <c r="K1027" s="65">
        <v>99</v>
      </c>
      <c r="L1027" s="65">
        <v>19</v>
      </c>
      <c r="M1027" s="66">
        <v>9.2783505154639206E-2</v>
      </c>
      <c r="N1027" s="67">
        <v>1944.6365022754101</v>
      </c>
      <c r="O1027" s="67">
        <v>108.03536123752301</v>
      </c>
      <c r="P1027" s="67">
        <v>141.26000037789299</v>
      </c>
      <c r="Q1027" s="68">
        <v>7.2640825271255496E-2</v>
      </c>
    </row>
    <row r="1028" spans="1:17" x14ac:dyDescent="0.35">
      <c r="A1028" s="62" t="s">
        <v>136</v>
      </c>
      <c r="B1028" s="63">
        <v>634838</v>
      </c>
      <c r="C1028" s="63" t="s">
        <v>146</v>
      </c>
      <c r="D1028" s="64">
        <v>42562</v>
      </c>
      <c r="E1028" s="63" t="s">
        <v>138</v>
      </c>
      <c r="F1028" s="65">
        <v>50656</v>
      </c>
      <c r="G1028" s="66">
        <v>8.5831863609641401E-3</v>
      </c>
      <c r="H1028" s="65">
        <v>228</v>
      </c>
      <c r="I1028" s="67">
        <v>0.66075342322049102</v>
      </c>
      <c r="J1028" s="67">
        <v>5.6713697701464802</v>
      </c>
      <c r="K1028" s="65">
        <v>80</v>
      </c>
      <c r="L1028" s="65">
        <v>19</v>
      </c>
      <c r="M1028" s="66">
        <v>0.102739726027397</v>
      </c>
      <c r="N1028" s="67">
        <v>1983.3606782950001</v>
      </c>
      <c r="O1028" s="67">
        <v>132.22404521966601</v>
      </c>
      <c r="P1028" s="67">
        <v>96.469999790191693</v>
      </c>
      <c r="Q1028" s="68">
        <v>4.8639665415330498E-2</v>
      </c>
    </row>
    <row r="1029" spans="1:17" x14ac:dyDescent="0.35">
      <c r="A1029" s="62" t="s">
        <v>136</v>
      </c>
      <c r="B1029" s="63">
        <v>634838</v>
      </c>
      <c r="C1029" s="63" t="s">
        <v>146</v>
      </c>
      <c r="D1029" s="64">
        <v>42563</v>
      </c>
      <c r="E1029" s="63" t="s">
        <v>138</v>
      </c>
      <c r="F1029" s="65">
        <v>50781</v>
      </c>
      <c r="G1029" s="66">
        <v>9.7705496722138192E-3</v>
      </c>
      <c r="H1029" s="65">
        <v>460</v>
      </c>
      <c r="I1029" s="67">
        <v>0.71845161289937998</v>
      </c>
      <c r="J1029" s="67">
        <v>7.0196671709155298</v>
      </c>
      <c r="K1029" s="65">
        <v>56</v>
      </c>
      <c r="L1029" s="65">
        <v>17</v>
      </c>
      <c r="M1029" s="66">
        <v>0.109677419354839</v>
      </c>
      <c r="N1029" s="67">
        <v>2492.6959989146899</v>
      </c>
      <c r="O1029" s="67">
        <v>146.62917640674701</v>
      </c>
      <c r="P1029" s="67">
        <v>111.359999999404</v>
      </c>
      <c r="Q1029" s="68">
        <v>4.4674521100001599E-2</v>
      </c>
    </row>
    <row r="1030" spans="1:17" x14ac:dyDescent="0.35">
      <c r="A1030" s="62" t="s">
        <v>136</v>
      </c>
      <c r="B1030" s="63">
        <v>634838</v>
      </c>
      <c r="C1030" s="63" t="s">
        <v>146</v>
      </c>
      <c r="D1030" s="64">
        <v>42564</v>
      </c>
      <c r="E1030" s="63" t="s">
        <v>138</v>
      </c>
      <c r="F1030" s="65">
        <v>65573</v>
      </c>
      <c r="G1030" s="66">
        <v>9.5952214526275597E-3</v>
      </c>
      <c r="H1030" s="65">
        <v>196</v>
      </c>
      <c r="I1030" s="67">
        <v>0.71649005979496905</v>
      </c>
      <c r="J1030" s="67">
        <v>6.8748807923390904</v>
      </c>
      <c r="K1030" s="65">
        <v>48</v>
      </c>
      <c r="L1030" s="65">
        <v>12</v>
      </c>
      <c r="M1030" s="66">
        <v>7.9470198675496706E-2</v>
      </c>
      <c r="N1030" s="67">
        <v>939.19093405451304</v>
      </c>
      <c r="O1030" s="67">
        <v>78.265911171209396</v>
      </c>
      <c r="P1030" s="67">
        <v>108.18999902904</v>
      </c>
      <c r="Q1030" s="68">
        <v>0.11519489286590701</v>
      </c>
    </row>
    <row r="1031" spans="1:17" x14ac:dyDescent="0.35">
      <c r="A1031" s="62" t="s">
        <v>136</v>
      </c>
      <c r="B1031" s="63">
        <v>634838</v>
      </c>
      <c r="C1031" s="63" t="s">
        <v>146</v>
      </c>
      <c r="D1031" s="64">
        <v>42565</v>
      </c>
      <c r="E1031" s="63" t="s">
        <v>138</v>
      </c>
      <c r="F1031" s="65">
        <v>64221</v>
      </c>
      <c r="G1031" s="66">
        <v>1.165260318007E-2</v>
      </c>
      <c r="H1031" s="65">
        <v>169</v>
      </c>
      <c r="I1031" s="67">
        <v>0.72512314002502098</v>
      </c>
      <c r="J1031" s="67">
        <v>8.4495722073979298</v>
      </c>
      <c r="K1031" s="65">
        <v>94</v>
      </c>
      <c r="L1031" s="65">
        <v>23</v>
      </c>
      <c r="M1031" s="66">
        <v>0.11330049261083699</v>
      </c>
      <c r="N1031" s="67">
        <v>2200.79519598453</v>
      </c>
      <c r="O1031" s="67">
        <v>95.686747651501094</v>
      </c>
      <c r="P1031" s="67">
        <v>147.199997425079</v>
      </c>
      <c r="Q1031" s="68">
        <v>6.6884914004562507E-2</v>
      </c>
    </row>
    <row r="1032" spans="1:17" x14ac:dyDescent="0.35">
      <c r="A1032" s="62" t="s">
        <v>136</v>
      </c>
      <c r="B1032" s="63">
        <v>634838</v>
      </c>
      <c r="C1032" s="63" t="s">
        <v>146</v>
      </c>
      <c r="D1032" s="64">
        <v>42566</v>
      </c>
      <c r="E1032" s="63" t="s">
        <v>138</v>
      </c>
      <c r="F1032" s="65">
        <v>64166</v>
      </c>
      <c r="G1032" s="66">
        <v>8.5372142325101704E-3</v>
      </c>
      <c r="H1032" s="65">
        <v>506</v>
      </c>
      <c r="I1032" s="67">
        <v>0.69926174055009904</v>
      </c>
      <c r="J1032" s="67">
        <v>5.9697472836741401</v>
      </c>
      <c r="K1032" s="65">
        <v>73</v>
      </c>
      <c r="L1032" s="65">
        <v>37</v>
      </c>
      <c r="M1032" s="66">
        <v>0.24832214765100699</v>
      </c>
      <c r="N1032" s="67">
        <v>3336.4163002319501</v>
      </c>
      <c r="O1032" s="67">
        <v>90.1734135197824</v>
      </c>
      <c r="P1032" s="67">
        <v>104.18999934196501</v>
      </c>
      <c r="Q1032" s="68">
        <v>3.12281172270743E-2</v>
      </c>
    </row>
    <row r="1033" spans="1:17" x14ac:dyDescent="0.35">
      <c r="A1033" s="62" t="s">
        <v>136</v>
      </c>
      <c r="B1033" s="63">
        <v>634838</v>
      </c>
      <c r="C1033" s="63" t="s">
        <v>146</v>
      </c>
      <c r="D1033" s="64">
        <v>42567</v>
      </c>
      <c r="E1033" s="63" t="s">
        <v>138</v>
      </c>
      <c r="F1033" s="65">
        <v>17411</v>
      </c>
      <c r="G1033" s="66">
        <v>9.2192301682379307E-3</v>
      </c>
      <c r="H1033" s="65">
        <v>583</v>
      </c>
      <c r="I1033" s="67">
        <v>0.76141242758702399</v>
      </c>
      <c r="J1033" s="67">
        <v>7.01963642288157</v>
      </c>
      <c r="K1033" s="65">
        <v>42</v>
      </c>
      <c r="L1033" s="65">
        <v>19</v>
      </c>
      <c r="M1033" s="66">
        <v>0.10734463276836199</v>
      </c>
      <c r="N1033" s="67">
        <v>1742.8904802202201</v>
      </c>
      <c r="O1033" s="67">
        <v>91.7310779063274</v>
      </c>
      <c r="P1033" s="67">
        <v>134.76999968290301</v>
      </c>
      <c r="Q1033" s="68">
        <v>7.7325569915256298E-2</v>
      </c>
    </row>
    <row r="1034" spans="1:17" x14ac:dyDescent="0.35">
      <c r="A1034" s="62" t="s">
        <v>136</v>
      </c>
      <c r="B1034" s="63">
        <v>634838</v>
      </c>
      <c r="C1034" s="63" t="s">
        <v>146</v>
      </c>
      <c r="D1034" s="64">
        <v>42568</v>
      </c>
      <c r="E1034" s="63" t="s">
        <v>138</v>
      </c>
      <c r="F1034" s="65">
        <v>66637</v>
      </c>
      <c r="G1034" s="66">
        <v>9.0514626977091402E-3</v>
      </c>
      <c r="H1034" s="65">
        <v>440</v>
      </c>
      <c r="I1034" s="67">
        <v>0.71149484598144996</v>
      </c>
      <c r="J1034" s="67">
        <v>6.4400690580134103</v>
      </c>
      <c r="K1034" s="65">
        <v>98</v>
      </c>
      <c r="L1034" s="65">
        <v>15</v>
      </c>
      <c r="M1034" s="66">
        <v>7.2164948453608199E-2</v>
      </c>
      <c r="N1034" s="67">
        <v>2310.2255953204199</v>
      </c>
      <c r="O1034" s="67">
        <v>165.016113951459</v>
      </c>
      <c r="P1034" s="67">
        <v>138.03000012040101</v>
      </c>
      <c r="Q1034" s="68">
        <v>5.97474118544934E-2</v>
      </c>
    </row>
    <row r="1035" spans="1:17" x14ac:dyDescent="0.35">
      <c r="A1035" s="62" t="s">
        <v>136</v>
      </c>
      <c r="B1035" s="63">
        <v>634838</v>
      </c>
      <c r="C1035" s="63" t="s">
        <v>146</v>
      </c>
      <c r="D1035" s="64">
        <v>42569</v>
      </c>
      <c r="E1035" s="63" t="s">
        <v>138</v>
      </c>
      <c r="F1035" s="65">
        <v>48180</v>
      </c>
      <c r="G1035" s="66">
        <v>9.8961351580261203E-3</v>
      </c>
      <c r="H1035" s="65">
        <v>403</v>
      </c>
      <c r="I1035" s="67">
        <v>0.72445945831032499</v>
      </c>
      <c r="J1035" s="67">
        <v>7.1693487159493703</v>
      </c>
      <c r="K1035" s="65">
        <v>56</v>
      </c>
      <c r="L1035" s="65">
        <v>15</v>
      </c>
      <c r="M1035" s="66">
        <v>6.7567567567567599E-2</v>
      </c>
      <c r="N1035" s="67">
        <v>1330.0630633921101</v>
      </c>
      <c r="O1035" s="67">
        <v>88.670870892807201</v>
      </c>
      <c r="P1035" s="67">
        <v>160.82999974489201</v>
      </c>
      <c r="Q1035" s="68">
        <v>0.12091907832905401</v>
      </c>
    </row>
    <row r="1036" spans="1:17" x14ac:dyDescent="0.35">
      <c r="A1036" s="62" t="s">
        <v>136</v>
      </c>
      <c r="B1036" s="63">
        <v>634838</v>
      </c>
      <c r="C1036" s="63" t="s">
        <v>146</v>
      </c>
      <c r="D1036" s="64">
        <v>42570</v>
      </c>
      <c r="E1036" s="63" t="s">
        <v>138</v>
      </c>
      <c r="F1036" s="65">
        <v>52667</v>
      </c>
      <c r="G1036" s="66">
        <v>8.5190969757205706E-3</v>
      </c>
      <c r="H1036" s="65">
        <v>444</v>
      </c>
      <c r="I1036" s="67">
        <v>0.68205555288328101</v>
      </c>
      <c r="J1036" s="67">
        <v>5.8104973978413801</v>
      </c>
      <c r="K1036" s="65">
        <v>33</v>
      </c>
      <c r="L1036" s="65">
        <v>17</v>
      </c>
      <c r="M1036" s="66">
        <v>8.8888888888888906E-2</v>
      </c>
      <c r="N1036" s="67">
        <v>1882.14192508734</v>
      </c>
      <c r="O1036" s="67">
        <v>117.63387031795899</v>
      </c>
      <c r="P1036" s="67">
        <v>122.769999518991</v>
      </c>
      <c r="Q1036" s="68">
        <v>6.5228874551154406E-2</v>
      </c>
    </row>
    <row r="1037" spans="1:17" x14ac:dyDescent="0.35">
      <c r="A1037" s="62" t="s">
        <v>136</v>
      </c>
      <c r="B1037" s="63">
        <v>634838</v>
      </c>
      <c r="C1037" s="63" t="s">
        <v>146</v>
      </c>
      <c r="D1037" s="64">
        <v>42571</v>
      </c>
      <c r="E1037" s="63" t="s">
        <v>138</v>
      </c>
      <c r="F1037" s="65">
        <v>56975</v>
      </c>
      <c r="G1037" s="66">
        <v>8.4663640536543107E-3</v>
      </c>
      <c r="H1037" s="65">
        <v>557</v>
      </c>
      <c r="I1037" s="67">
        <v>0.56668674048170997</v>
      </c>
      <c r="J1037" s="67">
        <v>4.7977762492968798</v>
      </c>
      <c r="K1037" s="65">
        <v>85</v>
      </c>
      <c r="L1037" s="65">
        <v>29</v>
      </c>
      <c r="M1037" s="66">
        <v>0.16867469879518099</v>
      </c>
      <c r="N1037" s="67">
        <v>2195.3928951817702</v>
      </c>
      <c r="O1037" s="67">
        <v>78.406889113634705</v>
      </c>
      <c r="P1037" s="67">
        <v>94.069998919963794</v>
      </c>
      <c r="Q1037" s="68">
        <v>4.2848821787853701E-2</v>
      </c>
    </row>
    <row r="1038" spans="1:17" x14ac:dyDescent="0.35">
      <c r="A1038" s="62" t="s">
        <v>136</v>
      </c>
      <c r="B1038" s="63">
        <v>634838</v>
      </c>
      <c r="C1038" s="63" t="s">
        <v>146</v>
      </c>
      <c r="D1038" s="64">
        <v>42572</v>
      </c>
      <c r="E1038" s="63" t="s">
        <v>138</v>
      </c>
      <c r="F1038" s="65">
        <v>47524</v>
      </c>
      <c r="G1038" s="66">
        <v>9.0651829823972397E-3</v>
      </c>
      <c r="H1038" s="65">
        <v>185</v>
      </c>
      <c r="I1038" s="67">
        <v>0.56730157822843597</v>
      </c>
      <c r="J1038" s="67">
        <v>5.1426926128435104</v>
      </c>
      <c r="K1038" s="65">
        <v>85</v>
      </c>
      <c r="L1038" s="65">
        <v>17</v>
      </c>
      <c r="M1038" s="66">
        <v>7.9365079365079402E-2</v>
      </c>
      <c r="N1038" s="67">
        <v>1663.6269106367399</v>
      </c>
      <c r="O1038" s="67">
        <v>110.908460709116</v>
      </c>
      <c r="P1038" s="67">
        <v>107.219998285174</v>
      </c>
      <c r="Q1038" s="68">
        <v>6.4449545507854603E-2</v>
      </c>
    </row>
    <row r="1039" spans="1:17" x14ac:dyDescent="0.35">
      <c r="A1039" s="62" t="s">
        <v>136</v>
      </c>
      <c r="B1039" s="63">
        <v>634838</v>
      </c>
      <c r="C1039" s="63" t="s">
        <v>146</v>
      </c>
      <c r="D1039" s="64">
        <v>42573</v>
      </c>
      <c r="E1039" s="63" t="s">
        <v>138</v>
      </c>
      <c r="F1039" s="65">
        <v>60817</v>
      </c>
      <c r="G1039" s="66">
        <v>7.3906992369343E-3</v>
      </c>
      <c r="H1039" s="65">
        <v>416</v>
      </c>
      <c r="I1039" s="67">
        <v>0.56818181295673598</v>
      </c>
      <c r="J1039" s="67">
        <v>4.1992608914592902</v>
      </c>
      <c r="K1039" s="65">
        <v>87</v>
      </c>
      <c r="L1039" s="65">
        <v>36</v>
      </c>
      <c r="M1039" s="66">
        <v>0.22727272727272699</v>
      </c>
      <c r="N1039" s="67">
        <v>4375.6590426169096</v>
      </c>
      <c r="O1039" s="67">
        <v>125.018829789055</v>
      </c>
      <c r="P1039" s="67">
        <v>87.499999195337296</v>
      </c>
      <c r="Q1039" s="68">
        <v>1.9996987503625701E-2</v>
      </c>
    </row>
    <row r="1040" spans="1:17" x14ac:dyDescent="0.35">
      <c r="A1040" s="62" t="s">
        <v>136</v>
      </c>
      <c r="B1040" s="63">
        <v>634838</v>
      </c>
      <c r="C1040" s="63" t="s">
        <v>146</v>
      </c>
      <c r="D1040" s="64">
        <v>42574</v>
      </c>
      <c r="E1040" s="63" t="s">
        <v>138</v>
      </c>
      <c r="F1040" s="65">
        <v>12477</v>
      </c>
      <c r="G1040" s="66">
        <v>1.07956817273091E-2</v>
      </c>
      <c r="H1040" s="65">
        <v>390</v>
      </c>
      <c r="I1040" s="67">
        <v>0.56650792708788</v>
      </c>
      <c r="J1040" s="67">
        <v>6.1158392768383596</v>
      </c>
      <c r="K1040" s="65">
        <v>23</v>
      </c>
      <c r="L1040" s="65">
        <v>24</v>
      </c>
      <c r="M1040" s="66">
        <v>0.11640211640211599</v>
      </c>
      <c r="N1040" s="67">
        <v>1975.3219803321999</v>
      </c>
      <c r="O1040" s="67">
        <v>89.787362742372906</v>
      </c>
      <c r="P1040" s="67">
        <v>107.069998219609</v>
      </c>
      <c r="Q1040" s="68">
        <v>5.4203820585038302E-2</v>
      </c>
    </row>
    <row r="1041" spans="1:17" x14ac:dyDescent="0.35">
      <c r="A1041" s="62" t="s">
        <v>136</v>
      </c>
      <c r="B1041" s="63">
        <v>634838</v>
      </c>
      <c r="C1041" s="63" t="s">
        <v>146</v>
      </c>
      <c r="D1041" s="64">
        <v>42575</v>
      </c>
      <c r="E1041" s="63" t="s">
        <v>138</v>
      </c>
      <c r="F1041" s="65">
        <v>42456</v>
      </c>
      <c r="G1041" s="66">
        <v>9.9792339640055391E-3</v>
      </c>
      <c r="H1041" s="65">
        <v>317</v>
      </c>
      <c r="I1041" s="67">
        <v>0.60115605558274099</v>
      </c>
      <c r="J1041" s="67">
        <v>5.9990769275388898</v>
      </c>
      <c r="K1041" s="65">
        <v>42</v>
      </c>
      <c r="L1041" s="65">
        <v>26</v>
      </c>
      <c r="M1041" s="66">
        <v>0.12716763005780299</v>
      </c>
      <c r="N1041" s="67">
        <v>1551.2576908174599</v>
      </c>
      <c r="O1041" s="67">
        <v>70.511713218975203</v>
      </c>
      <c r="P1041" s="67">
        <v>103.999997615814</v>
      </c>
      <c r="Q1041" s="68">
        <v>6.7042373573026504E-2</v>
      </c>
    </row>
    <row r="1042" spans="1:17" x14ac:dyDescent="0.35">
      <c r="A1042" s="62" t="s">
        <v>136</v>
      </c>
      <c r="B1042" s="63">
        <v>634838</v>
      </c>
      <c r="C1042" s="63" t="s">
        <v>146</v>
      </c>
      <c r="D1042" s="64">
        <v>42576</v>
      </c>
      <c r="E1042" s="63" t="s">
        <v>138</v>
      </c>
      <c r="F1042" s="65">
        <v>28001</v>
      </c>
      <c r="G1042" s="66">
        <v>9.7819114817190508E-3</v>
      </c>
      <c r="H1042" s="65">
        <v>230</v>
      </c>
      <c r="I1042" s="67">
        <v>0.59999999534236903</v>
      </c>
      <c r="J1042" s="67">
        <v>5.8691468434709</v>
      </c>
      <c r="K1042" s="65">
        <v>9</v>
      </c>
      <c r="L1042" s="65">
        <v>18</v>
      </c>
      <c r="M1042" s="66">
        <v>9.8360655737704902E-2</v>
      </c>
      <c r="N1042" s="67">
        <v>1527.4440400364899</v>
      </c>
      <c r="O1042" s="67">
        <v>84.858002224249304</v>
      </c>
      <c r="P1042" s="67">
        <v>109.79999914765401</v>
      </c>
      <c r="Q1042" s="68">
        <v>7.18847933342492E-2</v>
      </c>
    </row>
    <row r="1043" spans="1:17" x14ac:dyDescent="0.35">
      <c r="A1043" s="62" t="s">
        <v>136</v>
      </c>
      <c r="B1043" s="63">
        <v>634838</v>
      </c>
      <c r="C1043" s="63" t="s">
        <v>146</v>
      </c>
      <c r="D1043" s="64">
        <v>42577</v>
      </c>
      <c r="E1043" s="63" t="s">
        <v>138</v>
      </c>
      <c r="F1043" s="65">
        <v>2547</v>
      </c>
      <c r="G1043" s="66">
        <v>1.0531539479488299E-2</v>
      </c>
      <c r="H1043" s="65">
        <v>505</v>
      </c>
      <c r="I1043" s="67">
        <v>0.63408377329716503</v>
      </c>
      <c r="J1043" s="67">
        <v>6.6778782917820099</v>
      </c>
      <c r="K1043" s="65">
        <v>89</v>
      </c>
      <c r="L1043" s="65">
        <v>17</v>
      </c>
      <c r="M1043" s="66">
        <v>8.9005235602094196E-2</v>
      </c>
      <c r="N1043" s="67">
        <v>1452.80491132107</v>
      </c>
      <c r="O1043" s="67">
        <v>85.459112430651302</v>
      </c>
      <c r="P1043" s="67">
        <v>121.110000699759</v>
      </c>
      <c r="Q1043" s="68">
        <v>8.3362879458901404E-2</v>
      </c>
    </row>
    <row r="1044" spans="1:17" x14ac:dyDescent="0.35">
      <c r="A1044" s="62" t="s">
        <v>136</v>
      </c>
      <c r="B1044" s="63">
        <v>634838</v>
      </c>
      <c r="C1044" s="63" t="s">
        <v>146</v>
      </c>
      <c r="D1044" s="64">
        <v>42578</v>
      </c>
      <c r="E1044" s="63" t="s">
        <v>138</v>
      </c>
      <c r="F1044" s="65">
        <v>67454</v>
      </c>
      <c r="G1044" s="66">
        <v>1.2272049546966399E-2</v>
      </c>
      <c r="H1044" s="65">
        <v>215</v>
      </c>
      <c r="I1044" s="67">
        <v>0.66233645191538004</v>
      </c>
      <c r="J1044" s="67">
        <v>8.1282257546674703</v>
      </c>
      <c r="K1044" s="65">
        <v>30</v>
      </c>
      <c r="L1044" s="65">
        <v>11</v>
      </c>
      <c r="M1044" s="66">
        <v>5.1401869158878503E-2</v>
      </c>
      <c r="N1044" s="67">
        <v>796.17944045243701</v>
      </c>
      <c r="O1044" s="67">
        <v>72.379949132039698</v>
      </c>
      <c r="P1044" s="67">
        <v>141.74000070989101</v>
      </c>
      <c r="Q1044" s="68">
        <v>0.178025195713853</v>
      </c>
    </row>
    <row r="1045" spans="1:17" x14ac:dyDescent="0.35">
      <c r="A1045" s="62" t="s">
        <v>136</v>
      </c>
      <c r="B1045" s="63">
        <v>634838</v>
      </c>
      <c r="C1045" s="63" t="s">
        <v>146</v>
      </c>
      <c r="D1045" s="64">
        <v>42579</v>
      </c>
      <c r="E1045" s="63" t="s">
        <v>138</v>
      </c>
      <c r="F1045" s="65">
        <v>25152</v>
      </c>
      <c r="G1045" s="66">
        <v>1.15010612567254E-2</v>
      </c>
      <c r="H1045" s="65">
        <v>179</v>
      </c>
      <c r="I1045" s="67">
        <v>0.66025752327984499</v>
      </c>
      <c r="J1045" s="67">
        <v>7.5936622204553004</v>
      </c>
      <c r="K1045" s="65">
        <v>70</v>
      </c>
      <c r="L1045" s="65">
        <v>18</v>
      </c>
      <c r="M1045" s="66">
        <v>7.2961373390557901E-2</v>
      </c>
      <c r="N1045" s="67">
        <v>1398.7509939909401</v>
      </c>
      <c r="O1045" s="67">
        <v>82.279470234761206</v>
      </c>
      <c r="P1045" s="67">
        <v>153.84000292420399</v>
      </c>
      <c r="Q1045" s="68">
        <v>0.109983838142102</v>
      </c>
    </row>
    <row r="1046" spans="1:17" x14ac:dyDescent="0.35">
      <c r="A1046" s="62" t="s">
        <v>136</v>
      </c>
      <c r="B1046" s="63">
        <v>634838</v>
      </c>
      <c r="C1046" s="63" t="s">
        <v>146</v>
      </c>
      <c r="D1046" s="64">
        <v>42580</v>
      </c>
      <c r="E1046" s="63" t="s">
        <v>138</v>
      </c>
      <c r="F1046" s="65">
        <v>18035</v>
      </c>
      <c r="G1046" s="66">
        <v>1.0228276535403801E-2</v>
      </c>
      <c r="H1046" s="65">
        <v>412</v>
      </c>
      <c r="I1046" s="67">
        <v>0.63172727579420296</v>
      </c>
      <c r="J1046" s="67">
        <v>6.4614812717804</v>
      </c>
      <c r="K1046" s="65">
        <v>48</v>
      </c>
      <c r="L1046" s="65">
        <v>20</v>
      </c>
      <c r="M1046" s="66">
        <v>8.6363636363636406E-2</v>
      </c>
      <c r="N1046" s="67">
        <v>2879.7649296495001</v>
      </c>
      <c r="O1046" s="67">
        <v>151.566575244711</v>
      </c>
      <c r="P1046" s="67">
        <v>138.98000067472501</v>
      </c>
      <c r="Q1046" s="68">
        <v>4.8260883811665801E-2</v>
      </c>
    </row>
    <row r="1047" spans="1:17" x14ac:dyDescent="0.35">
      <c r="A1047" s="62" t="s">
        <v>136</v>
      </c>
      <c r="B1047" s="63">
        <v>634838</v>
      </c>
      <c r="C1047" s="63" t="s">
        <v>146</v>
      </c>
      <c r="D1047" s="64">
        <v>42581</v>
      </c>
      <c r="E1047" s="63" t="s">
        <v>138</v>
      </c>
      <c r="F1047" s="65">
        <v>7283</v>
      </c>
      <c r="G1047" s="66">
        <v>8.2553339922097606E-3</v>
      </c>
      <c r="H1047" s="65">
        <v>225</v>
      </c>
      <c r="I1047" s="67">
        <v>0.51577465141742995</v>
      </c>
      <c r="J1047" s="67">
        <v>4.2578920121664501</v>
      </c>
      <c r="K1047" s="65">
        <v>56</v>
      </c>
      <c r="L1047" s="65">
        <v>11</v>
      </c>
      <c r="M1047" s="66">
        <v>7.0422535211267595E-2</v>
      </c>
      <c r="N1047" s="67">
        <v>1504.01936538568</v>
      </c>
      <c r="O1047" s="67">
        <v>150.40193653856801</v>
      </c>
      <c r="P1047" s="67">
        <v>73.240000501275105</v>
      </c>
      <c r="Q1047" s="68">
        <v>4.8696181835726403E-2</v>
      </c>
    </row>
    <row r="1048" spans="1:17" x14ac:dyDescent="0.35">
      <c r="A1048" s="62" t="s">
        <v>136</v>
      </c>
      <c r="B1048" s="63">
        <v>634838</v>
      </c>
      <c r="C1048" s="63" t="s">
        <v>146</v>
      </c>
      <c r="D1048" s="64">
        <v>42582</v>
      </c>
      <c r="E1048" s="63" t="s">
        <v>138</v>
      </c>
      <c r="F1048" s="65">
        <v>4397</v>
      </c>
      <c r="G1048" s="66">
        <v>7.58498505148931E-3</v>
      </c>
      <c r="H1048" s="65">
        <v>474</v>
      </c>
      <c r="I1048" s="67">
        <v>0.47547444657687699</v>
      </c>
      <c r="J1048" s="67">
        <v>3.6064665696507698</v>
      </c>
      <c r="K1048" s="65">
        <v>13</v>
      </c>
      <c r="L1048" s="65">
        <v>16</v>
      </c>
      <c r="M1048" s="66">
        <v>0.116788321167883</v>
      </c>
      <c r="N1048" s="67">
        <v>1715.18715386857</v>
      </c>
      <c r="O1048" s="67">
        <v>107.199197116786</v>
      </c>
      <c r="P1048" s="67">
        <v>65.139999181032195</v>
      </c>
      <c r="Q1048" s="68">
        <v>3.7978362322799802E-2</v>
      </c>
    </row>
    <row r="1049" spans="1:17" x14ac:dyDescent="0.35">
      <c r="A1049" s="62" t="s">
        <v>136</v>
      </c>
      <c r="B1049" s="63">
        <v>634838</v>
      </c>
      <c r="C1049" s="63" t="s">
        <v>146</v>
      </c>
      <c r="D1049" s="64">
        <v>42583</v>
      </c>
      <c r="E1049" s="63" t="s">
        <v>138</v>
      </c>
      <c r="F1049" s="65">
        <v>23634</v>
      </c>
      <c r="G1049" s="66">
        <v>9.5238095238095195E-3</v>
      </c>
      <c r="H1049" s="65">
        <v>201</v>
      </c>
      <c r="I1049" s="67">
        <v>0.46893855779530602</v>
      </c>
      <c r="J1049" s="67">
        <v>4.4660815028124397</v>
      </c>
      <c r="K1049" s="65">
        <v>53</v>
      </c>
      <c r="L1049" s="65">
        <v>14</v>
      </c>
      <c r="M1049" s="66">
        <v>7.2625698324022395E-2</v>
      </c>
      <c r="N1049" s="67">
        <v>1016.80406312898</v>
      </c>
      <c r="O1049" s="67">
        <v>78.2156971637678</v>
      </c>
      <c r="P1049" s="67">
        <v>83.940001845359802</v>
      </c>
      <c r="Q1049" s="68">
        <v>8.2552779723414696E-2</v>
      </c>
    </row>
    <row r="1050" spans="1:17" x14ac:dyDescent="0.35">
      <c r="A1050" s="62" t="s">
        <v>136</v>
      </c>
      <c r="B1050" s="63">
        <v>634838</v>
      </c>
      <c r="C1050" s="63" t="s">
        <v>146</v>
      </c>
      <c r="D1050" s="64">
        <v>42584</v>
      </c>
      <c r="E1050" s="63" t="s">
        <v>138</v>
      </c>
      <c r="F1050" s="65">
        <v>15126</v>
      </c>
      <c r="G1050" s="66">
        <v>8.3695374393048805E-3</v>
      </c>
      <c r="H1050" s="65">
        <v>542</v>
      </c>
      <c r="I1050" s="67">
        <v>0.47633587347187201</v>
      </c>
      <c r="J1050" s="67">
        <v>3.9867109267068201</v>
      </c>
      <c r="K1050" s="65">
        <v>21</v>
      </c>
      <c r="L1050" s="65">
        <v>14</v>
      </c>
      <c r="M1050" s="66">
        <v>0.106870229007634</v>
      </c>
      <c r="N1050" s="67">
        <v>813.50232140938601</v>
      </c>
      <c r="O1050" s="67">
        <v>58.107308672099002</v>
      </c>
      <c r="P1050" s="67">
        <v>62.399999424815199</v>
      </c>
      <c r="Q1050" s="68">
        <v>7.6705373522115705E-2</v>
      </c>
    </row>
    <row r="1051" spans="1:17" x14ac:dyDescent="0.35">
      <c r="A1051" s="62" t="s">
        <v>136</v>
      </c>
      <c r="B1051" s="63">
        <v>634838</v>
      </c>
      <c r="C1051" s="63" t="s">
        <v>146</v>
      </c>
      <c r="D1051" s="64">
        <v>42585</v>
      </c>
      <c r="E1051" s="63" t="s">
        <v>138</v>
      </c>
      <c r="F1051" s="65">
        <v>44990</v>
      </c>
      <c r="G1051" s="66">
        <v>9.7548453343601592E-3</v>
      </c>
      <c r="H1051" s="65">
        <v>385</v>
      </c>
      <c r="I1051" s="67">
        <v>0.48019736662114898</v>
      </c>
      <c r="J1051" s="67">
        <v>4.6842510413563501</v>
      </c>
      <c r="K1051" s="65">
        <v>16</v>
      </c>
      <c r="L1051" s="65">
        <v>19</v>
      </c>
      <c r="M1051" s="66">
        <v>0.125</v>
      </c>
      <c r="N1051" s="67">
        <v>2549.6206334550402</v>
      </c>
      <c r="O1051" s="67">
        <v>134.19055965552801</v>
      </c>
      <c r="P1051" s="67">
        <v>72.989999726414695</v>
      </c>
      <c r="Q1051" s="68">
        <v>2.8627788294725499E-2</v>
      </c>
    </row>
    <row r="1052" spans="1:17" x14ac:dyDescent="0.35">
      <c r="A1052" s="62" t="s">
        <v>136</v>
      </c>
      <c r="B1052" s="63">
        <v>634838</v>
      </c>
      <c r="C1052" s="63" t="s">
        <v>146</v>
      </c>
      <c r="D1052" s="64">
        <v>42586</v>
      </c>
      <c r="E1052" s="63" t="s">
        <v>138</v>
      </c>
      <c r="F1052" s="65">
        <v>66096</v>
      </c>
      <c r="G1052" s="66">
        <v>9.5153137079988098E-3</v>
      </c>
      <c r="H1052" s="65">
        <v>401</v>
      </c>
      <c r="I1052" s="67">
        <v>0.45593749657273303</v>
      </c>
      <c r="J1052" s="67">
        <v>4.3383883111291901</v>
      </c>
      <c r="K1052" s="65">
        <v>45</v>
      </c>
      <c r="L1052" s="65">
        <v>14</v>
      </c>
      <c r="M1052" s="66">
        <v>8.7499999999999994E-2</v>
      </c>
      <c r="N1052" s="67">
        <v>1651.36231371279</v>
      </c>
      <c r="O1052" s="67">
        <v>117.954450979485</v>
      </c>
      <c r="P1052" s="67">
        <v>72.949999451637296</v>
      </c>
      <c r="Q1052" s="68">
        <v>4.4175647491689701E-2</v>
      </c>
    </row>
    <row r="1053" spans="1:17" x14ac:dyDescent="0.35">
      <c r="A1053" s="62" t="s">
        <v>136</v>
      </c>
      <c r="B1053" s="63">
        <v>634838</v>
      </c>
      <c r="C1053" s="63" t="s">
        <v>146</v>
      </c>
      <c r="D1053" s="64">
        <v>42587</v>
      </c>
      <c r="E1053" s="63" t="s">
        <v>138</v>
      </c>
      <c r="F1053" s="65">
        <v>46598</v>
      </c>
      <c r="G1053" s="66">
        <v>1.2062209159931401E-2</v>
      </c>
      <c r="H1053" s="65">
        <v>519</v>
      </c>
      <c r="I1053" s="67">
        <v>0.46781725417539</v>
      </c>
      <c r="J1053" s="67">
        <v>5.6429095684883501</v>
      </c>
      <c r="K1053" s="65">
        <v>76</v>
      </c>
      <c r="L1053" s="65">
        <v>30</v>
      </c>
      <c r="M1053" s="66">
        <v>0.15228426395939099</v>
      </c>
      <c r="N1053" s="67">
        <v>3288.79974570474</v>
      </c>
      <c r="O1053" s="67">
        <v>109.626658190158</v>
      </c>
      <c r="P1053" s="67">
        <v>92.159999072551699</v>
      </c>
      <c r="Q1053" s="68">
        <v>2.80223808679489E-2</v>
      </c>
    </row>
    <row r="1054" spans="1:17" x14ac:dyDescent="0.35">
      <c r="A1054" s="62" t="s">
        <v>136</v>
      </c>
      <c r="B1054" s="63">
        <v>634838</v>
      </c>
      <c r="C1054" s="63" t="s">
        <v>146</v>
      </c>
      <c r="D1054" s="64">
        <v>42588</v>
      </c>
      <c r="E1054" s="63" t="s">
        <v>138</v>
      </c>
      <c r="F1054" s="65">
        <v>63059</v>
      </c>
      <c r="G1054" s="66">
        <v>9.34187675908737E-3</v>
      </c>
      <c r="H1054" s="65">
        <v>576</v>
      </c>
      <c r="I1054" s="67">
        <v>0.48679486939158201</v>
      </c>
      <c r="J1054" s="67">
        <v>4.5475776768121898</v>
      </c>
      <c r="K1054" s="65">
        <v>42</v>
      </c>
      <c r="L1054" s="65">
        <v>25</v>
      </c>
      <c r="M1054" s="66">
        <v>0.15384615384615399</v>
      </c>
      <c r="N1054" s="67">
        <v>1580.74667174604</v>
      </c>
      <c r="O1054" s="67">
        <v>65.8644446560848</v>
      </c>
      <c r="P1054" s="67">
        <v>75.939999625086799</v>
      </c>
      <c r="Q1054" s="68">
        <v>4.8040588022371898E-2</v>
      </c>
    </row>
    <row r="1055" spans="1:17" x14ac:dyDescent="0.35">
      <c r="A1055" s="62" t="s">
        <v>136</v>
      </c>
      <c r="B1055" s="63">
        <v>634838</v>
      </c>
      <c r="C1055" s="63" t="s">
        <v>146</v>
      </c>
      <c r="D1055" s="64">
        <v>42589</v>
      </c>
      <c r="E1055" s="63" t="s">
        <v>138</v>
      </c>
      <c r="F1055" s="65">
        <v>9918</v>
      </c>
      <c r="G1055" s="66">
        <v>9.6785546691693994E-3</v>
      </c>
      <c r="H1055" s="65">
        <v>420</v>
      </c>
      <c r="I1055" s="67">
        <v>0.46866666755892999</v>
      </c>
      <c r="J1055" s="67">
        <v>4.53601596358655</v>
      </c>
      <c r="K1055" s="65">
        <v>16</v>
      </c>
      <c r="L1055" s="65">
        <v>20</v>
      </c>
      <c r="M1055" s="66">
        <v>0.12121212121212099</v>
      </c>
      <c r="N1055" s="67">
        <v>1825.87517522742</v>
      </c>
      <c r="O1055" s="67">
        <v>91.293758761370896</v>
      </c>
      <c r="P1055" s="67">
        <v>77.330000147223501</v>
      </c>
      <c r="Q1055" s="68">
        <v>4.2352292860103002E-2</v>
      </c>
    </row>
    <row r="1056" spans="1:17" x14ac:dyDescent="0.35">
      <c r="A1056" s="62" t="s">
        <v>136</v>
      </c>
      <c r="B1056" s="63">
        <v>634838</v>
      </c>
      <c r="C1056" s="63" t="s">
        <v>146</v>
      </c>
      <c r="D1056" s="64">
        <v>42590</v>
      </c>
      <c r="E1056" s="63" t="s">
        <v>138</v>
      </c>
      <c r="F1056" s="65">
        <v>39371</v>
      </c>
      <c r="G1056" s="66">
        <v>1.0218668925716099E-2</v>
      </c>
      <c r="H1056" s="65">
        <v>162</v>
      </c>
      <c r="I1056" s="67">
        <v>0.48326424930070999</v>
      </c>
      <c r="J1056" s="67">
        <v>4.93831736723868</v>
      </c>
      <c r="K1056" s="65">
        <v>55</v>
      </c>
      <c r="L1056" s="65">
        <v>22</v>
      </c>
      <c r="M1056" s="66">
        <v>0.113989637305699</v>
      </c>
      <c r="N1056" s="67">
        <v>1621.14155705704</v>
      </c>
      <c r="O1056" s="67">
        <v>73.688252593501801</v>
      </c>
      <c r="P1056" s="67">
        <v>93.270000115037007</v>
      </c>
      <c r="Q1056" s="68">
        <v>5.7533532287183997E-2</v>
      </c>
    </row>
    <row r="1057" spans="1:17" x14ac:dyDescent="0.35">
      <c r="A1057" s="62" t="s">
        <v>136</v>
      </c>
      <c r="B1057" s="63">
        <v>634838</v>
      </c>
      <c r="C1057" s="63" t="s">
        <v>146</v>
      </c>
      <c r="D1057" s="64">
        <v>42591</v>
      </c>
      <c r="E1057" s="63" t="s">
        <v>138</v>
      </c>
      <c r="F1057" s="65">
        <v>34879</v>
      </c>
      <c r="G1057" s="66">
        <v>1.0672878968469E-2</v>
      </c>
      <c r="H1057" s="65">
        <v>471</v>
      </c>
      <c r="I1057" s="67">
        <v>0.48852792178011201</v>
      </c>
      <c r="J1057" s="67">
        <v>5.2139993818767998</v>
      </c>
      <c r="K1057" s="65">
        <v>74</v>
      </c>
      <c r="L1057" s="65">
        <v>21</v>
      </c>
      <c r="M1057" s="66">
        <v>9.6446700507614197E-2</v>
      </c>
      <c r="N1057" s="67">
        <v>2418.6066484262201</v>
      </c>
      <c r="O1057" s="67">
        <v>127.29508675927499</v>
      </c>
      <c r="P1057" s="67">
        <v>96.240000590682001</v>
      </c>
      <c r="Q1057" s="68">
        <v>3.97915058462711E-2</v>
      </c>
    </row>
    <row r="1058" spans="1:17" x14ac:dyDescent="0.35">
      <c r="A1058" s="62" t="s">
        <v>136</v>
      </c>
      <c r="B1058" s="63">
        <v>634838</v>
      </c>
      <c r="C1058" s="63" t="s">
        <v>146</v>
      </c>
      <c r="D1058" s="64">
        <v>42592</v>
      </c>
      <c r="E1058" s="63" t="s">
        <v>138</v>
      </c>
      <c r="F1058" s="65">
        <v>32470</v>
      </c>
      <c r="G1058" s="66">
        <v>9.8638582070382699E-3</v>
      </c>
      <c r="H1058" s="65">
        <v>197</v>
      </c>
      <c r="I1058" s="67">
        <v>0.466406243232389</v>
      </c>
      <c r="J1058" s="67">
        <v>4.6005650501216904</v>
      </c>
      <c r="K1058" s="65">
        <v>58</v>
      </c>
      <c r="L1058" s="65">
        <v>11</v>
      </c>
      <c r="M1058" s="66">
        <v>5.7291666666666699E-2</v>
      </c>
      <c r="N1058" s="67">
        <v>1123.51266407395</v>
      </c>
      <c r="O1058" s="67">
        <v>102.13751491581399</v>
      </c>
      <c r="P1058" s="67">
        <v>89.549998700618701</v>
      </c>
      <c r="Q1058" s="68">
        <v>7.9705375439118695E-2</v>
      </c>
    </row>
    <row r="1059" spans="1:17" x14ac:dyDescent="0.35">
      <c r="A1059" s="62" t="s">
        <v>136</v>
      </c>
      <c r="B1059" s="63">
        <v>634838</v>
      </c>
      <c r="C1059" s="63" t="s">
        <v>146</v>
      </c>
      <c r="D1059" s="64">
        <v>42593</v>
      </c>
      <c r="E1059" s="63" t="s">
        <v>138</v>
      </c>
      <c r="F1059" s="65">
        <v>18462</v>
      </c>
      <c r="G1059" s="66">
        <v>8.7134037044413505E-3</v>
      </c>
      <c r="H1059" s="65">
        <v>502</v>
      </c>
      <c r="I1059" s="67">
        <v>0.450800001961844</v>
      </c>
      <c r="J1059" s="67">
        <v>3.9280024070564998</v>
      </c>
      <c r="K1059" s="65">
        <v>65</v>
      </c>
      <c r="L1059" s="65">
        <v>11</v>
      </c>
      <c r="M1059" s="66">
        <v>6.2857142857142903E-2</v>
      </c>
      <c r="N1059" s="67">
        <v>896.49078742782297</v>
      </c>
      <c r="O1059" s="67">
        <v>81.499162493438504</v>
      </c>
      <c r="P1059" s="67">
        <v>78.890000343322797</v>
      </c>
      <c r="Q1059" s="68">
        <v>8.7998673772957406E-2</v>
      </c>
    </row>
    <row r="1060" spans="1:17" x14ac:dyDescent="0.35">
      <c r="A1060" s="62" t="s">
        <v>136</v>
      </c>
      <c r="B1060" s="63">
        <v>634838</v>
      </c>
      <c r="C1060" s="63" t="s">
        <v>146</v>
      </c>
      <c r="D1060" s="64">
        <v>42594</v>
      </c>
      <c r="E1060" s="63" t="s">
        <v>138</v>
      </c>
      <c r="F1060" s="65">
        <v>42945</v>
      </c>
      <c r="G1060" s="66">
        <v>9.1805974239517699E-3</v>
      </c>
      <c r="H1060" s="65">
        <v>361</v>
      </c>
      <c r="I1060" s="67">
        <v>0.46552237675557701</v>
      </c>
      <c r="J1060" s="67">
        <v>4.2737735328341504</v>
      </c>
      <c r="K1060" s="65">
        <v>89</v>
      </c>
      <c r="L1060" s="65">
        <v>34</v>
      </c>
      <c r="M1060" s="66">
        <v>0.144278606965174</v>
      </c>
      <c r="N1060" s="67">
        <v>3322.44346791001</v>
      </c>
      <c r="O1060" s="67">
        <v>114.56701613482799</v>
      </c>
      <c r="P1060" s="67">
        <v>93.569997727870899</v>
      </c>
      <c r="Q1060" s="68">
        <v>2.8163006724304399E-2</v>
      </c>
    </row>
    <row r="1061" spans="1:17" x14ac:dyDescent="0.35">
      <c r="A1061" s="62" t="s">
        <v>136</v>
      </c>
      <c r="B1061" s="63">
        <v>634838</v>
      </c>
      <c r="C1061" s="63" t="s">
        <v>146</v>
      </c>
      <c r="D1061" s="64">
        <v>42595</v>
      </c>
      <c r="E1061" s="63" t="s">
        <v>138</v>
      </c>
      <c r="F1061" s="65">
        <v>61459</v>
      </c>
      <c r="G1061" s="66">
        <v>9.1762037323435408E-3</v>
      </c>
      <c r="H1061" s="65">
        <v>463</v>
      </c>
      <c r="I1061" s="67">
        <v>0.47146067224191801</v>
      </c>
      <c r="J1061" s="67">
        <v>4.3262191802794803</v>
      </c>
      <c r="K1061" s="65">
        <v>99</v>
      </c>
      <c r="L1061" s="65">
        <v>22</v>
      </c>
      <c r="M1061" s="66">
        <v>0.117977528089888</v>
      </c>
      <c r="N1061" s="67">
        <v>2088.7222033489302</v>
      </c>
      <c r="O1061" s="67">
        <v>99.462962064234901</v>
      </c>
      <c r="P1061" s="67">
        <v>83.919999659061403</v>
      </c>
      <c r="Q1061" s="68">
        <v>4.0177673950374602E-2</v>
      </c>
    </row>
    <row r="1062" spans="1:17" x14ac:dyDescent="0.35">
      <c r="A1062" s="62" t="s">
        <v>136</v>
      </c>
      <c r="B1062" s="63">
        <v>634838</v>
      </c>
      <c r="C1062" s="63" t="s">
        <v>146</v>
      </c>
      <c r="D1062" s="64">
        <v>42596</v>
      </c>
      <c r="E1062" s="63" t="s">
        <v>138</v>
      </c>
      <c r="F1062" s="65">
        <v>57369</v>
      </c>
      <c r="G1062" s="66">
        <v>9.5627741903682208E-3</v>
      </c>
      <c r="H1062" s="65">
        <v>265</v>
      </c>
      <c r="I1062" s="67">
        <v>0.49190721330568998</v>
      </c>
      <c r="J1062" s="67">
        <v>4.7039976034556004</v>
      </c>
      <c r="K1062" s="65">
        <v>8</v>
      </c>
      <c r="L1062" s="65">
        <v>18</v>
      </c>
      <c r="M1062" s="66">
        <v>9.2783505154639206E-2</v>
      </c>
      <c r="N1062" s="67">
        <v>2331.3933081576702</v>
      </c>
      <c r="O1062" s="67">
        <v>129.521850453204</v>
      </c>
      <c r="P1062" s="67">
        <v>95.429999381303801</v>
      </c>
      <c r="Q1062" s="68">
        <v>4.09326041416474E-2</v>
      </c>
    </row>
    <row r="1063" spans="1:17" x14ac:dyDescent="0.35">
      <c r="A1063" s="62" t="s">
        <v>136</v>
      </c>
      <c r="B1063" s="63">
        <v>634838</v>
      </c>
      <c r="C1063" s="63" t="s">
        <v>146</v>
      </c>
      <c r="D1063" s="64">
        <v>42597</v>
      </c>
      <c r="E1063" s="63" t="s">
        <v>138</v>
      </c>
      <c r="F1063" s="65">
        <v>45348</v>
      </c>
      <c r="G1063" s="66">
        <v>1.0347842984842599E-2</v>
      </c>
      <c r="H1063" s="65">
        <v>474</v>
      </c>
      <c r="I1063" s="67">
        <v>0.493333331925768</v>
      </c>
      <c r="J1063" s="67">
        <v>5.1049358579570896</v>
      </c>
      <c r="K1063" s="65">
        <v>76</v>
      </c>
      <c r="L1063" s="65">
        <v>25</v>
      </c>
      <c r="M1063" s="66">
        <v>0.107981220657277</v>
      </c>
      <c r="N1063" s="67">
        <v>2309.7947672084001</v>
      </c>
      <c r="O1063" s="67">
        <v>100.425859443843</v>
      </c>
      <c r="P1063" s="67">
        <v>105.07999970018901</v>
      </c>
      <c r="Q1063" s="68">
        <v>4.54932192210252E-2</v>
      </c>
    </row>
    <row r="1064" spans="1:17" x14ac:dyDescent="0.35">
      <c r="A1064" s="62" t="s">
        <v>136</v>
      </c>
      <c r="B1064" s="63">
        <v>634838</v>
      </c>
      <c r="C1064" s="63" t="s">
        <v>146</v>
      </c>
      <c r="D1064" s="64">
        <v>42598</v>
      </c>
      <c r="E1064" s="63" t="s">
        <v>138</v>
      </c>
      <c r="F1064" s="65">
        <v>29453</v>
      </c>
      <c r="G1064" s="66">
        <v>7.9597141000649803E-3</v>
      </c>
      <c r="H1064" s="65">
        <v>480</v>
      </c>
      <c r="I1064" s="67">
        <v>0.46598639334140202</v>
      </c>
      <c r="J1064" s="67">
        <v>3.7091184655179799</v>
      </c>
      <c r="K1064" s="65">
        <v>91</v>
      </c>
      <c r="L1064" s="65">
        <v>7</v>
      </c>
      <c r="M1064" s="66">
        <v>4.08163265306122E-2</v>
      </c>
      <c r="N1064" s="67">
        <v>605.27676774584302</v>
      </c>
      <c r="O1064" s="67">
        <v>100.87946129097401</v>
      </c>
      <c r="P1064" s="67">
        <v>68.499999821186094</v>
      </c>
      <c r="Q1064" s="68">
        <v>0.113171367994665</v>
      </c>
    </row>
    <row r="1065" spans="1:17" x14ac:dyDescent="0.35">
      <c r="A1065" s="62" t="s">
        <v>136</v>
      </c>
      <c r="B1065" s="63">
        <v>634838</v>
      </c>
      <c r="C1065" s="63" t="s">
        <v>146</v>
      </c>
      <c r="D1065" s="64">
        <v>42599</v>
      </c>
      <c r="E1065" s="63" t="s">
        <v>138</v>
      </c>
      <c r="F1065" s="65">
        <v>66569</v>
      </c>
      <c r="G1065" s="66">
        <v>8.92744080030391E-3</v>
      </c>
      <c r="H1065" s="65">
        <v>368</v>
      </c>
      <c r="I1065" s="67">
        <v>0.392198575938002</v>
      </c>
      <c r="J1065" s="67">
        <v>3.5013295686500099</v>
      </c>
      <c r="K1065" s="65">
        <v>51</v>
      </c>
      <c r="L1065" s="65">
        <v>13</v>
      </c>
      <c r="M1065" s="66">
        <v>9.2198581560283696E-2</v>
      </c>
      <c r="N1065" s="67">
        <v>1118.3393829998299</v>
      </c>
      <c r="O1065" s="67">
        <v>86.026106384602002</v>
      </c>
      <c r="P1065" s="67">
        <v>55.299999207258203</v>
      </c>
      <c r="Q1065" s="68">
        <v>4.94483160012857E-2</v>
      </c>
    </row>
    <row r="1066" spans="1:17" x14ac:dyDescent="0.35">
      <c r="A1066" s="62" t="s">
        <v>136</v>
      </c>
      <c r="B1066" s="63">
        <v>634838</v>
      </c>
      <c r="C1066" s="63" t="s">
        <v>146</v>
      </c>
      <c r="D1066" s="64">
        <v>42600</v>
      </c>
      <c r="E1066" s="63" t="s">
        <v>138</v>
      </c>
      <c r="F1066" s="65">
        <v>49386</v>
      </c>
      <c r="G1066" s="66">
        <v>1.1545352000530799E-2</v>
      </c>
      <c r="H1066" s="65">
        <v>293</v>
      </c>
      <c r="I1066" s="67">
        <v>0.34195402050497897</v>
      </c>
      <c r="J1066" s="67">
        <v>3.9479795347267199</v>
      </c>
      <c r="K1066" s="65">
        <v>22</v>
      </c>
      <c r="L1066" s="65">
        <v>9</v>
      </c>
      <c r="M1066" s="66">
        <v>5.1724137931034503E-2</v>
      </c>
      <c r="N1066" s="67">
        <v>581.55646260842605</v>
      </c>
      <c r="O1066" s="67">
        <v>64.617384734269507</v>
      </c>
      <c r="P1066" s="67">
        <v>59.499999567866297</v>
      </c>
      <c r="Q1066" s="68">
        <v>0.102311647094409</v>
      </c>
    </row>
    <row r="1067" spans="1:17" x14ac:dyDescent="0.35">
      <c r="A1067" s="62" t="s">
        <v>136</v>
      </c>
      <c r="B1067" s="63">
        <v>634838</v>
      </c>
      <c r="C1067" s="63" t="s">
        <v>146</v>
      </c>
      <c r="D1067" s="64">
        <v>42601</v>
      </c>
      <c r="E1067" s="63" t="s">
        <v>138</v>
      </c>
      <c r="F1067" s="65">
        <v>65554</v>
      </c>
      <c r="G1067" s="66">
        <v>8.5884988797610192E-3</v>
      </c>
      <c r="H1067" s="65">
        <v>468</v>
      </c>
      <c r="I1067" s="67">
        <v>0.34855072146308602</v>
      </c>
      <c r="J1067" s="67">
        <v>2.9935274808256098</v>
      </c>
      <c r="K1067" s="65">
        <v>74</v>
      </c>
      <c r="L1067" s="65">
        <v>19</v>
      </c>
      <c r="M1067" s="66">
        <v>0.13768115942028999</v>
      </c>
      <c r="N1067" s="67">
        <v>1458.22556681994</v>
      </c>
      <c r="O1067" s="67">
        <v>76.748714043154706</v>
      </c>
      <c r="P1067" s="67">
        <v>48.099999561905904</v>
      </c>
      <c r="Q1067" s="68">
        <v>3.2985294357992301E-2</v>
      </c>
    </row>
    <row r="1068" spans="1:17" x14ac:dyDescent="0.35">
      <c r="A1068" s="62" t="s">
        <v>136</v>
      </c>
      <c r="B1068" s="63">
        <v>634838</v>
      </c>
      <c r="C1068" s="63" t="s">
        <v>146</v>
      </c>
      <c r="D1068" s="64">
        <v>42602</v>
      </c>
      <c r="E1068" s="63" t="s">
        <v>138</v>
      </c>
      <c r="F1068" s="65">
        <v>63860</v>
      </c>
      <c r="G1068" s="66">
        <v>8.7734898334222503E-3</v>
      </c>
      <c r="H1068" s="65">
        <v>416</v>
      </c>
      <c r="I1068" s="67">
        <v>0.35513513817175002</v>
      </c>
      <c r="J1068" s="67">
        <v>3.1157745242408601</v>
      </c>
      <c r="K1068" s="65">
        <v>17</v>
      </c>
      <c r="L1068" s="65">
        <v>15</v>
      </c>
      <c r="M1068" s="66">
        <v>9.45945945945946E-2</v>
      </c>
      <c r="N1068" s="67">
        <v>2014.1403229817499</v>
      </c>
      <c r="O1068" s="67">
        <v>143.86716592726799</v>
      </c>
      <c r="P1068" s="67">
        <v>52.560000449419</v>
      </c>
      <c r="Q1068" s="68">
        <v>2.6095500819728699E-2</v>
      </c>
    </row>
    <row r="1069" spans="1:17" x14ac:dyDescent="0.35">
      <c r="A1069" s="62" t="s">
        <v>136</v>
      </c>
      <c r="B1069" s="63">
        <v>634838</v>
      </c>
      <c r="C1069" s="63" t="s">
        <v>146</v>
      </c>
      <c r="D1069" s="64">
        <v>42603</v>
      </c>
      <c r="E1069" s="63" t="s">
        <v>138</v>
      </c>
      <c r="F1069" s="65">
        <v>33659</v>
      </c>
      <c r="G1069" s="66">
        <v>8.8336960696453696E-3</v>
      </c>
      <c r="H1069" s="65">
        <v>160</v>
      </c>
      <c r="I1069" s="67">
        <v>0.36855072690092999</v>
      </c>
      <c r="J1069" s="67">
        <v>3.2556651076896901</v>
      </c>
      <c r="K1069" s="65">
        <v>52</v>
      </c>
      <c r="L1069" s="65">
        <v>17</v>
      </c>
      <c r="M1069" s="66">
        <v>0.123188405797101</v>
      </c>
      <c r="N1069" s="67">
        <v>1234.5663065087199</v>
      </c>
      <c r="O1069" s="67">
        <v>72.6215474416897</v>
      </c>
      <c r="P1069" s="67">
        <v>50.860000312328303</v>
      </c>
      <c r="Q1069" s="68">
        <v>4.1196653467853998E-2</v>
      </c>
    </row>
    <row r="1070" spans="1:17" x14ac:dyDescent="0.35">
      <c r="A1070" s="62" t="s">
        <v>136</v>
      </c>
      <c r="B1070" s="63">
        <v>634838</v>
      </c>
      <c r="C1070" s="63" t="s">
        <v>146</v>
      </c>
      <c r="D1070" s="64">
        <v>42604</v>
      </c>
      <c r="E1070" s="63" t="s">
        <v>138</v>
      </c>
      <c r="F1070" s="65">
        <v>51458</v>
      </c>
      <c r="G1070" s="66">
        <v>1.02544625902013E-2</v>
      </c>
      <c r="H1070" s="65">
        <v>468</v>
      </c>
      <c r="I1070" s="67">
        <v>0.36487653823914401</v>
      </c>
      <c r="J1070" s="67">
        <v>3.7416128114154499</v>
      </c>
      <c r="K1070" s="65">
        <v>64</v>
      </c>
      <c r="L1070" s="65">
        <v>15</v>
      </c>
      <c r="M1070" s="66">
        <v>9.2592592592592601E-2</v>
      </c>
      <c r="N1070" s="67">
        <v>1008.3203908595</v>
      </c>
      <c r="O1070" s="67">
        <v>67.221359390633296</v>
      </c>
      <c r="P1070" s="67">
        <v>59.109999194741199</v>
      </c>
      <c r="Q1070" s="68">
        <v>5.8622239251112901E-2</v>
      </c>
    </row>
    <row r="1071" spans="1:17" x14ac:dyDescent="0.35">
      <c r="A1071" s="62" t="s">
        <v>136</v>
      </c>
      <c r="B1071" s="63">
        <v>634838</v>
      </c>
      <c r="C1071" s="63" t="s">
        <v>146</v>
      </c>
      <c r="D1071" s="64">
        <v>42605</v>
      </c>
      <c r="E1071" s="63" t="s">
        <v>138</v>
      </c>
      <c r="F1071" s="65">
        <v>27865</v>
      </c>
      <c r="G1071" s="66">
        <v>8.6520285007997706E-3</v>
      </c>
      <c r="H1071" s="65">
        <v>174</v>
      </c>
      <c r="I1071" s="67">
        <v>0.38588234932482701</v>
      </c>
      <c r="J1071" s="67">
        <v>3.33866508431398</v>
      </c>
      <c r="K1071" s="65">
        <v>34</v>
      </c>
      <c r="L1071" s="65">
        <v>13</v>
      </c>
      <c r="M1071" s="66">
        <v>0.109243697478992</v>
      </c>
      <c r="N1071" s="67">
        <v>1779.18608465325</v>
      </c>
      <c r="O1071" s="67">
        <v>136.86046805025001</v>
      </c>
      <c r="P1071" s="67">
        <v>45.9199995696545</v>
      </c>
      <c r="Q1071" s="68">
        <v>2.5809554135875601E-2</v>
      </c>
    </row>
    <row r="1072" spans="1:17" x14ac:dyDescent="0.35">
      <c r="A1072" s="62" t="s">
        <v>136</v>
      </c>
      <c r="B1072" s="63">
        <v>634838</v>
      </c>
      <c r="C1072" s="63" t="s">
        <v>146</v>
      </c>
      <c r="D1072" s="64">
        <v>42606</v>
      </c>
      <c r="E1072" s="63" t="s">
        <v>138</v>
      </c>
      <c r="F1072" s="65">
        <v>50483</v>
      </c>
      <c r="G1072" s="66">
        <v>1.0390428211586899E-2</v>
      </c>
      <c r="H1072" s="65">
        <v>412</v>
      </c>
      <c r="I1072" s="67">
        <v>0.43295454476593098</v>
      </c>
      <c r="J1072" s="67">
        <v>4.4985831162706997</v>
      </c>
      <c r="K1072" s="65">
        <v>73</v>
      </c>
      <c r="L1072" s="65">
        <v>35</v>
      </c>
      <c r="M1072" s="66">
        <v>0.26515151515151503</v>
      </c>
      <c r="N1072" s="67">
        <v>3814.3645156805101</v>
      </c>
      <c r="O1072" s="67">
        <v>108.981843305157</v>
      </c>
      <c r="P1072" s="67">
        <v>57.149999909102903</v>
      </c>
      <c r="Q1072" s="68">
        <v>1.4982836505049399E-2</v>
      </c>
    </row>
    <row r="1073" spans="1:17" x14ac:dyDescent="0.35">
      <c r="A1073" s="62" t="s">
        <v>136</v>
      </c>
      <c r="B1073" s="63">
        <v>634838</v>
      </c>
      <c r="C1073" s="63" t="s">
        <v>146</v>
      </c>
      <c r="D1073" s="64">
        <v>42607</v>
      </c>
      <c r="E1073" s="63" t="s">
        <v>138</v>
      </c>
      <c r="F1073" s="65">
        <v>37351</v>
      </c>
      <c r="G1073" s="66">
        <v>9.7479247582057706E-3</v>
      </c>
      <c r="H1073" s="65">
        <v>175</v>
      </c>
      <c r="I1073" s="67">
        <v>0.402109371032566</v>
      </c>
      <c r="J1073" s="67">
        <v>3.9197318933948999</v>
      </c>
      <c r="K1073" s="65">
        <v>32</v>
      </c>
      <c r="L1073" s="65">
        <v>12</v>
      </c>
      <c r="M1073" s="66">
        <v>9.375E-2</v>
      </c>
      <c r="N1073" s="67">
        <v>700.25003784832302</v>
      </c>
      <c r="O1073" s="67">
        <v>58.3541698206935</v>
      </c>
      <c r="P1073" s="67">
        <v>51.469999492168398</v>
      </c>
      <c r="Q1073" s="68">
        <v>7.3502315901790904E-2</v>
      </c>
    </row>
    <row r="1074" spans="1:17" x14ac:dyDescent="0.35">
      <c r="A1074" s="62" t="s">
        <v>136</v>
      </c>
      <c r="B1074" s="63">
        <v>634838</v>
      </c>
      <c r="C1074" s="63" t="s">
        <v>146</v>
      </c>
      <c r="D1074" s="64">
        <v>42608</v>
      </c>
      <c r="E1074" s="63" t="s">
        <v>138</v>
      </c>
      <c r="F1074" s="65">
        <v>8086</v>
      </c>
      <c r="G1074" s="66">
        <v>8.0261975086682903E-3</v>
      </c>
      <c r="H1074" s="65">
        <v>381</v>
      </c>
      <c r="I1074" s="67">
        <v>0.390719989418983</v>
      </c>
      <c r="J1074" s="67">
        <v>3.1359958056615498</v>
      </c>
      <c r="K1074" s="65">
        <v>36</v>
      </c>
      <c r="L1074" s="65">
        <v>31</v>
      </c>
      <c r="M1074" s="66">
        <v>0.248</v>
      </c>
      <c r="N1074" s="67">
        <v>3061.3352500440601</v>
      </c>
      <c r="O1074" s="67">
        <v>98.752750001421205</v>
      </c>
      <c r="P1074" s="67">
        <v>48.839998677372897</v>
      </c>
      <c r="Q1074" s="68">
        <v>1.59538223318305E-2</v>
      </c>
    </row>
    <row r="1075" spans="1:17" x14ac:dyDescent="0.35">
      <c r="A1075" s="62" t="s">
        <v>136</v>
      </c>
      <c r="B1075" s="63">
        <v>634838</v>
      </c>
      <c r="C1075" s="63" t="s">
        <v>146</v>
      </c>
      <c r="D1075" s="64">
        <v>42609</v>
      </c>
      <c r="E1075" s="63" t="s">
        <v>138</v>
      </c>
      <c r="F1075" s="65">
        <v>35267</v>
      </c>
      <c r="G1075" s="66">
        <v>9.3128263016791293E-3</v>
      </c>
      <c r="H1075" s="65">
        <v>358</v>
      </c>
      <c r="I1075" s="67">
        <v>0.40765151629845298</v>
      </c>
      <c r="J1075" s="67">
        <v>3.7963877629036098</v>
      </c>
      <c r="K1075" s="65">
        <v>68</v>
      </c>
      <c r="L1075" s="65">
        <v>18</v>
      </c>
      <c r="M1075" s="66">
        <v>0.13636363636363599</v>
      </c>
      <c r="N1075" s="67">
        <v>1869.63270976433</v>
      </c>
      <c r="O1075" s="67">
        <v>103.868483875796</v>
      </c>
      <c r="P1075" s="67">
        <v>53.810000151395798</v>
      </c>
      <c r="Q1075" s="68">
        <v>2.8781054091730499E-2</v>
      </c>
    </row>
    <row r="1076" spans="1:17" x14ac:dyDescent="0.35">
      <c r="A1076" s="62" t="s">
        <v>136</v>
      </c>
      <c r="B1076" s="63">
        <v>634838</v>
      </c>
      <c r="C1076" s="63" t="s">
        <v>146</v>
      </c>
      <c r="D1076" s="64">
        <v>42610</v>
      </c>
      <c r="E1076" s="63" t="s">
        <v>138</v>
      </c>
      <c r="F1076" s="65">
        <v>58574</v>
      </c>
      <c r="G1076" s="66">
        <v>9.4261512005604699E-3</v>
      </c>
      <c r="H1076" s="65">
        <v>370</v>
      </c>
      <c r="I1076" s="67">
        <v>0.46398649002249198</v>
      </c>
      <c r="J1076" s="67">
        <v>4.3736068099693499</v>
      </c>
      <c r="K1076" s="65">
        <v>71</v>
      </c>
      <c r="L1076" s="65">
        <v>16</v>
      </c>
      <c r="M1076" s="66">
        <v>0.101351351351351</v>
      </c>
      <c r="N1076" s="67">
        <v>1197.0598102746501</v>
      </c>
      <c r="O1076" s="67">
        <v>79.803987351643599</v>
      </c>
      <c r="P1076" s="67">
        <v>68.670000523328795</v>
      </c>
      <c r="Q1076" s="68">
        <v>5.7365555115891101E-2</v>
      </c>
    </row>
    <row r="1077" spans="1:17" x14ac:dyDescent="0.35">
      <c r="A1077" s="62" t="s">
        <v>136</v>
      </c>
      <c r="B1077" s="63">
        <v>634838</v>
      </c>
      <c r="C1077" s="63" t="s">
        <v>146</v>
      </c>
      <c r="D1077" s="64">
        <v>42611</v>
      </c>
      <c r="E1077" s="63" t="s">
        <v>138</v>
      </c>
      <c r="F1077" s="65">
        <v>47700</v>
      </c>
      <c r="G1077" s="66">
        <v>1.01022395326193E-2</v>
      </c>
      <c r="H1077" s="65">
        <v>372</v>
      </c>
      <c r="I1077" s="67">
        <v>0.45427710823265899</v>
      </c>
      <c r="J1077" s="67">
        <v>4.5892161615519296</v>
      </c>
      <c r="K1077" s="65">
        <v>72</v>
      </c>
      <c r="L1077" s="65">
        <v>26</v>
      </c>
      <c r="M1077" s="66">
        <v>0.15060240963855401</v>
      </c>
      <c r="N1077" s="67">
        <v>2032.4039689465501</v>
      </c>
      <c r="O1077" s="67">
        <v>81.296158757861804</v>
      </c>
      <c r="P1077" s="67">
        <v>75.409999966621399</v>
      </c>
      <c r="Q1077" s="68">
        <v>3.71038440776656E-2</v>
      </c>
    </row>
    <row r="1078" spans="1:17" x14ac:dyDescent="0.35">
      <c r="A1078" s="62" t="s">
        <v>136</v>
      </c>
      <c r="B1078" s="63">
        <v>634838</v>
      </c>
      <c r="C1078" s="63" t="s">
        <v>146</v>
      </c>
      <c r="D1078" s="64">
        <v>42612</v>
      </c>
      <c r="E1078" s="63" t="s">
        <v>138</v>
      </c>
      <c r="F1078" s="65">
        <v>61536</v>
      </c>
      <c r="G1078" s="66">
        <v>9.0090090090090107E-3</v>
      </c>
      <c r="H1078" s="65">
        <v>588</v>
      </c>
      <c r="I1078" s="67">
        <v>0.46525974794254699</v>
      </c>
      <c r="J1078" s="67">
        <v>4.1915292607436596</v>
      </c>
      <c r="K1078" s="65">
        <v>32</v>
      </c>
      <c r="L1078" s="65">
        <v>15</v>
      </c>
      <c r="M1078" s="66">
        <v>9.7402597402597393E-2</v>
      </c>
      <c r="N1078" s="67">
        <v>1470.4259450445099</v>
      </c>
      <c r="O1078" s="67">
        <v>98.028396336300602</v>
      </c>
      <c r="P1078" s="67">
        <v>71.650001183152199</v>
      </c>
      <c r="Q1078" s="68">
        <v>4.87273782298389E-2</v>
      </c>
    </row>
    <row r="1079" spans="1:17" x14ac:dyDescent="0.35">
      <c r="A1079" s="62" t="s">
        <v>136</v>
      </c>
      <c r="B1079" s="63">
        <v>634838</v>
      </c>
      <c r="C1079" s="63" t="s">
        <v>146</v>
      </c>
      <c r="D1079" s="64">
        <v>42613</v>
      </c>
      <c r="E1079" s="63" t="s">
        <v>138</v>
      </c>
      <c r="F1079" s="65">
        <v>66590</v>
      </c>
      <c r="G1079" s="66">
        <v>8.3337756781145505E-3</v>
      </c>
      <c r="H1079" s="65">
        <v>217</v>
      </c>
      <c r="I1079" s="67">
        <v>0.43745222811106699</v>
      </c>
      <c r="J1079" s="67">
        <v>3.6456287389690298</v>
      </c>
      <c r="K1079" s="65">
        <v>79</v>
      </c>
      <c r="L1079" s="65">
        <v>22</v>
      </c>
      <c r="M1079" s="66">
        <v>0.14012738853503201</v>
      </c>
      <c r="N1079" s="67">
        <v>3039.1015840370201</v>
      </c>
      <c r="O1079" s="67">
        <v>138.140981092592</v>
      </c>
      <c r="P1079" s="67">
        <v>68.679999813437504</v>
      </c>
      <c r="Q1079" s="68">
        <v>2.25987838557886E-2</v>
      </c>
    </row>
    <row r="1080" spans="1:17" x14ac:dyDescent="0.35">
      <c r="A1080" s="62" t="s">
        <v>136</v>
      </c>
      <c r="B1080" s="63">
        <v>634838</v>
      </c>
      <c r="C1080" s="63" t="s">
        <v>146</v>
      </c>
      <c r="D1080" s="64">
        <v>42614</v>
      </c>
      <c r="E1080" s="63" t="s">
        <v>138</v>
      </c>
      <c r="F1080" s="65">
        <v>17335</v>
      </c>
      <c r="G1080" s="66">
        <v>9.5828275729891998E-3</v>
      </c>
      <c r="H1080" s="65">
        <v>437</v>
      </c>
      <c r="I1080" s="67">
        <v>0.48226666569709797</v>
      </c>
      <c r="J1080" s="67">
        <v>4.6214783015757197</v>
      </c>
      <c r="K1080" s="65">
        <v>55</v>
      </c>
      <c r="L1080" s="65">
        <v>18</v>
      </c>
      <c r="M1080" s="66">
        <v>0.11333333333333299</v>
      </c>
      <c r="N1080" s="67">
        <v>1739.1304415110601</v>
      </c>
      <c r="O1080" s="67">
        <v>102.30179067712101</v>
      </c>
      <c r="P1080" s="67">
        <v>72.339999854564695</v>
      </c>
      <c r="Q1080" s="68">
        <v>4.1595499755447497E-2</v>
      </c>
    </row>
    <row r="1081" spans="1:17" x14ac:dyDescent="0.35">
      <c r="A1081" s="62" t="s">
        <v>136</v>
      </c>
      <c r="B1081" s="63">
        <v>634838</v>
      </c>
      <c r="C1081" s="63" t="s">
        <v>146</v>
      </c>
      <c r="D1081" s="64">
        <v>42615</v>
      </c>
      <c r="E1081" s="63" t="s">
        <v>138</v>
      </c>
      <c r="F1081" s="65">
        <v>27831</v>
      </c>
      <c r="G1081" s="66">
        <v>1.0364612252452301E-2</v>
      </c>
      <c r="H1081" s="65">
        <v>269</v>
      </c>
      <c r="I1081" s="67">
        <v>0.45357142637173298</v>
      </c>
      <c r="J1081" s="67">
        <v>4.7010919631347496</v>
      </c>
      <c r="K1081" s="65">
        <v>17</v>
      </c>
      <c r="L1081" s="65">
        <v>33</v>
      </c>
      <c r="M1081" s="66">
        <v>0.18452380952381001</v>
      </c>
      <c r="N1081" s="67">
        <v>2675.7650428352799</v>
      </c>
      <c r="O1081" s="67">
        <v>86.315001381783205</v>
      </c>
      <c r="P1081" s="67">
        <v>76.199999630451202</v>
      </c>
      <c r="Q1081" s="68">
        <v>2.8477836585273801E-2</v>
      </c>
    </row>
    <row r="1082" spans="1:17" x14ac:dyDescent="0.35">
      <c r="A1082" s="62" t="s">
        <v>136</v>
      </c>
      <c r="B1082" s="63">
        <v>634838</v>
      </c>
      <c r="C1082" s="63" t="s">
        <v>146</v>
      </c>
      <c r="D1082" s="64">
        <v>42616</v>
      </c>
      <c r="E1082" s="63" t="s">
        <v>138</v>
      </c>
      <c r="F1082" s="65">
        <v>23761</v>
      </c>
      <c r="G1082" s="66">
        <v>9.4280719280719297E-3</v>
      </c>
      <c r="H1082" s="65">
        <v>564</v>
      </c>
      <c r="I1082" s="67">
        <v>0.41754966105846397</v>
      </c>
      <c r="J1082" s="67">
        <v>3.93668823800125</v>
      </c>
      <c r="K1082" s="65">
        <v>68</v>
      </c>
      <c r="L1082" s="65">
        <v>12</v>
      </c>
      <c r="M1082" s="66">
        <v>7.9470198675496706E-2</v>
      </c>
      <c r="N1082" s="67">
        <v>1689.0378229222099</v>
      </c>
      <c r="O1082" s="67">
        <v>140.75315191018501</v>
      </c>
      <c r="P1082" s="67">
        <v>63.049998819827998</v>
      </c>
      <c r="Q1082" s="68">
        <v>3.73289443043643E-2</v>
      </c>
    </row>
    <row r="1083" spans="1:17" x14ac:dyDescent="0.35">
      <c r="A1083" s="62" t="s">
        <v>136</v>
      </c>
      <c r="B1083" s="63">
        <v>634838</v>
      </c>
      <c r="C1083" s="63" t="s">
        <v>146</v>
      </c>
      <c r="D1083" s="64">
        <v>42617</v>
      </c>
      <c r="E1083" s="63" t="s">
        <v>138</v>
      </c>
      <c r="F1083" s="65">
        <v>16548</v>
      </c>
      <c r="G1083" s="66">
        <v>8.6069681070565403E-3</v>
      </c>
      <c r="H1083" s="65">
        <v>291</v>
      </c>
      <c r="I1083" s="67">
        <v>0.41636986316066898</v>
      </c>
      <c r="J1083" s="67">
        <v>3.5836821329633701</v>
      </c>
      <c r="K1083" s="65">
        <v>73</v>
      </c>
      <c r="L1083" s="65">
        <v>23</v>
      </c>
      <c r="M1083" s="66">
        <v>0.15753424657534201</v>
      </c>
      <c r="N1083" s="67">
        <v>2137.84283016375</v>
      </c>
      <c r="O1083" s="67">
        <v>92.949688267989302</v>
      </c>
      <c r="P1083" s="67">
        <v>60.790000021457701</v>
      </c>
      <c r="Q1083" s="68">
        <v>2.8435205415358499E-2</v>
      </c>
    </row>
    <row r="1084" spans="1:17" x14ac:dyDescent="0.35">
      <c r="A1084" s="62" t="s">
        <v>136</v>
      </c>
      <c r="B1084" s="63">
        <v>634838</v>
      </c>
      <c r="C1084" s="63" t="s">
        <v>146</v>
      </c>
      <c r="D1084" s="64">
        <v>42618</v>
      </c>
      <c r="E1084" s="63" t="s">
        <v>138</v>
      </c>
      <c r="F1084" s="65">
        <v>20762</v>
      </c>
      <c r="G1084" s="66">
        <v>1.0150600411331499E-2</v>
      </c>
      <c r="H1084" s="65">
        <v>383</v>
      </c>
      <c r="I1084" s="67">
        <v>0.42124182482560502</v>
      </c>
      <c r="J1084" s="67">
        <v>4.2758574403448204</v>
      </c>
      <c r="K1084" s="65">
        <v>91</v>
      </c>
      <c r="L1084" s="65">
        <v>23</v>
      </c>
      <c r="M1084" s="66">
        <v>0.14379084967320299</v>
      </c>
      <c r="N1084" s="67">
        <v>2445.3655753946</v>
      </c>
      <c r="O1084" s="67">
        <v>111.15298069975501</v>
      </c>
      <c r="P1084" s="67">
        <v>64.449999198317499</v>
      </c>
      <c r="Q1084" s="68">
        <v>2.6355977137658599E-2</v>
      </c>
    </row>
    <row r="1085" spans="1:17" x14ac:dyDescent="0.35">
      <c r="A1085" s="62" t="s">
        <v>136</v>
      </c>
      <c r="B1085" s="63">
        <v>634838</v>
      </c>
      <c r="C1085" s="63" t="s">
        <v>146</v>
      </c>
      <c r="D1085" s="64">
        <v>42619</v>
      </c>
      <c r="E1085" s="63" t="s">
        <v>138</v>
      </c>
      <c r="F1085" s="65">
        <v>6733</v>
      </c>
      <c r="G1085" s="66">
        <v>9.8050139275766002E-3</v>
      </c>
      <c r="H1085" s="65">
        <v>252</v>
      </c>
      <c r="I1085" s="67">
        <v>0.49534090489826399</v>
      </c>
      <c r="J1085" s="67">
        <v>4.8568244714258801</v>
      </c>
      <c r="K1085" s="65">
        <v>65</v>
      </c>
      <c r="L1085" s="65">
        <v>18</v>
      </c>
      <c r="M1085" s="66">
        <v>9.6590909090909102E-2</v>
      </c>
      <c r="N1085" s="67">
        <v>2019.7548459621</v>
      </c>
      <c r="O1085" s="67">
        <v>118.809108586006</v>
      </c>
      <c r="P1085" s="67">
        <v>87.179999262094498</v>
      </c>
      <c r="Q1085" s="68">
        <v>4.31636539634426E-2</v>
      </c>
    </row>
    <row r="1086" spans="1:17" x14ac:dyDescent="0.35">
      <c r="A1086" s="62" t="s">
        <v>136</v>
      </c>
      <c r="B1086" s="63">
        <v>634838</v>
      </c>
      <c r="C1086" s="63" t="s">
        <v>146</v>
      </c>
      <c r="D1086" s="64">
        <v>42620</v>
      </c>
      <c r="E1086" s="63" t="s">
        <v>138</v>
      </c>
      <c r="F1086" s="65">
        <v>54386</v>
      </c>
      <c r="G1086" s="66">
        <v>8.1865100551699599E-3</v>
      </c>
      <c r="H1086" s="65">
        <v>334</v>
      </c>
      <c r="I1086" s="67">
        <v>0.49847826124101402</v>
      </c>
      <c r="J1086" s="67">
        <v>4.0807972979332003</v>
      </c>
      <c r="K1086" s="65">
        <v>61</v>
      </c>
      <c r="L1086" s="65">
        <v>24</v>
      </c>
      <c r="M1086" s="66">
        <v>0.15942028985507201</v>
      </c>
      <c r="N1086" s="67">
        <v>2094.4968749316399</v>
      </c>
      <c r="O1086" s="67">
        <v>95.204403405983598</v>
      </c>
      <c r="P1086" s="67">
        <v>68.790000051259995</v>
      </c>
      <c r="Q1086" s="68">
        <v>3.2843209686577002E-2</v>
      </c>
    </row>
    <row r="1087" spans="1:17" x14ac:dyDescent="0.35">
      <c r="A1087" s="62" t="s">
        <v>136</v>
      </c>
      <c r="B1087" s="63">
        <v>634838</v>
      </c>
      <c r="C1087" s="63" t="s">
        <v>146</v>
      </c>
      <c r="D1087" s="64">
        <v>42621</v>
      </c>
      <c r="E1087" s="63" t="s">
        <v>138</v>
      </c>
      <c r="F1087" s="65">
        <v>65441</v>
      </c>
      <c r="G1087" s="66">
        <v>9.3169877408055997E-3</v>
      </c>
      <c r="H1087" s="65">
        <v>576</v>
      </c>
      <c r="I1087" s="67">
        <v>0.51571427845865303</v>
      </c>
      <c r="J1087" s="67">
        <v>4.8049036101576696</v>
      </c>
      <c r="K1087" s="65">
        <v>12</v>
      </c>
      <c r="L1087" s="65">
        <v>15</v>
      </c>
      <c r="M1087" s="66">
        <v>9.7744360902255606E-2</v>
      </c>
      <c r="N1087" s="67">
        <v>1415.3364682620199</v>
      </c>
      <c r="O1087" s="67">
        <v>108.87203602015499</v>
      </c>
      <c r="P1087" s="67">
        <v>68.589999035000801</v>
      </c>
      <c r="Q1087" s="68">
        <v>4.8461973935587703E-2</v>
      </c>
    </row>
    <row r="1088" spans="1:17" x14ac:dyDescent="0.35">
      <c r="A1088" s="62" t="s">
        <v>136</v>
      </c>
      <c r="B1088" s="63">
        <v>634838</v>
      </c>
      <c r="C1088" s="63" t="s">
        <v>146</v>
      </c>
      <c r="D1088" s="64">
        <v>42622</v>
      </c>
      <c r="E1088" s="63" t="s">
        <v>138</v>
      </c>
      <c r="F1088" s="65">
        <v>16652</v>
      </c>
      <c r="G1088" s="66">
        <v>7.7403245942571797E-3</v>
      </c>
      <c r="H1088" s="65">
        <v>202</v>
      </c>
      <c r="I1088" s="67">
        <v>0.50749999849546301</v>
      </c>
      <c r="J1088" s="67">
        <v>3.9282147199399202</v>
      </c>
      <c r="K1088" s="65">
        <v>97</v>
      </c>
      <c r="L1088" s="65">
        <v>29</v>
      </c>
      <c r="M1088" s="66">
        <v>0.233870967741935</v>
      </c>
      <c r="N1088" s="67">
        <v>3144.7217527316002</v>
      </c>
      <c r="O1088" s="67">
        <v>108.438681128676</v>
      </c>
      <c r="P1088" s="67">
        <v>62.929999813437497</v>
      </c>
      <c r="Q1088" s="68">
        <v>2.00113093499527E-2</v>
      </c>
    </row>
    <row r="1089" spans="1:17" x14ac:dyDescent="0.35">
      <c r="A1089" s="62" t="s">
        <v>136</v>
      </c>
      <c r="B1089" s="63">
        <v>634838</v>
      </c>
      <c r="C1089" s="63" t="s">
        <v>146</v>
      </c>
      <c r="D1089" s="64">
        <v>42623</v>
      </c>
      <c r="E1089" s="63" t="s">
        <v>138</v>
      </c>
      <c r="F1089" s="65">
        <v>29824</v>
      </c>
      <c r="G1089" s="66">
        <v>1.0568951332194199E-2</v>
      </c>
      <c r="H1089" s="65">
        <v>501</v>
      </c>
      <c r="I1089" s="67">
        <v>0.493173651084928</v>
      </c>
      <c r="J1089" s="67">
        <v>5.2123283166371097</v>
      </c>
      <c r="K1089" s="65">
        <v>86</v>
      </c>
      <c r="L1089" s="65">
        <v>15</v>
      </c>
      <c r="M1089" s="66">
        <v>8.9820359281437098E-2</v>
      </c>
      <c r="N1089" s="67">
        <v>1604.1538061230599</v>
      </c>
      <c r="O1089" s="67">
        <v>106.943587074871</v>
      </c>
      <c r="P1089" s="67">
        <v>82.359999731183095</v>
      </c>
      <c r="Q1089" s="68">
        <v>5.1341710138276403E-2</v>
      </c>
    </row>
    <row r="1090" spans="1:17" x14ac:dyDescent="0.35">
      <c r="A1090" s="62" t="s">
        <v>136</v>
      </c>
      <c r="B1090" s="63">
        <v>634838</v>
      </c>
      <c r="C1090" s="63" t="s">
        <v>146</v>
      </c>
      <c r="D1090" s="64">
        <v>42624</v>
      </c>
      <c r="E1090" s="63" t="s">
        <v>138</v>
      </c>
      <c r="F1090" s="65">
        <v>3853</v>
      </c>
      <c r="G1090" s="66">
        <v>8.6354913645086406E-3</v>
      </c>
      <c r="H1090" s="65">
        <v>433</v>
      </c>
      <c r="I1090" s="67">
        <v>0.67304093970192802</v>
      </c>
      <c r="J1090" s="67">
        <v>5.8120392227567796</v>
      </c>
      <c r="K1090" s="65">
        <v>16</v>
      </c>
      <c r="L1090" s="65">
        <v>21</v>
      </c>
      <c r="M1090" s="66">
        <v>0.12280701754386</v>
      </c>
      <c r="N1090" s="67">
        <v>1802.3802214529201</v>
      </c>
      <c r="O1090" s="67">
        <v>85.827629592996303</v>
      </c>
      <c r="P1090" s="67">
        <v>115.09000068903001</v>
      </c>
      <c r="Q1090" s="68">
        <v>6.3854451640761006E-2</v>
      </c>
    </row>
    <row r="1091" spans="1:17" x14ac:dyDescent="0.35">
      <c r="A1091" s="62" t="s">
        <v>136</v>
      </c>
      <c r="B1091" s="63">
        <v>634838</v>
      </c>
      <c r="C1091" s="63" t="s">
        <v>146</v>
      </c>
      <c r="D1091" s="64">
        <v>42625</v>
      </c>
      <c r="E1091" s="63" t="s">
        <v>138</v>
      </c>
      <c r="F1091" s="65">
        <v>22522</v>
      </c>
      <c r="G1091" s="66">
        <v>9.9809108262885193E-3</v>
      </c>
      <c r="H1091" s="65">
        <v>420</v>
      </c>
      <c r="I1091" s="67">
        <v>0.66808742284774802</v>
      </c>
      <c r="J1091" s="67">
        <v>6.66812099160828</v>
      </c>
      <c r="K1091" s="65">
        <v>85</v>
      </c>
      <c r="L1091" s="65">
        <v>18</v>
      </c>
      <c r="M1091" s="66">
        <v>9.8360655737704902E-2</v>
      </c>
      <c r="N1091" s="67">
        <v>2282.6528107639501</v>
      </c>
      <c r="O1091" s="67">
        <v>126.814045042442</v>
      </c>
      <c r="P1091" s="67">
        <v>122.259998381138</v>
      </c>
      <c r="Q1091" s="68">
        <v>5.3560487957089002E-2</v>
      </c>
    </row>
    <row r="1092" spans="1:17" x14ac:dyDescent="0.35">
      <c r="A1092" s="62" t="s">
        <v>136</v>
      </c>
      <c r="B1092" s="63">
        <v>634838</v>
      </c>
      <c r="C1092" s="63" t="s">
        <v>146</v>
      </c>
      <c r="D1092" s="64">
        <v>42626</v>
      </c>
      <c r="E1092" s="63" t="s">
        <v>138</v>
      </c>
      <c r="F1092" s="65">
        <v>21650</v>
      </c>
      <c r="G1092" s="66">
        <v>8.7757079788952294E-3</v>
      </c>
      <c r="H1092" s="65">
        <v>407</v>
      </c>
      <c r="I1092" s="67">
        <v>0.67453988006144205</v>
      </c>
      <c r="J1092" s="67">
        <v>5.91956500753823</v>
      </c>
      <c r="K1092" s="65">
        <v>70</v>
      </c>
      <c r="L1092" s="65">
        <v>10</v>
      </c>
      <c r="M1092" s="66">
        <v>5.5214723926380403E-2</v>
      </c>
      <c r="N1092" s="67">
        <v>710.86515498461995</v>
      </c>
      <c r="O1092" s="67">
        <v>78.985017220513299</v>
      </c>
      <c r="P1092" s="67">
        <v>109.950000450015</v>
      </c>
      <c r="Q1092" s="68">
        <v>0.15467068498018299</v>
      </c>
    </row>
    <row r="1093" spans="1:17" x14ac:dyDescent="0.35">
      <c r="A1093" s="62" t="s">
        <v>136</v>
      </c>
      <c r="B1093" s="63">
        <v>634838</v>
      </c>
      <c r="C1093" s="63" t="s">
        <v>146</v>
      </c>
      <c r="D1093" s="64">
        <v>42627</v>
      </c>
      <c r="E1093" s="63" t="s">
        <v>138</v>
      </c>
      <c r="F1093" s="65">
        <v>4163</v>
      </c>
      <c r="G1093" s="66">
        <v>8.5617422283514304E-3</v>
      </c>
      <c r="H1093" s="65">
        <v>163</v>
      </c>
      <c r="I1093" s="67">
        <v>0.68899328116602498</v>
      </c>
      <c r="J1093" s="67">
        <v>5.8989828704095704</v>
      </c>
      <c r="K1093" s="65">
        <v>17</v>
      </c>
      <c r="L1093" s="65">
        <v>26</v>
      </c>
      <c r="M1093" s="66">
        <v>0.16778523489932901</v>
      </c>
      <c r="N1093" s="67">
        <v>2314.1370356655898</v>
      </c>
      <c r="O1093" s="67">
        <v>92.565481426623506</v>
      </c>
      <c r="P1093" s="67">
        <v>102.65999889373801</v>
      </c>
      <c r="Q1093" s="68">
        <v>4.4362108773826701E-2</v>
      </c>
    </row>
    <row r="1094" spans="1:17" x14ac:dyDescent="0.35">
      <c r="A1094" s="62" t="s">
        <v>136</v>
      </c>
      <c r="B1094" s="63">
        <v>634838</v>
      </c>
      <c r="C1094" s="63" t="s">
        <v>146</v>
      </c>
      <c r="D1094" s="64">
        <v>42628</v>
      </c>
      <c r="E1094" s="63" t="s">
        <v>138</v>
      </c>
      <c r="F1094" s="65">
        <v>26674</v>
      </c>
      <c r="G1094" s="66">
        <v>8.7470591783796806E-3</v>
      </c>
      <c r="H1094" s="65">
        <v>208</v>
      </c>
      <c r="I1094" s="67">
        <v>0.70579309247691102</v>
      </c>
      <c r="J1094" s="67">
        <v>6.1736139475871399</v>
      </c>
      <c r="K1094" s="65">
        <v>42</v>
      </c>
      <c r="L1094" s="65">
        <v>21</v>
      </c>
      <c r="M1094" s="66">
        <v>0.13793103448275901</v>
      </c>
      <c r="N1094" s="67">
        <v>1719.2873907253199</v>
      </c>
      <c r="O1094" s="67">
        <v>85.964369536266204</v>
      </c>
      <c r="P1094" s="67">
        <v>102.339998409152</v>
      </c>
      <c r="Q1094" s="68">
        <v>5.9524660601376997E-2</v>
      </c>
    </row>
    <row r="1095" spans="1:17" x14ac:dyDescent="0.35">
      <c r="A1095" s="62" t="s">
        <v>136</v>
      </c>
      <c r="B1095" s="63">
        <v>634838</v>
      </c>
      <c r="C1095" s="63" t="s">
        <v>146</v>
      </c>
      <c r="D1095" s="64">
        <v>42629</v>
      </c>
      <c r="E1095" s="63" t="s">
        <v>138</v>
      </c>
      <c r="F1095" s="65">
        <v>7580</v>
      </c>
      <c r="G1095" s="66">
        <v>9.8972211648267992E-3</v>
      </c>
      <c r="H1095" s="65">
        <v>168</v>
      </c>
      <c r="I1095" s="67">
        <v>0.68489010632038105</v>
      </c>
      <c r="J1095" s="67">
        <v>6.7785088558545503</v>
      </c>
      <c r="K1095" s="65">
        <v>98</v>
      </c>
      <c r="L1095" s="65">
        <v>46</v>
      </c>
      <c r="M1095" s="66">
        <v>0.24175824175824201</v>
      </c>
      <c r="N1095" s="67">
        <v>4296.3224399740602</v>
      </c>
      <c r="O1095" s="67">
        <v>97.643691817592199</v>
      </c>
      <c r="P1095" s="67">
        <v>124.649999350309</v>
      </c>
      <c r="Q1095" s="68">
        <v>2.9013185367684401E-2</v>
      </c>
    </row>
    <row r="1096" spans="1:17" x14ac:dyDescent="0.35">
      <c r="A1096" s="62" t="s">
        <v>136</v>
      </c>
      <c r="B1096" s="63">
        <v>634838</v>
      </c>
      <c r="C1096" s="63" t="s">
        <v>146</v>
      </c>
      <c r="D1096" s="64">
        <v>42630</v>
      </c>
      <c r="E1096" s="63" t="s">
        <v>138</v>
      </c>
      <c r="F1096" s="65">
        <v>16474</v>
      </c>
      <c r="G1096" s="66">
        <v>1.1055912721605299E-2</v>
      </c>
      <c r="H1096" s="65">
        <v>259</v>
      </c>
      <c r="I1096" s="67">
        <v>0.73422907463516995</v>
      </c>
      <c r="J1096" s="67">
        <v>8.1175725668314591</v>
      </c>
      <c r="K1096" s="65">
        <v>25</v>
      </c>
      <c r="L1096" s="65">
        <v>15</v>
      </c>
      <c r="M1096" s="66">
        <v>6.6079295154184994E-2</v>
      </c>
      <c r="N1096" s="67">
        <v>1433.41565050138</v>
      </c>
      <c r="O1096" s="67">
        <v>95.561043366758696</v>
      </c>
      <c r="P1096" s="67">
        <v>166.66999994218301</v>
      </c>
      <c r="Q1096" s="68">
        <v>0.116274717583756</v>
      </c>
    </row>
    <row r="1097" spans="1:17" x14ac:dyDescent="0.35">
      <c r="A1097" s="62" t="s">
        <v>136</v>
      </c>
      <c r="B1097" s="63">
        <v>634838</v>
      </c>
      <c r="C1097" s="63" t="s">
        <v>146</v>
      </c>
      <c r="D1097" s="64">
        <v>42631</v>
      </c>
      <c r="E1097" s="63" t="s">
        <v>138</v>
      </c>
      <c r="F1097" s="65">
        <v>67191</v>
      </c>
      <c r="G1097" s="66">
        <v>9.9554624050301292E-3</v>
      </c>
      <c r="H1097" s="65">
        <v>232</v>
      </c>
      <c r="I1097" s="67">
        <v>0.762719309447627</v>
      </c>
      <c r="J1097" s="67">
        <v>7.5932234107963996</v>
      </c>
      <c r="K1097" s="65">
        <v>33</v>
      </c>
      <c r="L1097" s="65">
        <v>14</v>
      </c>
      <c r="M1097" s="66">
        <v>5.7017543859649099E-2</v>
      </c>
      <c r="N1097" s="67">
        <v>1206.3674058787201</v>
      </c>
      <c r="O1097" s="67">
        <v>92.797492759901402</v>
      </c>
      <c r="P1097" s="67">
        <v>173.900002554059</v>
      </c>
      <c r="Q1097" s="68">
        <v>0.144151774746757</v>
      </c>
    </row>
    <row r="1098" spans="1:17" x14ac:dyDescent="0.35">
      <c r="A1098" s="62" t="s">
        <v>136</v>
      </c>
      <c r="B1098" s="63">
        <v>634838</v>
      </c>
      <c r="C1098" s="63" t="s">
        <v>146</v>
      </c>
      <c r="D1098" s="64">
        <v>42632</v>
      </c>
      <c r="E1098" s="63" t="s">
        <v>138</v>
      </c>
      <c r="F1098" s="65">
        <v>25279</v>
      </c>
      <c r="G1098" s="66">
        <v>1.08811040339703E-2</v>
      </c>
      <c r="H1098" s="65">
        <v>331</v>
      </c>
      <c r="I1098" s="67">
        <v>0.78109756996476598</v>
      </c>
      <c r="J1098" s="67">
        <v>8.4992039194679894</v>
      </c>
      <c r="K1098" s="65">
        <v>13</v>
      </c>
      <c r="L1098" s="65">
        <v>9</v>
      </c>
      <c r="M1098" s="66">
        <v>3.65853658536585E-2</v>
      </c>
      <c r="N1098" s="67">
        <v>698.16562778073603</v>
      </c>
      <c r="O1098" s="67">
        <v>77.573958642304007</v>
      </c>
      <c r="P1098" s="67">
        <v>192.15000221133201</v>
      </c>
      <c r="Q1098" s="68">
        <v>0.27522122912599001</v>
      </c>
    </row>
    <row r="1099" spans="1:17" x14ac:dyDescent="0.35">
      <c r="A1099" s="62" t="s">
        <v>136</v>
      </c>
      <c r="B1099" s="63">
        <v>634838</v>
      </c>
      <c r="C1099" s="63" t="s">
        <v>146</v>
      </c>
      <c r="D1099" s="64">
        <v>42633</v>
      </c>
      <c r="E1099" s="63" t="s">
        <v>138</v>
      </c>
      <c r="F1099" s="65">
        <v>34064</v>
      </c>
      <c r="G1099" s="66">
        <v>9.6833044861299507E-3</v>
      </c>
      <c r="H1099" s="65">
        <v>393</v>
      </c>
      <c r="I1099" s="67">
        <v>0.73410628109738496</v>
      </c>
      <c r="J1099" s="67">
        <v>7.1085746450464802</v>
      </c>
      <c r="K1099" s="65">
        <v>12</v>
      </c>
      <c r="L1099" s="65">
        <v>28</v>
      </c>
      <c r="M1099" s="66">
        <v>0.13043478260869601</v>
      </c>
      <c r="N1099" s="67">
        <v>3248.8755299223099</v>
      </c>
      <c r="O1099" s="67">
        <v>120.328723330456</v>
      </c>
      <c r="P1099" s="67">
        <v>151.96000018715901</v>
      </c>
      <c r="Q1099" s="68">
        <v>4.6773106198621399E-2</v>
      </c>
    </row>
    <row r="1100" spans="1:17" x14ac:dyDescent="0.35">
      <c r="A1100" s="62" t="s">
        <v>136</v>
      </c>
      <c r="B1100" s="63">
        <v>634838</v>
      </c>
      <c r="C1100" s="63" t="s">
        <v>146</v>
      </c>
      <c r="D1100" s="64">
        <v>42634</v>
      </c>
      <c r="E1100" s="63" t="s">
        <v>138</v>
      </c>
      <c r="F1100" s="65">
        <v>66338</v>
      </c>
      <c r="G1100" s="66">
        <v>9.41880189268815E-3</v>
      </c>
      <c r="H1100" s="65">
        <v>455</v>
      </c>
      <c r="I1100" s="67">
        <v>0.77104266489286599</v>
      </c>
      <c r="J1100" s="67">
        <v>7.2622981114362402</v>
      </c>
      <c r="K1100" s="65">
        <v>81</v>
      </c>
      <c r="L1100" s="65">
        <v>17</v>
      </c>
      <c r="M1100" s="66">
        <v>8.0568720379146905E-2</v>
      </c>
      <c r="N1100" s="67">
        <v>2090.1755107459398</v>
      </c>
      <c r="O1100" s="67">
        <v>122.951500632114</v>
      </c>
      <c r="P1100" s="67">
        <v>162.69000229239501</v>
      </c>
      <c r="Q1100" s="68">
        <v>7.7835570006431501E-2</v>
      </c>
    </row>
    <row r="1101" spans="1:17" x14ac:dyDescent="0.35">
      <c r="A1101" s="62" t="s">
        <v>136</v>
      </c>
      <c r="B1101" s="63">
        <v>634838</v>
      </c>
      <c r="C1101" s="63" t="s">
        <v>146</v>
      </c>
      <c r="D1101" s="64">
        <v>42635</v>
      </c>
      <c r="E1101" s="63" t="s">
        <v>138</v>
      </c>
      <c r="F1101" s="65">
        <v>54784</v>
      </c>
      <c r="G1101" s="66">
        <v>9.97967104047311E-3</v>
      </c>
      <c r="H1101" s="65">
        <v>360</v>
      </c>
      <c r="I1101" s="67">
        <v>0.72416668067927703</v>
      </c>
      <c r="J1101" s="67">
        <v>7.2269452516505197</v>
      </c>
      <c r="K1101" s="65">
        <v>27</v>
      </c>
      <c r="L1101" s="65">
        <v>18</v>
      </c>
      <c r="M1101" s="66">
        <v>8.3333333333333301E-2</v>
      </c>
      <c r="N1101" s="67">
        <v>2602.1694550386801</v>
      </c>
      <c r="O1101" s="67">
        <v>144.564969724371</v>
      </c>
      <c r="P1101" s="67">
        <v>156.420003026724</v>
      </c>
      <c r="Q1101" s="68">
        <v>6.0111382340547401E-2</v>
      </c>
    </row>
    <row r="1102" spans="1:17" x14ac:dyDescent="0.35">
      <c r="A1102" s="62" t="s">
        <v>136</v>
      </c>
      <c r="B1102" s="63">
        <v>634838</v>
      </c>
      <c r="C1102" s="63" t="s">
        <v>146</v>
      </c>
      <c r="D1102" s="64">
        <v>42636</v>
      </c>
      <c r="E1102" s="63" t="s">
        <v>138</v>
      </c>
      <c r="F1102" s="65">
        <v>20116</v>
      </c>
      <c r="G1102" s="66">
        <v>9.6405513871924593E-3</v>
      </c>
      <c r="H1102" s="65">
        <v>217</v>
      </c>
      <c r="I1102" s="67">
        <v>0.77556563421611902</v>
      </c>
      <c r="J1102" s="67">
        <v>7.4768803508010002</v>
      </c>
      <c r="K1102" s="65">
        <v>87</v>
      </c>
      <c r="L1102" s="65">
        <v>48</v>
      </c>
      <c r="M1102" s="66">
        <v>0.21266968325791899</v>
      </c>
      <c r="N1102" s="67">
        <v>5461.5485620872896</v>
      </c>
      <c r="O1102" s="67">
        <v>116.203160895474</v>
      </c>
      <c r="P1102" s="67">
        <v>171.40000516176201</v>
      </c>
      <c r="Q1102" s="68">
        <v>3.1383041496980998E-2</v>
      </c>
    </row>
    <row r="1103" spans="1:17" x14ac:dyDescent="0.35">
      <c r="A1103" s="62" t="s">
        <v>136</v>
      </c>
      <c r="B1103" s="63">
        <v>634838</v>
      </c>
      <c r="C1103" s="63" t="s">
        <v>146</v>
      </c>
      <c r="D1103" s="64">
        <v>42637</v>
      </c>
      <c r="E1103" s="63" t="s">
        <v>138</v>
      </c>
      <c r="F1103" s="65">
        <v>39722</v>
      </c>
      <c r="G1103" s="66">
        <v>8.3864923941651404E-3</v>
      </c>
      <c r="H1103" s="65">
        <v>494</v>
      </c>
      <c r="I1103" s="67">
        <v>0.800744688098735</v>
      </c>
      <c r="J1103" s="67">
        <v>6.7154392364081801</v>
      </c>
      <c r="K1103" s="65">
        <v>85</v>
      </c>
      <c r="L1103" s="65">
        <v>24</v>
      </c>
      <c r="M1103" s="66">
        <v>0.111702127659574</v>
      </c>
      <c r="N1103" s="67">
        <v>1542.68454260607</v>
      </c>
      <c r="O1103" s="67">
        <v>73.461168695527107</v>
      </c>
      <c r="P1103" s="67">
        <v>150.54000136256201</v>
      </c>
      <c r="Q1103" s="68">
        <v>9.7583139783233797E-2</v>
      </c>
    </row>
    <row r="1104" spans="1:17" x14ac:dyDescent="0.35">
      <c r="A1104" s="62" t="s">
        <v>136</v>
      </c>
      <c r="B1104" s="63">
        <v>634838</v>
      </c>
      <c r="C1104" s="63" t="s">
        <v>146</v>
      </c>
      <c r="D1104" s="64">
        <v>42638</v>
      </c>
      <c r="E1104" s="63" t="s">
        <v>138</v>
      </c>
      <c r="F1104" s="65">
        <v>11533</v>
      </c>
      <c r="G1104" s="66">
        <v>9.5681294306962997E-3</v>
      </c>
      <c r="H1104" s="65">
        <v>486</v>
      </c>
      <c r="I1104" s="67">
        <v>0.81595455313270704</v>
      </c>
      <c r="J1104" s="67">
        <v>7.8071587739397001</v>
      </c>
      <c r="K1104" s="65">
        <v>73</v>
      </c>
      <c r="L1104" s="65">
        <v>23</v>
      </c>
      <c r="M1104" s="66">
        <v>0.104545454545455</v>
      </c>
      <c r="N1104" s="67">
        <v>3156.5666013698001</v>
      </c>
      <c r="O1104" s="67">
        <v>137.24202614651301</v>
      </c>
      <c r="P1104" s="67">
        <v>179.510001689196</v>
      </c>
      <c r="Q1104" s="68">
        <v>5.6868751513526397E-2</v>
      </c>
    </row>
    <row r="1105" spans="1:17" x14ac:dyDescent="0.35">
      <c r="A1105" s="62" t="s">
        <v>136</v>
      </c>
      <c r="B1105" s="63">
        <v>634838</v>
      </c>
      <c r="C1105" s="63" t="s">
        <v>146</v>
      </c>
      <c r="D1105" s="64">
        <v>42639</v>
      </c>
      <c r="E1105" s="63" t="s">
        <v>138</v>
      </c>
      <c r="F1105" s="65">
        <v>61210</v>
      </c>
      <c r="G1105" s="66">
        <v>9.6627421548853096E-3</v>
      </c>
      <c r="H1105" s="65">
        <v>342</v>
      </c>
      <c r="I1105" s="67">
        <v>0.79233011263377495</v>
      </c>
      <c r="J1105" s="67">
        <v>7.6560815799314001</v>
      </c>
      <c r="K1105" s="65">
        <v>55</v>
      </c>
      <c r="L1105" s="65">
        <v>18</v>
      </c>
      <c r="M1105" s="66">
        <v>8.2524271844660199E-2</v>
      </c>
      <c r="N1105" s="67">
        <v>1426.34437958687</v>
      </c>
      <c r="O1105" s="67">
        <v>83.902610563933393</v>
      </c>
      <c r="P1105" s="67">
        <v>163.22000320255799</v>
      </c>
      <c r="Q1105" s="68">
        <v>0.114432394825879</v>
      </c>
    </row>
    <row r="1106" spans="1:17" x14ac:dyDescent="0.35">
      <c r="A1106" s="62" t="s">
        <v>136</v>
      </c>
      <c r="B1106" s="63">
        <v>634838</v>
      </c>
      <c r="C1106" s="63" t="s">
        <v>146</v>
      </c>
      <c r="D1106" s="64">
        <v>42640</v>
      </c>
      <c r="E1106" s="63" t="s">
        <v>138</v>
      </c>
      <c r="F1106" s="65">
        <v>32481</v>
      </c>
      <c r="G1106" s="66">
        <v>9.2113920481248206E-3</v>
      </c>
      <c r="H1106" s="65">
        <v>457</v>
      </c>
      <c r="I1106" s="67">
        <v>0.77704081494285104</v>
      </c>
      <c r="J1106" s="67">
        <v>7.1576275838330101</v>
      </c>
      <c r="K1106" s="65">
        <v>37</v>
      </c>
      <c r="L1106" s="65">
        <v>16</v>
      </c>
      <c r="M1106" s="66">
        <v>8.1632653061224497E-2</v>
      </c>
      <c r="N1106" s="67">
        <v>1703.5011690501301</v>
      </c>
      <c r="O1106" s="67">
        <v>106.468823065633</v>
      </c>
      <c r="P1106" s="67">
        <v>152.29999972879901</v>
      </c>
      <c r="Q1106" s="68">
        <v>8.9404106375648398E-2</v>
      </c>
    </row>
    <row r="1107" spans="1:17" x14ac:dyDescent="0.35">
      <c r="A1107" s="62" t="s">
        <v>136</v>
      </c>
      <c r="B1107" s="63">
        <v>634838</v>
      </c>
      <c r="C1107" s="63" t="s">
        <v>146</v>
      </c>
      <c r="D1107" s="64">
        <v>42641</v>
      </c>
      <c r="E1107" s="63" t="s">
        <v>138</v>
      </c>
      <c r="F1107" s="65">
        <v>24713</v>
      </c>
      <c r="G1107" s="66">
        <v>8.7559088955737E-3</v>
      </c>
      <c r="H1107" s="65">
        <v>237</v>
      </c>
      <c r="I1107" s="67">
        <v>0.72926379475125502</v>
      </c>
      <c r="J1107" s="67">
        <v>6.38536734768235</v>
      </c>
      <c r="K1107" s="65">
        <v>95</v>
      </c>
      <c r="L1107" s="65">
        <v>13</v>
      </c>
      <c r="M1107" s="66">
        <v>7.9754601226993904E-2</v>
      </c>
      <c r="N1107" s="67">
        <v>1230.9286297708099</v>
      </c>
      <c r="O1107" s="67">
        <v>94.686817674677499</v>
      </c>
      <c r="P1107" s="67">
        <v>118.869998544455</v>
      </c>
      <c r="Q1107" s="68">
        <v>9.6569366955570293E-2</v>
      </c>
    </row>
    <row r="1108" spans="1:17" x14ac:dyDescent="0.35">
      <c r="A1108" s="62" t="s">
        <v>136</v>
      </c>
      <c r="B1108" s="63">
        <v>634838</v>
      </c>
      <c r="C1108" s="63" t="s">
        <v>146</v>
      </c>
      <c r="D1108" s="64">
        <v>42642</v>
      </c>
      <c r="E1108" s="63" t="s">
        <v>138</v>
      </c>
      <c r="F1108" s="65">
        <v>4919</v>
      </c>
      <c r="G1108" s="66">
        <v>8.7137168907611504E-3</v>
      </c>
      <c r="H1108" s="65">
        <v>514</v>
      </c>
      <c r="I1108" s="67">
        <v>0.757351007682598</v>
      </c>
      <c r="J1108" s="67">
        <v>6.5993422678788303</v>
      </c>
      <c r="K1108" s="65">
        <v>15</v>
      </c>
      <c r="L1108" s="65">
        <v>11</v>
      </c>
      <c r="M1108" s="66">
        <v>7.2847682119205295E-2</v>
      </c>
      <c r="N1108" s="67">
        <v>1588.0148141028101</v>
      </c>
      <c r="O1108" s="67">
        <v>144.36498310025601</v>
      </c>
      <c r="P1108" s="67">
        <v>114.360002160072</v>
      </c>
      <c r="Q1108" s="68">
        <v>7.2014442903470394E-2</v>
      </c>
    </row>
    <row r="1109" spans="1:17" x14ac:dyDescent="0.35">
      <c r="A1109" s="62" t="s">
        <v>136</v>
      </c>
      <c r="B1109" s="63">
        <v>634838</v>
      </c>
      <c r="C1109" s="63" t="s">
        <v>146</v>
      </c>
      <c r="D1109" s="64">
        <v>42643</v>
      </c>
      <c r="E1109" s="63" t="s">
        <v>138</v>
      </c>
      <c r="F1109" s="65">
        <v>10371</v>
      </c>
      <c r="G1109" s="66">
        <v>9.7005988023952106E-3</v>
      </c>
      <c r="H1109" s="65">
        <v>161</v>
      </c>
      <c r="I1109" s="67">
        <v>0.67864198467613701</v>
      </c>
      <c r="J1109" s="67">
        <v>6.5832336238044498</v>
      </c>
      <c r="K1109" s="65">
        <v>13</v>
      </c>
      <c r="L1109" s="65">
        <v>30</v>
      </c>
      <c r="M1109" s="66">
        <v>0.18518518518518501</v>
      </c>
      <c r="N1109" s="67">
        <v>2267.8366455096998</v>
      </c>
      <c r="O1109" s="67">
        <v>75.594554850323206</v>
      </c>
      <c r="P1109" s="67">
        <v>109.940001517534</v>
      </c>
      <c r="Q1109" s="68">
        <v>4.84779191372601E-2</v>
      </c>
    </row>
    <row r="1110" spans="1:17" x14ac:dyDescent="0.35">
      <c r="A1110" s="62" t="s">
        <v>136</v>
      </c>
      <c r="B1110" s="63">
        <v>634838</v>
      </c>
      <c r="C1110" s="63" t="s">
        <v>146</v>
      </c>
      <c r="D1110" s="64">
        <v>42644</v>
      </c>
      <c r="E1110" s="63" t="s">
        <v>138</v>
      </c>
      <c r="F1110" s="65">
        <v>57201</v>
      </c>
      <c r="G1110" s="66">
        <v>8.0493537015276107E-3</v>
      </c>
      <c r="H1110" s="65">
        <v>303</v>
      </c>
      <c r="I1110" s="67">
        <v>0.73284672418215002</v>
      </c>
      <c r="J1110" s="67">
        <v>5.8989424919479703</v>
      </c>
      <c r="K1110" s="65">
        <v>19</v>
      </c>
      <c r="L1110" s="65">
        <v>18</v>
      </c>
      <c r="M1110" s="66">
        <v>0.124087591240876</v>
      </c>
      <c r="N1110" s="67">
        <v>1859.0049492508001</v>
      </c>
      <c r="O1110" s="67">
        <v>109.353232308871</v>
      </c>
      <c r="P1110" s="67">
        <v>100.400001212955</v>
      </c>
      <c r="Q1110" s="68">
        <v>5.4007387798196499E-2</v>
      </c>
    </row>
    <row r="1111" spans="1:17" x14ac:dyDescent="0.35">
      <c r="A1111" s="62" t="s">
        <v>136</v>
      </c>
      <c r="B1111" s="63">
        <v>634838</v>
      </c>
      <c r="C1111" s="63" t="s">
        <v>146</v>
      </c>
      <c r="D1111" s="64">
        <v>42645</v>
      </c>
      <c r="E1111" s="63" t="s">
        <v>138</v>
      </c>
      <c r="F1111" s="65">
        <v>14685</v>
      </c>
      <c r="G1111" s="66">
        <v>8.6656127407927896E-3</v>
      </c>
      <c r="H1111" s="65">
        <v>242</v>
      </c>
      <c r="I1111" s="67">
        <v>0.69655405881034405</v>
      </c>
      <c r="J1111" s="67">
        <v>6.0360677266778398</v>
      </c>
      <c r="K1111" s="65">
        <v>58</v>
      </c>
      <c r="L1111" s="65">
        <v>21</v>
      </c>
      <c r="M1111" s="66">
        <v>0.12837837837837801</v>
      </c>
      <c r="N1111" s="67">
        <v>2143.7787369141201</v>
      </c>
      <c r="O1111" s="67">
        <v>112.830459837585</v>
      </c>
      <c r="P1111" s="67">
        <v>103.090000703931</v>
      </c>
      <c r="Q1111" s="68">
        <v>4.8087985447754097E-2</v>
      </c>
    </row>
    <row r="1112" spans="1:17" x14ac:dyDescent="0.35">
      <c r="A1112" s="62" t="s">
        <v>136</v>
      </c>
      <c r="B1112" s="63">
        <v>634838</v>
      </c>
      <c r="C1112" s="63" t="s">
        <v>146</v>
      </c>
      <c r="D1112" s="64">
        <v>42646</v>
      </c>
      <c r="E1112" s="63" t="s">
        <v>138</v>
      </c>
      <c r="F1112" s="65">
        <v>20451</v>
      </c>
      <c r="G1112" s="66">
        <v>8.4488605938002007E-3</v>
      </c>
      <c r="H1112" s="65">
        <v>425</v>
      </c>
      <c r="I1112" s="67">
        <v>0.65373238816227697</v>
      </c>
      <c r="J1112" s="67">
        <v>5.5232938132351599</v>
      </c>
      <c r="K1112" s="65">
        <v>19</v>
      </c>
      <c r="L1112" s="65">
        <v>28</v>
      </c>
      <c r="M1112" s="66">
        <v>0.190140845070423</v>
      </c>
      <c r="N1112" s="67">
        <v>2901.4669285515001</v>
      </c>
      <c r="O1112" s="67">
        <v>107.46173809450001</v>
      </c>
      <c r="P1112" s="67">
        <v>92.829999119043407</v>
      </c>
      <c r="Q1112" s="68">
        <v>3.1994160679745198E-2</v>
      </c>
    </row>
    <row r="1113" spans="1:17" x14ac:dyDescent="0.35">
      <c r="A1113" s="62" t="s">
        <v>136</v>
      </c>
      <c r="B1113" s="63">
        <v>634838</v>
      </c>
      <c r="C1113" s="63" t="s">
        <v>146</v>
      </c>
      <c r="D1113" s="64">
        <v>42647</v>
      </c>
      <c r="E1113" s="63" t="s">
        <v>138</v>
      </c>
      <c r="F1113" s="65">
        <v>32448</v>
      </c>
      <c r="G1113" s="66">
        <v>7.8277886497064592E-3</v>
      </c>
      <c r="H1113" s="65">
        <v>331</v>
      </c>
      <c r="I1113" s="67">
        <v>0.70725806333845698</v>
      </c>
      <c r="J1113" s="67">
        <v>5.5362666406141399</v>
      </c>
      <c r="K1113" s="65">
        <v>52</v>
      </c>
      <c r="L1113" s="65">
        <v>20</v>
      </c>
      <c r="M1113" s="66">
        <v>0.16129032258064499</v>
      </c>
      <c r="N1113" s="67">
        <v>2075.6450580935398</v>
      </c>
      <c r="O1113" s="67">
        <v>103.78225290467699</v>
      </c>
      <c r="P1113" s="67">
        <v>87.699999853968606</v>
      </c>
      <c r="Q1113" s="68">
        <v>4.2251925256681602E-2</v>
      </c>
    </row>
    <row r="1114" spans="1:17" x14ac:dyDescent="0.35">
      <c r="A1114" s="62" t="s">
        <v>136</v>
      </c>
      <c r="B1114" s="63">
        <v>634838</v>
      </c>
      <c r="C1114" s="63" t="s">
        <v>146</v>
      </c>
      <c r="D1114" s="64">
        <v>42648</v>
      </c>
      <c r="E1114" s="63" t="s">
        <v>138</v>
      </c>
      <c r="F1114" s="65">
        <v>27828</v>
      </c>
      <c r="G1114" s="66">
        <v>1.0504067123550899E-2</v>
      </c>
      <c r="H1114" s="65">
        <v>463</v>
      </c>
      <c r="I1114" s="67">
        <v>0.76682926705334198</v>
      </c>
      <c r="J1114" s="67">
        <v>8.0548260934316396</v>
      </c>
      <c r="K1114" s="65">
        <v>92</v>
      </c>
      <c r="L1114" s="65">
        <v>44</v>
      </c>
      <c r="M1114" s="66">
        <v>0.26829268292682901</v>
      </c>
      <c r="N1114" s="67">
        <v>3903.98555107022</v>
      </c>
      <c r="O1114" s="67">
        <v>88.726944342505107</v>
      </c>
      <c r="P1114" s="67">
        <v>125.759999796748</v>
      </c>
      <c r="Q1114" s="68">
        <v>3.2213233925077599E-2</v>
      </c>
    </row>
    <row r="1115" spans="1:17" x14ac:dyDescent="0.35">
      <c r="A1115" s="62" t="s">
        <v>136</v>
      </c>
      <c r="B1115" s="63">
        <v>634838</v>
      </c>
      <c r="C1115" s="63" t="s">
        <v>146</v>
      </c>
      <c r="D1115" s="64">
        <v>42649</v>
      </c>
      <c r="E1115" s="63" t="s">
        <v>138</v>
      </c>
      <c r="F1115" s="65">
        <v>43345</v>
      </c>
      <c r="G1115" s="66">
        <v>1.0094489113210901E-2</v>
      </c>
      <c r="H1115" s="65">
        <v>481</v>
      </c>
      <c r="I1115" s="67">
        <v>0.733720931289501</v>
      </c>
      <c r="J1115" s="67">
        <v>7.4065379530368096</v>
      </c>
      <c r="K1115" s="65">
        <v>19</v>
      </c>
      <c r="L1115" s="65">
        <v>26</v>
      </c>
      <c r="M1115" s="66">
        <v>0.15116279069767399</v>
      </c>
      <c r="N1115" s="67">
        <v>3023.7716784027202</v>
      </c>
      <c r="O1115" s="67">
        <v>116.29891070779701</v>
      </c>
      <c r="P1115" s="67">
        <v>126.200000181794</v>
      </c>
      <c r="Q1115" s="68">
        <v>4.1735955490018399E-2</v>
      </c>
    </row>
    <row r="1116" spans="1:17" x14ac:dyDescent="0.35">
      <c r="A1116" s="62" t="s">
        <v>136</v>
      </c>
      <c r="B1116" s="63">
        <v>634838</v>
      </c>
      <c r="C1116" s="63" t="s">
        <v>146</v>
      </c>
      <c r="D1116" s="64">
        <v>42650</v>
      </c>
      <c r="E1116" s="63" t="s">
        <v>138</v>
      </c>
      <c r="F1116" s="65">
        <v>47348</v>
      </c>
      <c r="G1116" s="66">
        <v>9.6476510067114093E-3</v>
      </c>
      <c r="H1116" s="65">
        <v>429</v>
      </c>
      <c r="I1116" s="67">
        <v>0.774728266360319</v>
      </c>
      <c r="J1116" s="67">
        <v>7.47430793887892</v>
      </c>
      <c r="K1116" s="65">
        <v>35</v>
      </c>
      <c r="L1116" s="65">
        <v>49</v>
      </c>
      <c r="M1116" s="66">
        <v>0.25543478260869601</v>
      </c>
      <c r="N1116" s="67">
        <v>6742.53266200702</v>
      </c>
      <c r="O1116" s="67">
        <v>143.45814174482999</v>
      </c>
      <c r="P1116" s="67">
        <v>142.55000101029901</v>
      </c>
      <c r="Q1116" s="68">
        <v>2.1141907374589802E-2</v>
      </c>
    </row>
    <row r="1117" spans="1:17" x14ac:dyDescent="0.35">
      <c r="A1117" s="62" t="s">
        <v>136</v>
      </c>
      <c r="B1117" s="63">
        <v>634838</v>
      </c>
      <c r="C1117" s="63" t="s">
        <v>146</v>
      </c>
      <c r="D1117" s="64">
        <v>42651</v>
      </c>
      <c r="E1117" s="63" t="s">
        <v>138</v>
      </c>
      <c r="F1117" s="65">
        <v>26545</v>
      </c>
      <c r="G1117" s="66">
        <v>1.0109968073784999E-2</v>
      </c>
      <c r="H1117" s="65">
        <v>520</v>
      </c>
      <c r="I1117" s="67">
        <v>0.76163742791490896</v>
      </c>
      <c r="J1117" s="67">
        <v>7.7001300800194796</v>
      </c>
      <c r="K1117" s="65">
        <v>68</v>
      </c>
      <c r="L1117" s="65">
        <v>14</v>
      </c>
      <c r="M1117" s="66">
        <v>7.6023391812865507E-2</v>
      </c>
      <c r="N1117" s="67">
        <v>1624.955797246</v>
      </c>
      <c r="O1117" s="67">
        <v>124.996599788154</v>
      </c>
      <c r="P1117" s="67">
        <v>130.24000017345</v>
      </c>
      <c r="Q1117" s="68">
        <v>8.0149872626801399E-2</v>
      </c>
    </row>
    <row r="1118" spans="1:17" x14ac:dyDescent="0.35">
      <c r="A1118" s="62" t="s">
        <v>136</v>
      </c>
      <c r="B1118" s="63">
        <v>634838</v>
      </c>
      <c r="C1118" s="63" t="s">
        <v>146</v>
      </c>
      <c r="D1118" s="64">
        <v>42652</v>
      </c>
      <c r="E1118" s="63" t="s">
        <v>138</v>
      </c>
      <c r="F1118" s="65">
        <v>54010</v>
      </c>
      <c r="G1118" s="66">
        <v>8.3188128829183305E-3</v>
      </c>
      <c r="H1118" s="65">
        <v>544</v>
      </c>
      <c r="I1118" s="67">
        <v>0.69851351801205297</v>
      </c>
      <c r="J1118" s="67">
        <v>5.8108032525312696</v>
      </c>
      <c r="K1118" s="65">
        <v>57</v>
      </c>
      <c r="L1118" s="65">
        <v>18</v>
      </c>
      <c r="M1118" s="66">
        <v>0.121621621621622</v>
      </c>
      <c r="N1118" s="67">
        <v>2718.4959484436099</v>
      </c>
      <c r="O1118" s="67">
        <v>151.027552691312</v>
      </c>
      <c r="P1118" s="67">
        <v>103.380000665784</v>
      </c>
      <c r="Q1118" s="68">
        <v>3.8028381364692103E-2</v>
      </c>
    </row>
    <row r="1119" spans="1:17" x14ac:dyDescent="0.35">
      <c r="A1119" s="62" t="s">
        <v>136</v>
      </c>
      <c r="B1119" s="63">
        <v>634838</v>
      </c>
      <c r="C1119" s="63" t="s">
        <v>146</v>
      </c>
      <c r="D1119" s="64">
        <v>42653</v>
      </c>
      <c r="E1119" s="63" t="s">
        <v>138</v>
      </c>
      <c r="F1119" s="65">
        <v>59670</v>
      </c>
      <c r="G1119" s="66">
        <v>8.9357808042202693E-3</v>
      </c>
      <c r="H1119" s="65">
        <v>463</v>
      </c>
      <c r="I1119" s="67">
        <v>0.76993976623178995</v>
      </c>
      <c r="J1119" s="67">
        <v>6.8800129834998698</v>
      </c>
      <c r="K1119" s="65">
        <v>32</v>
      </c>
      <c r="L1119" s="65">
        <v>18</v>
      </c>
      <c r="M1119" s="66">
        <v>0.102409638554217</v>
      </c>
      <c r="N1119" s="67">
        <v>1404.6924735345999</v>
      </c>
      <c r="O1119" s="67">
        <v>82.628969031447298</v>
      </c>
      <c r="P1119" s="67">
        <v>127.810001194477</v>
      </c>
      <c r="Q1119" s="68">
        <v>9.0987887813530399E-2</v>
      </c>
    </row>
    <row r="1120" spans="1:17" x14ac:dyDescent="0.35">
      <c r="A1120" s="62" t="s">
        <v>136</v>
      </c>
      <c r="B1120" s="63">
        <v>634838</v>
      </c>
      <c r="C1120" s="63" t="s">
        <v>146</v>
      </c>
      <c r="D1120" s="64">
        <v>42654</v>
      </c>
      <c r="E1120" s="63" t="s">
        <v>138</v>
      </c>
      <c r="F1120" s="65">
        <v>44529</v>
      </c>
      <c r="G1120" s="66">
        <v>1.0790288740133901E-2</v>
      </c>
      <c r="H1120" s="65">
        <v>479</v>
      </c>
      <c r="I1120" s="67">
        <v>0.820138899264512</v>
      </c>
      <c r="J1120" s="67">
        <v>8.8495355300796597</v>
      </c>
      <c r="K1120" s="65">
        <v>36</v>
      </c>
      <c r="L1120" s="65">
        <v>13</v>
      </c>
      <c r="M1120" s="66">
        <v>6.0185185185185203E-2</v>
      </c>
      <c r="N1120" s="67">
        <v>1506.36267771608</v>
      </c>
      <c r="O1120" s="67">
        <v>115.874052132006</v>
      </c>
      <c r="P1120" s="67">
        <v>177.15000224113501</v>
      </c>
      <c r="Q1120" s="68">
        <v>0.117601162629525</v>
      </c>
    </row>
    <row r="1121" spans="1:17" x14ac:dyDescent="0.35">
      <c r="A1121" s="62" t="s">
        <v>136</v>
      </c>
      <c r="B1121" s="63">
        <v>634838</v>
      </c>
      <c r="C1121" s="63" t="s">
        <v>146</v>
      </c>
      <c r="D1121" s="64">
        <v>42655</v>
      </c>
      <c r="E1121" s="63" t="s">
        <v>138</v>
      </c>
      <c r="F1121" s="65">
        <v>15300</v>
      </c>
      <c r="G1121" s="66">
        <v>1.01377696906681E-2</v>
      </c>
      <c r="H1121" s="65">
        <v>380</v>
      </c>
      <c r="I1121" s="67">
        <v>0.87220514309712005</v>
      </c>
      <c r="J1121" s="67">
        <v>8.8422148637347693</v>
      </c>
      <c r="K1121" s="65">
        <v>12</v>
      </c>
      <c r="L1121" s="65">
        <v>14</v>
      </c>
      <c r="M1121" s="66">
        <v>7.1794871794871803E-2</v>
      </c>
      <c r="N1121" s="67">
        <v>1444.2382393139501</v>
      </c>
      <c r="O1121" s="67">
        <v>103.159874236711</v>
      </c>
      <c r="P1121" s="67">
        <v>170.08000290393801</v>
      </c>
      <c r="Q1121" s="68">
        <v>0.117764506072579</v>
      </c>
    </row>
    <row r="1122" spans="1:17" x14ac:dyDescent="0.35">
      <c r="A1122" s="62" t="s">
        <v>136</v>
      </c>
      <c r="B1122" s="63">
        <v>634838</v>
      </c>
      <c r="C1122" s="63" t="s">
        <v>146</v>
      </c>
      <c r="D1122" s="64">
        <v>42656</v>
      </c>
      <c r="E1122" s="63" t="s">
        <v>138</v>
      </c>
      <c r="F1122" s="65">
        <v>1645</v>
      </c>
      <c r="G1122" s="66">
        <v>8.6269618542770994E-3</v>
      </c>
      <c r="H1122" s="65">
        <v>284</v>
      </c>
      <c r="I1122" s="67">
        <v>0.82439760917640603</v>
      </c>
      <c r="J1122" s="67">
        <v>7.1120467271220997</v>
      </c>
      <c r="K1122" s="65">
        <v>92</v>
      </c>
      <c r="L1122" s="65">
        <v>15</v>
      </c>
      <c r="M1122" s="66">
        <v>9.0361445783132502E-2</v>
      </c>
      <c r="N1122" s="67">
        <v>1267.4531468067501</v>
      </c>
      <c r="O1122" s="67">
        <v>84.496876453783102</v>
      </c>
      <c r="P1122" s="67">
        <v>136.85000312328299</v>
      </c>
      <c r="Q1122" s="68">
        <v>0.107972435484552</v>
      </c>
    </row>
    <row r="1123" spans="1:17" x14ac:dyDescent="0.35">
      <c r="A1123" s="62" t="s">
        <v>136</v>
      </c>
      <c r="B1123" s="63">
        <v>634838</v>
      </c>
      <c r="C1123" s="63" t="s">
        <v>146</v>
      </c>
      <c r="D1123" s="64">
        <v>42657</v>
      </c>
      <c r="E1123" s="63" t="s">
        <v>138</v>
      </c>
      <c r="F1123" s="65">
        <v>13819</v>
      </c>
      <c r="G1123" s="66">
        <v>8.2656206220229796E-3</v>
      </c>
      <c r="H1123" s="65">
        <v>588</v>
      </c>
      <c r="I1123" s="67">
        <v>0.84011300674266098</v>
      </c>
      <c r="J1123" s="67">
        <v>6.9440553933618601</v>
      </c>
      <c r="K1123" s="65">
        <v>30</v>
      </c>
      <c r="L1123" s="65">
        <v>34</v>
      </c>
      <c r="M1123" s="66">
        <v>0.186440677966102</v>
      </c>
      <c r="N1123" s="67">
        <v>3574.5846588900699</v>
      </c>
      <c r="O1123" s="67">
        <v>108.320747239093</v>
      </c>
      <c r="P1123" s="67">
        <v>148.70000219345101</v>
      </c>
      <c r="Q1123" s="68">
        <v>4.1599239179754999E-2</v>
      </c>
    </row>
    <row r="1124" spans="1:17" x14ac:dyDescent="0.35">
      <c r="A1124" s="62" t="s">
        <v>136</v>
      </c>
      <c r="B1124" s="63">
        <v>634838</v>
      </c>
      <c r="C1124" s="63" t="s">
        <v>146</v>
      </c>
      <c r="D1124" s="64">
        <v>42658</v>
      </c>
      <c r="E1124" s="63" t="s">
        <v>138</v>
      </c>
      <c r="F1124" s="65">
        <v>4452</v>
      </c>
      <c r="G1124" s="66">
        <v>8.3803138808471699E-3</v>
      </c>
      <c r="H1124" s="65">
        <v>165</v>
      </c>
      <c r="I1124" s="67">
        <v>0.66072727730779901</v>
      </c>
      <c r="J1124" s="67">
        <v>5.5371019734769096</v>
      </c>
      <c r="K1124" s="65">
        <v>61</v>
      </c>
      <c r="L1124" s="65">
        <v>26</v>
      </c>
      <c r="M1124" s="66">
        <v>0.15151515151515199</v>
      </c>
      <c r="N1124" s="67">
        <v>1973.0470373505</v>
      </c>
      <c r="O1124" s="67">
        <v>78.9218814940198</v>
      </c>
      <c r="P1124" s="67">
        <v>109.020000755787</v>
      </c>
      <c r="Q1124" s="68">
        <v>5.5254638481495297E-2</v>
      </c>
    </row>
    <row r="1125" spans="1:17" x14ac:dyDescent="0.35">
      <c r="A1125" s="62" t="s">
        <v>136</v>
      </c>
      <c r="B1125" s="63">
        <v>634838</v>
      </c>
      <c r="C1125" s="63" t="s">
        <v>146</v>
      </c>
      <c r="D1125" s="64">
        <v>42659</v>
      </c>
      <c r="E1125" s="63" t="s">
        <v>138</v>
      </c>
      <c r="F1125" s="65">
        <v>28308</v>
      </c>
      <c r="G1125" s="66">
        <v>8.2809655253420992E-3</v>
      </c>
      <c r="H1125" s="65">
        <v>499</v>
      </c>
      <c r="I1125" s="67">
        <v>0.647659575685542</v>
      </c>
      <c r="J1125" s="67">
        <v>5.3632466184096703</v>
      </c>
      <c r="K1125" s="65">
        <v>88</v>
      </c>
      <c r="L1125" s="65">
        <v>12</v>
      </c>
      <c r="M1125" s="66">
        <v>8.5106382978723402E-2</v>
      </c>
      <c r="N1125" s="67">
        <v>949.88153106376603</v>
      </c>
      <c r="O1125" s="67">
        <v>79.156794255313798</v>
      </c>
      <c r="P1125" s="67">
        <v>91.320000171661405</v>
      </c>
      <c r="Q1125" s="68">
        <v>9.6138304815120201E-2</v>
      </c>
    </row>
    <row r="1126" spans="1:17" x14ac:dyDescent="0.35">
      <c r="A1126" s="62" t="s">
        <v>136</v>
      </c>
      <c r="B1126" s="63">
        <v>634838</v>
      </c>
      <c r="C1126" s="63" t="s">
        <v>146</v>
      </c>
      <c r="D1126" s="64">
        <v>42660</v>
      </c>
      <c r="E1126" s="63" t="s">
        <v>138</v>
      </c>
      <c r="F1126" s="65">
        <v>53318</v>
      </c>
      <c r="G1126" s="66">
        <v>8.5569590779439996E-3</v>
      </c>
      <c r="H1126" s="65">
        <v>384</v>
      </c>
      <c r="I1126" s="67">
        <v>0.70115646152269295</v>
      </c>
      <c r="J1126" s="67">
        <v>5.9997671484856996</v>
      </c>
      <c r="K1126" s="65">
        <v>39</v>
      </c>
      <c r="L1126" s="65">
        <v>14</v>
      </c>
      <c r="M1126" s="66">
        <v>9.5238095238095205E-2</v>
      </c>
      <c r="N1126" s="67">
        <v>978.83693992396297</v>
      </c>
      <c r="O1126" s="67">
        <v>69.916924280283098</v>
      </c>
      <c r="P1126" s="67">
        <v>103.069999843836</v>
      </c>
      <c r="Q1126" s="68">
        <v>0.10529843699180599</v>
      </c>
    </row>
    <row r="1127" spans="1:17" x14ac:dyDescent="0.35">
      <c r="A1127" s="62" t="s">
        <v>136</v>
      </c>
      <c r="B1127" s="63">
        <v>634838</v>
      </c>
      <c r="C1127" s="63" t="s">
        <v>146</v>
      </c>
      <c r="D1127" s="64">
        <v>42661</v>
      </c>
      <c r="E1127" s="63" t="s">
        <v>138</v>
      </c>
      <c r="F1127" s="65">
        <v>54803</v>
      </c>
      <c r="G1127" s="66">
        <v>9.9848912829271497E-3</v>
      </c>
      <c r="H1127" s="65">
        <v>437</v>
      </c>
      <c r="I1127" s="67">
        <v>0.71105263735118696</v>
      </c>
      <c r="J1127" s="67">
        <v>7.0997832803902199</v>
      </c>
      <c r="K1127" s="65">
        <v>89</v>
      </c>
      <c r="L1127" s="65">
        <v>15</v>
      </c>
      <c r="M1127" s="66">
        <v>9.8684210526315805E-2</v>
      </c>
      <c r="N1127" s="67">
        <v>1481.47020039941</v>
      </c>
      <c r="O1127" s="67">
        <v>98.764680026627303</v>
      </c>
      <c r="P1127" s="67">
        <v>108.08000087738</v>
      </c>
      <c r="Q1127" s="68">
        <v>7.2954556121507905E-2</v>
      </c>
    </row>
    <row r="1128" spans="1:17" x14ac:dyDescent="0.35">
      <c r="A1128" s="62" t="s">
        <v>136</v>
      </c>
      <c r="B1128" s="63">
        <v>634838</v>
      </c>
      <c r="C1128" s="63" t="s">
        <v>146</v>
      </c>
      <c r="D1128" s="64">
        <v>42662</v>
      </c>
      <c r="E1128" s="63" t="s">
        <v>138</v>
      </c>
      <c r="F1128" s="65">
        <v>22152</v>
      </c>
      <c r="G1128" s="66">
        <v>8.8215024121295702E-3</v>
      </c>
      <c r="H1128" s="65">
        <v>242</v>
      </c>
      <c r="I1128" s="67">
        <v>0.68218750972300801</v>
      </c>
      <c r="J1128" s="67">
        <v>6.0179187625461701</v>
      </c>
      <c r="K1128" s="65">
        <v>24</v>
      </c>
      <c r="L1128" s="65">
        <v>14</v>
      </c>
      <c r="M1128" s="66">
        <v>0.109375</v>
      </c>
      <c r="N1128" s="67">
        <v>1335.7417800056501</v>
      </c>
      <c r="O1128" s="67">
        <v>95.410127143260794</v>
      </c>
      <c r="P1128" s="67">
        <v>87.320001244544997</v>
      </c>
      <c r="Q1128" s="68">
        <v>6.5371917350803804E-2</v>
      </c>
    </row>
    <row r="1129" spans="1:17" x14ac:dyDescent="0.35">
      <c r="A1129" s="62" t="s">
        <v>136</v>
      </c>
      <c r="B1129" s="63">
        <v>634838</v>
      </c>
      <c r="C1129" s="63" t="s">
        <v>146</v>
      </c>
      <c r="D1129" s="64">
        <v>42663</v>
      </c>
      <c r="E1129" s="63" t="s">
        <v>138</v>
      </c>
      <c r="F1129" s="65">
        <v>68376</v>
      </c>
      <c r="G1129" s="66">
        <v>9.6032849857606503E-3</v>
      </c>
      <c r="H1129" s="65">
        <v>222</v>
      </c>
      <c r="I1129" s="67">
        <v>0.71006896824672305</v>
      </c>
      <c r="J1129" s="67">
        <v>6.8189946616183104</v>
      </c>
      <c r="K1129" s="65">
        <v>99</v>
      </c>
      <c r="L1129" s="65">
        <v>18</v>
      </c>
      <c r="M1129" s="66">
        <v>0.12413793103448301</v>
      </c>
      <c r="N1129" s="67">
        <v>1529.76827260756</v>
      </c>
      <c r="O1129" s="67">
        <v>84.987126255975596</v>
      </c>
      <c r="P1129" s="67">
        <v>102.960000395775</v>
      </c>
      <c r="Q1129" s="68">
        <v>6.7304311534893302E-2</v>
      </c>
    </row>
    <row r="1130" spans="1:17" x14ac:dyDescent="0.35">
      <c r="A1130" s="62" t="s">
        <v>136</v>
      </c>
      <c r="B1130" s="63">
        <v>634838</v>
      </c>
      <c r="C1130" s="63" t="s">
        <v>146</v>
      </c>
      <c r="D1130" s="64">
        <v>42664</v>
      </c>
      <c r="E1130" s="63" t="s">
        <v>138</v>
      </c>
      <c r="F1130" s="65">
        <v>392</v>
      </c>
      <c r="G1130" s="66">
        <v>9.3782117163412095E-3</v>
      </c>
      <c r="H1130" s="65">
        <v>321</v>
      </c>
      <c r="I1130" s="67">
        <v>0.70075342324498602</v>
      </c>
      <c r="J1130" s="67">
        <v>6.5718139641423399</v>
      </c>
      <c r="K1130" s="65">
        <v>15</v>
      </c>
      <c r="L1130" s="65">
        <v>33</v>
      </c>
      <c r="M1130" s="66">
        <v>0.22602739726027399</v>
      </c>
      <c r="N1130" s="67">
        <v>4821.8152682323598</v>
      </c>
      <c r="O1130" s="67">
        <v>146.11561418885901</v>
      </c>
      <c r="P1130" s="67">
        <v>102.309999793768</v>
      </c>
      <c r="Q1130" s="68">
        <v>2.1218150033208101E-2</v>
      </c>
    </row>
    <row r="1131" spans="1:17" x14ac:dyDescent="0.35">
      <c r="A1131" s="62" t="s">
        <v>136</v>
      </c>
      <c r="B1131" s="63">
        <v>634838</v>
      </c>
      <c r="C1131" s="63" t="s">
        <v>146</v>
      </c>
      <c r="D1131" s="64">
        <v>42665</v>
      </c>
      <c r="E1131" s="63" t="s">
        <v>138</v>
      </c>
      <c r="F1131" s="65">
        <v>35286</v>
      </c>
      <c r="G1131" s="66">
        <v>9.1638029782359701E-3</v>
      </c>
      <c r="H1131" s="65">
        <v>248</v>
      </c>
      <c r="I1131" s="67">
        <v>0.67555555556383395</v>
      </c>
      <c r="J1131" s="67">
        <v>6.1906580120397203</v>
      </c>
      <c r="K1131" s="65">
        <v>10</v>
      </c>
      <c r="L1131" s="65">
        <v>26</v>
      </c>
      <c r="M1131" s="66">
        <v>0.180555555555556</v>
      </c>
      <c r="N1131" s="67">
        <v>1711.9531776425499</v>
      </c>
      <c r="O1131" s="67">
        <v>65.844352986252005</v>
      </c>
      <c r="P1131" s="67">
        <v>97.280000001192093</v>
      </c>
      <c r="Q1131" s="68">
        <v>5.6823984015235598E-2</v>
      </c>
    </row>
    <row r="1132" spans="1:17" x14ac:dyDescent="0.35">
      <c r="A1132" s="62" t="s">
        <v>136</v>
      </c>
      <c r="B1132" s="63">
        <v>634838</v>
      </c>
      <c r="C1132" s="63" t="s">
        <v>146</v>
      </c>
      <c r="D1132" s="64">
        <v>42666</v>
      </c>
      <c r="E1132" s="63" t="s">
        <v>138</v>
      </c>
      <c r="F1132" s="65">
        <v>46939</v>
      </c>
      <c r="G1132" s="66">
        <v>7.7694086946207197E-3</v>
      </c>
      <c r="H1132" s="65">
        <v>485</v>
      </c>
      <c r="I1132" s="67">
        <v>0.68381680605065698</v>
      </c>
      <c r="J1132" s="67">
        <v>5.3128522384577499</v>
      </c>
      <c r="K1132" s="65">
        <v>90</v>
      </c>
      <c r="L1132" s="65">
        <v>20</v>
      </c>
      <c r="M1132" s="66">
        <v>0.15267175572519101</v>
      </c>
      <c r="N1132" s="67">
        <v>2038.63536312876</v>
      </c>
      <c r="O1132" s="67">
        <v>101.931768156438</v>
      </c>
      <c r="P1132" s="67">
        <v>89.580001592636094</v>
      </c>
      <c r="Q1132" s="68">
        <v>4.39411594701049E-2</v>
      </c>
    </row>
    <row r="1133" spans="1:17" x14ac:dyDescent="0.35">
      <c r="A1133" s="62" t="s">
        <v>136</v>
      </c>
      <c r="B1133" s="63">
        <v>634838</v>
      </c>
      <c r="C1133" s="63" t="s">
        <v>146</v>
      </c>
      <c r="D1133" s="64">
        <v>42667</v>
      </c>
      <c r="E1133" s="63" t="s">
        <v>138</v>
      </c>
      <c r="F1133" s="65">
        <v>56665</v>
      </c>
      <c r="G1133" s="66">
        <v>9.2083038195390401E-3</v>
      </c>
      <c r="H1133" s="65">
        <v>162</v>
      </c>
      <c r="I1133" s="67">
        <v>0.678165695723697</v>
      </c>
      <c r="J1133" s="67">
        <v>6.2447557662128697</v>
      </c>
      <c r="K1133" s="65">
        <v>31</v>
      </c>
      <c r="L1133" s="65">
        <v>16</v>
      </c>
      <c r="M1133" s="66">
        <v>9.4674556213017694E-2</v>
      </c>
      <c r="N1133" s="67">
        <v>2315.7916569633899</v>
      </c>
      <c r="O1133" s="67">
        <v>144.73697856021201</v>
      </c>
      <c r="P1133" s="67">
        <v>114.610002577305</v>
      </c>
      <c r="Q1133" s="68">
        <v>4.9490636272344297E-2</v>
      </c>
    </row>
    <row r="1134" spans="1:17" x14ac:dyDescent="0.35">
      <c r="A1134" s="62" t="s">
        <v>136</v>
      </c>
      <c r="B1134" s="63">
        <v>634838</v>
      </c>
      <c r="C1134" s="63" t="s">
        <v>146</v>
      </c>
      <c r="D1134" s="64">
        <v>42668</v>
      </c>
      <c r="E1134" s="63" t="s">
        <v>138</v>
      </c>
      <c r="F1134" s="65">
        <v>10944</v>
      </c>
      <c r="G1134" s="66">
        <v>7.0023148148148102E-3</v>
      </c>
      <c r="H1134" s="65">
        <v>546</v>
      </c>
      <c r="I1134" s="67">
        <v>0.72743802967150395</v>
      </c>
      <c r="J1134" s="67">
        <v>5.0937500920284702</v>
      </c>
      <c r="K1134" s="65">
        <v>17</v>
      </c>
      <c r="L1134" s="65">
        <v>16</v>
      </c>
      <c r="M1134" s="66">
        <v>0.13223140495867799</v>
      </c>
      <c r="N1134" s="67">
        <v>1673.59662249805</v>
      </c>
      <c r="O1134" s="67">
        <v>104.599788906128</v>
      </c>
      <c r="P1134" s="67">
        <v>88.020001590251894</v>
      </c>
      <c r="Q1134" s="68">
        <v>5.25933193261773E-2</v>
      </c>
    </row>
    <row r="1135" spans="1:17" x14ac:dyDescent="0.35">
      <c r="A1135" s="62" t="s">
        <v>136</v>
      </c>
      <c r="B1135" s="63">
        <v>634838</v>
      </c>
      <c r="C1135" s="63" t="s">
        <v>146</v>
      </c>
      <c r="D1135" s="64">
        <v>42669</v>
      </c>
      <c r="E1135" s="63" t="s">
        <v>138</v>
      </c>
      <c r="F1135" s="65">
        <v>14511</v>
      </c>
      <c r="G1135" s="66">
        <v>9.3513513513513499E-3</v>
      </c>
      <c r="H1135" s="65">
        <v>558</v>
      </c>
      <c r="I1135" s="67">
        <v>0.71959538645827004</v>
      </c>
      <c r="J1135" s="67">
        <v>6.7291892895827399</v>
      </c>
      <c r="K1135" s="65">
        <v>52</v>
      </c>
      <c r="L1135" s="65">
        <v>16</v>
      </c>
      <c r="M1135" s="66">
        <v>9.2485549132948E-2</v>
      </c>
      <c r="N1135" s="67">
        <v>1755.1752247545701</v>
      </c>
      <c r="O1135" s="67">
        <v>109.698451547161</v>
      </c>
      <c r="P1135" s="67">
        <v>124.490001857281</v>
      </c>
      <c r="Q1135" s="68">
        <v>7.0927392377412496E-2</v>
      </c>
    </row>
    <row r="1136" spans="1:17" x14ac:dyDescent="0.35">
      <c r="A1136" s="62" t="s">
        <v>136</v>
      </c>
      <c r="B1136" s="63">
        <v>634838</v>
      </c>
      <c r="C1136" s="63" t="s">
        <v>146</v>
      </c>
      <c r="D1136" s="64">
        <v>42670</v>
      </c>
      <c r="E1136" s="63" t="s">
        <v>138</v>
      </c>
      <c r="F1136" s="65">
        <v>52141</v>
      </c>
      <c r="G1136" s="66">
        <v>7.2439162422184497E-3</v>
      </c>
      <c r="H1136" s="65">
        <v>455</v>
      </c>
      <c r="I1136" s="67">
        <v>0.73265624977648303</v>
      </c>
      <c r="J1136" s="67">
        <v>5.3073005077187201</v>
      </c>
      <c r="K1136" s="65">
        <v>40</v>
      </c>
      <c r="L1136" s="65">
        <v>18</v>
      </c>
      <c r="M1136" s="66">
        <v>0.140625</v>
      </c>
      <c r="N1136" s="67">
        <v>2878.8211717332501</v>
      </c>
      <c r="O1136" s="67">
        <v>159.934509540736</v>
      </c>
      <c r="P1136" s="67">
        <v>93.779999971389799</v>
      </c>
      <c r="Q1136" s="68">
        <v>3.25758337795354E-2</v>
      </c>
    </row>
    <row r="1137" spans="1:17" x14ac:dyDescent="0.35">
      <c r="A1137" s="62" t="s">
        <v>136</v>
      </c>
      <c r="B1137" s="63">
        <v>634838</v>
      </c>
      <c r="C1137" s="63" t="s">
        <v>146</v>
      </c>
      <c r="D1137" s="64">
        <v>42671</v>
      </c>
      <c r="E1137" s="63" t="s">
        <v>138</v>
      </c>
      <c r="F1137" s="65">
        <v>38205</v>
      </c>
      <c r="G1137" s="66">
        <v>8.4064327485380095E-3</v>
      </c>
      <c r="H1137" s="65">
        <v>245</v>
      </c>
      <c r="I1137" s="67">
        <v>0.69478261341219405</v>
      </c>
      <c r="J1137" s="67">
        <v>5.8406433145030903</v>
      </c>
      <c r="K1137" s="65">
        <v>75</v>
      </c>
      <c r="L1137" s="65">
        <v>45</v>
      </c>
      <c r="M1137" s="66">
        <v>0.26086956521739102</v>
      </c>
      <c r="N1137" s="67">
        <v>4281.9385151005199</v>
      </c>
      <c r="O1137" s="67">
        <v>101.950917026203</v>
      </c>
      <c r="P1137" s="67">
        <v>111.860000759363</v>
      </c>
      <c r="Q1137" s="68">
        <v>2.6123682151175699E-2</v>
      </c>
    </row>
    <row r="1138" spans="1:17" x14ac:dyDescent="0.35">
      <c r="A1138" s="62" t="s">
        <v>136</v>
      </c>
      <c r="B1138" s="63">
        <v>634838</v>
      </c>
      <c r="C1138" s="63" t="s">
        <v>146</v>
      </c>
      <c r="D1138" s="64">
        <v>42672</v>
      </c>
      <c r="E1138" s="63" t="s">
        <v>138</v>
      </c>
      <c r="F1138" s="65">
        <v>14079</v>
      </c>
      <c r="G1138" s="66">
        <v>5.8609105853763103E-3</v>
      </c>
      <c r="H1138" s="65">
        <v>302</v>
      </c>
      <c r="I1138" s="67">
        <v>0.70365853934753197</v>
      </c>
      <c r="J1138" s="67">
        <v>4.12407978175239</v>
      </c>
      <c r="K1138" s="65">
        <v>87</v>
      </c>
      <c r="L1138" s="65">
        <v>29</v>
      </c>
      <c r="M1138" s="66">
        <v>0.34146341463414598</v>
      </c>
      <c r="N1138" s="67">
        <v>2605.1527638871898</v>
      </c>
      <c r="O1138" s="67">
        <v>93.041170138828306</v>
      </c>
      <c r="P1138" s="67">
        <v>57.7000002264977</v>
      </c>
      <c r="Q1138" s="68">
        <v>2.21484133392633E-2</v>
      </c>
    </row>
    <row r="1139" spans="1:17" x14ac:dyDescent="0.35">
      <c r="A1139" s="62" t="s">
        <v>136</v>
      </c>
      <c r="B1139" s="63">
        <v>634838</v>
      </c>
      <c r="C1139" s="63" t="s">
        <v>146</v>
      </c>
      <c r="D1139" s="64">
        <v>42673</v>
      </c>
      <c r="E1139" s="63" t="s">
        <v>138</v>
      </c>
      <c r="F1139" s="65">
        <v>10295</v>
      </c>
      <c r="G1139" s="66">
        <v>7.8713403930007406E-3</v>
      </c>
      <c r="H1139" s="65">
        <v>326</v>
      </c>
      <c r="I1139" s="67">
        <v>0.72302158166178698</v>
      </c>
      <c r="J1139" s="67">
        <v>5.6911489807456999</v>
      </c>
      <c r="K1139" s="65">
        <v>11</v>
      </c>
      <c r="L1139" s="65">
        <v>16</v>
      </c>
      <c r="M1139" s="66">
        <v>0.115107913669065</v>
      </c>
      <c r="N1139" s="67">
        <v>1907.9285706256801</v>
      </c>
      <c r="O1139" s="67">
        <v>119.24553566410501</v>
      </c>
      <c r="P1139" s="67">
        <v>100.499999850988</v>
      </c>
      <c r="Q1139" s="68">
        <v>5.2674927876377897E-2</v>
      </c>
    </row>
    <row r="1140" spans="1:17" x14ac:dyDescent="0.35">
      <c r="A1140" s="62" t="s">
        <v>136</v>
      </c>
      <c r="B1140" s="63">
        <v>634838</v>
      </c>
      <c r="C1140" s="63" t="s">
        <v>146</v>
      </c>
      <c r="D1140" s="64">
        <v>42674</v>
      </c>
      <c r="E1140" s="63" t="s">
        <v>138</v>
      </c>
      <c r="F1140" s="65">
        <v>22984</v>
      </c>
      <c r="G1140" s="66">
        <v>7.6407967032966996E-3</v>
      </c>
      <c r="H1140" s="65">
        <v>432</v>
      </c>
      <c r="I1140" s="67">
        <v>0.68460674232311503</v>
      </c>
      <c r="J1140" s="67">
        <v>5.2309409397971498</v>
      </c>
      <c r="K1140" s="65">
        <v>19</v>
      </c>
      <c r="L1140" s="65">
        <v>33</v>
      </c>
      <c r="M1140" s="66">
        <v>0.185393258426966</v>
      </c>
      <c r="N1140" s="67">
        <v>3743.6852702912402</v>
      </c>
      <c r="O1140" s="67">
        <v>113.445008190644</v>
      </c>
      <c r="P1140" s="67">
        <v>121.86000013351401</v>
      </c>
      <c r="Q1140" s="68">
        <v>3.2550813258945301E-2</v>
      </c>
    </row>
    <row r="1141" spans="1:17" x14ac:dyDescent="0.35">
      <c r="A1141" s="62" t="s">
        <v>136</v>
      </c>
      <c r="B1141" s="63">
        <v>634838</v>
      </c>
      <c r="C1141" s="63" t="s">
        <v>146</v>
      </c>
      <c r="D1141" s="64">
        <v>42675</v>
      </c>
      <c r="E1141" s="63" t="s">
        <v>138</v>
      </c>
      <c r="F1141" s="65">
        <v>45422</v>
      </c>
      <c r="G1141" s="66">
        <v>8.2556591211717708E-3</v>
      </c>
      <c r="H1141" s="65">
        <v>326</v>
      </c>
      <c r="I1141" s="67">
        <v>0.70720430423495595</v>
      </c>
      <c r="J1141" s="67">
        <v>5.8384376647892502</v>
      </c>
      <c r="K1141" s="65">
        <v>39</v>
      </c>
      <c r="L1141" s="65">
        <v>18</v>
      </c>
      <c r="M1141" s="66">
        <v>9.6774193548387094E-2</v>
      </c>
      <c r="N1141" s="67">
        <v>2050.7620214446802</v>
      </c>
      <c r="O1141" s="67">
        <v>113.931223413593</v>
      </c>
      <c r="P1141" s="67">
        <v>131.540000587702</v>
      </c>
      <c r="Q1141" s="68">
        <v>6.4142011219340406E-2</v>
      </c>
    </row>
    <row r="1142" spans="1:17" x14ac:dyDescent="0.35">
      <c r="A1142" s="62" t="s">
        <v>136</v>
      </c>
      <c r="B1142" s="63">
        <v>634838</v>
      </c>
      <c r="C1142" s="63" t="s">
        <v>146</v>
      </c>
      <c r="D1142" s="64">
        <v>42676</v>
      </c>
      <c r="E1142" s="63" t="s">
        <v>138</v>
      </c>
      <c r="F1142" s="65">
        <v>32252</v>
      </c>
      <c r="G1142" s="66">
        <v>9.2666261056769793E-3</v>
      </c>
      <c r="H1142" s="65">
        <v>594</v>
      </c>
      <c r="I1142" s="67">
        <v>0.68661616035182105</v>
      </c>
      <c r="J1142" s="67">
        <v>6.3626152360958699</v>
      </c>
      <c r="K1142" s="65">
        <v>64</v>
      </c>
      <c r="L1142" s="65">
        <v>16</v>
      </c>
      <c r="M1142" s="66">
        <v>7.0707070707070704E-2</v>
      </c>
      <c r="N1142" s="67">
        <v>1596.9404663539001</v>
      </c>
      <c r="O1142" s="67">
        <v>114.067176168136</v>
      </c>
      <c r="P1142" s="67">
        <v>135.94999974966001</v>
      </c>
      <c r="Q1142" s="68">
        <v>8.5131539098673201E-2</v>
      </c>
    </row>
    <row r="1143" spans="1:17" x14ac:dyDescent="0.35">
      <c r="A1143" s="62" t="s">
        <v>136</v>
      </c>
      <c r="B1143" s="63">
        <v>634838</v>
      </c>
      <c r="C1143" s="63" t="s">
        <v>146</v>
      </c>
      <c r="D1143" s="64">
        <v>42677</v>
      </c>
      <c r="E1143" s="63" t="s">
        <v>138</v>
      </c>
      <c r="F1143" s="65">
        <v>30305</v>
      </c>
      <c r="G1143" s="66">
        <v>9.7640001751390197E-3</v>
      </c>
      <c r="H1143" s="65">
        <v>590</v>
      </c>
      <c r="I1143" s="67">
        <v>0.72295964606139695</v>
      </c>
      <c r="J1143" s="67">
        <v>7.0589781107619203</v>
      </c>
      <c r="K1143" s="65">
        <v>91</v>
      </c>
      <c r="L1143" s="65">
        <v>17</v>
      </c>
      <c r="M1143" s="66">
        <v>7.6233183856502199E-2</v>
      </c>
      <c r="N1143" s="67">
        <v>1853.0402549293301</v>
      </c>
      <c r="O1143" s="67">
        <v>109.002367937019</v>
      </c>
      <c r="P1143" s="67">
        <v>161.220001071692</v>
      </c>
      <c r="Q1143" s="68">
        <v>8.7002967497778499E-2</v>
      </c>
    </row>
    <row r="1144" spans="1:17" x14ac:dyDescent="0.35">
      <c r="A1144" s="62" t="s">
        <v>136</v>
      </c>
      <c r="B1144" s="63">
        <v>634838</v>
      </c>
      <c r="C1144" s="63" t="s">
        <v>146</v>
      </c>
      <c r="D1144" s="64">
        <v>42678</v>
      </c>
      <c r="E1144" s="63" t="s">
        <v>138</v>
      </c>
      <c r="F1144" s="65">
        <v>30299</v>
      </c>
      <c r="G1144" s="66">
        <v>8.3935649335509406E-3</v>
      </c>
      <c r="H1144" s="65">
        <v>291</v>
      </c>
      <c r="I1144" s="67">
        <v>0.68074075201595297</v>
      </c>
      <c r="J1144" s="67">
        <v>5.7138417049601999</v>
      </c>
      <c r="K1144" s="65">
        <v>14</v>
      </c>
      <c r="L1144" s="65">
        <v>39</v>
      </c>
      <c r="M1144" s="66">
        <v>0.171296296296296</v>
      </c>
      <c r="N1144" s="67">
        <v>4819.8854716770602</v>
      </c>
      <c r="O1144" s="67">
        <v>130.26717491019099</v>
      </c>
      <c r="P1144" s="67">
        <v>147.04000243544601</v>
      </c>
      <c r="Q1144" s="68">
        <v>3.0506949449212499E-2</v>
      </c>
    </row>
    <row r="1145" spans="1:17" x14ac:dyDescent="0.35">
      <c r="A1145" s="62" t="s">
        <v>136</v>
      </c>
      <c r="B1145" s="63">
        <v>937733</v>
      </c>
      <c r="C1145" s="63" t="s">
        <v>147</v>
      </c>
      <c r="D1145" s="64">
        <v>42552</v>
      </c>
      <c r="E1145" s="63" t="s">
        <v>138</v>
      </c>
      <c r="F1145" s="65">
        <v>16693</v>
      </c>
      <c r="G1145" s="66">
        <v>2.07515423443634E-2</v>
      </c>
      <c r="H1145" s="65">
        <v>236</v>
      </c>
      <c r="I1145" s="67">
        <v>0.42216216913751697</v>
      </c>
      <c r="J1145" s="67">
        <v>8.7605161290454898</v>
      </c>
      <c r="K1145" s="65">
        <v>78</v>
      </c>
      <c r="L1145" s="65">
        <v>0</v>
      </c>
      <c r="M1145" s="66">
        <v>0</v>
      </c>
      <c r="N1145" s="67">
        <v>0</v>
      </c>
      <c r="O1145" s="67">
        <v>0</v>
      </c>
      <c r="P1145" s="67">
        <v>15.620000258088099</v>
      </c>
      <c r="Q1145" s="68">
        <v>0</v>
      </c>
    </row>
    <row r="1146" spans="1:17" x14ac:dyDescent="0.35">
      <c r="A1146" s="62" t="s">
        <v>136</v>
      </c>
      <c r="B1146" s="63">
        <v>937733</v>
      </c>
      <c r="C1146" s="63" t="s">
        <v>147</v>
      </c>
      <c r="D1146" s="64">
        <v>42553</v>
      </c>
      <c r="E1146" s="63" t="s">
        <v>138</v>
      </c>
      <c r="F1146" s="65">
        <v>19437</v>
      </c>
      <c r="G1146" s="66">
        <v>8.6289549376797701E-3</v>
      </c>
      <c r="H1146" s="65">
        <v>321</v>
      </c>
      <c r="I1146" s="67">
        <v>0.62944444848431502</v>
      </c>
      <c r="J1146" s="67">
        <v>5.4314477817438496</v>
      </c>
      <c r="K1146" s="65">
        <v>18</v>
      </c>
      <c r="L1146" s="65">
        <v>3</v>
      </c>
      <c r="M1146" s="66">
        <v>5.5555555555555601E-2</v>
      </c>
      <c r="N1146" s="67">
        <v>182.211083975934</v>
      </c>
      <c r="O1146" s="67">
        <v>182.211083975934</v>
      </c>
      <c r="P1146" s="67">
        <v>11.3300000727177</v>
      </c>
      <c r="Q1146" s="68">
        <v>6.2180630428685199E-2</v>
      </c>
    </row>
    <row r="1147" spans="1:17" x14ac:dyDescent="0.35">
      <c r="A1147" s="62" t="s">
        <v>136</v>
      </c>
      <c r="B1147" s="63">
        <v>937733</v>
      </c>
      <c r="C1147" s="63" t="s">
        <v>147</v>
      </c>
      <c r="D1147" s="64">
        <v>42554</v>
      </c>
      <c r="E1147" s="63" t="s">
        <v>138</v>
      </c>
      <c r="F1147" s="65">
        <v>49586</v>
      </c>
      <c r="G1147" s="66">
        <v>1.29564193168433E-2</v>
      </c>
      <c r="H1147" s="65">
        <v>406</v>
      </c>
      <c r="I1147" s="67">
        <v>0.57727273689074998</v>
      </c>
      <c r="J1147" s="67">
        <v>7.4793876393383298</v>
      </c>
      <c r="K1147" s="65">
        <v>14</v>
      </c>
      <c r="L1147" s="65">
        <v>0</v>
      </c>
      <c r="M1147" s="66">
        <v>0</v>
      </c>
      <c r="N1147" s="67">
        <v>0</v>
      </c>
      <c r="O1147" s="67">
        <v>0</v>
      </c>
      <c r="P1147" s="67">
        <v>12.7000002115965</v>
      </c>
      <c r="Q1147" s="68">
        <v>0</v>
      </c>
    </row>
    <row r="1148" spans="1:17" x14ac:dyDescent="0.35">
      <c r="A1148" s="62" t="s">
        <v>136</v>
      </c>
      <c r="B1148" s="63">
        <v>937733</v>
      </c>
      <c r="C1148" s="63" t="s">
        <v>147</v>
      </c>
      <c r="D1148" s="64">
        <v>42555</v>
      </c>
      <c r="E1148" s="63" t="s">
        <v>138</v>
      </c>
      <c r="F1148" s="65">
        <v>52906</v>
      </c>
      <c r="G1148" s="66">
        <v>1.9059720457433298E-2</v>
      </c>
      <c r="H1148" s="65">
        <v>249</v>
      </c>
      <c r="I1148" s="67">
        <v>0.54100000709295304</v>
      </c>
      <c r="J1148" s="67">
        <v>10.3113089026611</v>
      </c>
      <c r="K1148" s="65">
        <v>44</v>
      </c>
      <c r="L1148" s="65">
        <v>3</v>
      </c>
      <c r="M1148" s="66">
        <v>3.3333333333333298E-2</v>
      </c>
      <c r="N1148" s="67">
        <v>54.412655167205003</v>
      </c>
      <c r="O1148" s="67">
        <v>54.412655167205003</v>
      </c>
      <c r="P1148" s="67">
        <v>16.2300002127886</v>
      </c>
      <c r="Q1148" s="68">
        <v>0.29827620363158702</v>
      </c>
    </row>
    <row r="1149" spans="1:17" x14ac:dyDescent="0.35">
      <c r="A1149" s="62" t="s">
        <v>136</v>
      </c>
      <c r="B1149" s="63">
        <v>937733</v>
      </c>
      <c r="C1149" s="63" t="s">
        <v>147</v>
      </c>
      <c r="D1149" s="64">
        <v>42556</v>
      </c>
      <c r="E1149" s="63" t="s">
        <v>138</v>
      </c>
      <c r="F1149" s="65">
        <v>25649</v>
      </c>
      <c r="G1149" s="66">
        <v>1.6252390057361399E-2</v>
      </c>
      <c r="H1149" s="65">
        <v>219</v>
      </c>
      <c r="I1149" s="67">
        <v>0.45000000911600502</v>
      </c>
      <c r="J1149" s="67">
        <v>7.3135756739694804</v>
      </c>
      <c r="K1149" s="65">
        <v>41</v>
      </c>
      <c r="L1149" s="65">
        <v>3</v>
      </c>
      <c r="M1149" s="66">
        <v>0.17647058823529399</v>
      </c>
      <c r="N1149" s="67">
        <v>355.64872694876902</v>
      </c>
      <c r="O1149" s="67">
        <v>118.54957564959</v>
      </c>
      <c r="P1149" s="67">
        <v>7.65000015497208</v>
      </c>
      <c r="Q1149" s="68">
        <v>2.1509988860649101E-2</v>
      </c>
    </row>
    <row r="1150" spans="1:17" x14ac:dyDescent="0.35">
      <c r="A1150" s="62" t="s">
        <v>136</v>
      </c>
      <c r="B1150" s="63">
        <v>937733</v>
      </c>
      <c r="C1150" s="63" t="s">
        <v>147</v>
      </c>
      <c r="D1150" s="64">
        <v>42557</v>
      </c>
      <c r="E1150" s="63" t="s">
        <v>138</v>
      </c>
      <c r="F1150" s="65">
        <v>54989</v>
      </c>
      <c r="G1150" s="66">
        <v>7.0733863837312101E-3</v>
      </c>
      <c r="H1150" s="65">
        <v>593</v>
      </c>
      <c r="I1150" s="67">
        <v>0.26375000551342997</v>
      </c>
      <c r="J1150" s="67">
        <v>1.86560569770773</v>
      </c>
      <c r="K1150" s="65">
        <v>51</v>
      </c>
      <c r="L1150" s="65">
        <v>1</v>
      </c>
      <c r="M1150" s="66">
        <v>0</v>
      </c>
      <c r="N1150" s="67">
        <v>0</v>
      </c>
      <c r="O1150" s="67">
        <v>0</v>
      </c>
      <c r="P1150" s="67">
        <v>2.1100000441074398</v>
      </c>
      <c r="Q1150" s="68">
        <v>0</v>
      </c>
    </row>
    <row r="1151" spans="1:17" x14ac:dyDescent="0.35">
      <c r="A1151" s="62" t="s">
        <v>136</v>
      </c>
      <c r="B1151" s="63">
        <v>937733</v>
      </c>
      <c r="C1151" s="63" t="s">
        <v>147</v>
      </c>
      <c r="D1151" s="64">
        <v>42558</v>
      </c>
      <c r="E1151" s="63" t="s">
        <v>138</v>
      </c>
      <c r="F1151" s="65">
        <v>56637</v>
      </c>
      <c r="G1151" s="66">
        <v>1.2526096033402901E-2</v>
      </c>
      <c r="H1151" s="65">
        <v>212</v>
      </c>
      <c r="I1151" s="67">
        <v>0.538333346446355</v>
      </c>
      <c r="J1151" s="67">
        <v>6.74321519557021</v>
      </c>
      <c r="K1151" s="65">
        <v>42</v>
      </c>
      <c r="L1151" s="65">
        <v>0</v>
      </c>
      <c r="M1151" s="66">
        <v>0</v>
      </c>
      <c r="N1151" s="67">
        <v>0</v>
      </c>
      <c r="O1151" s="67">
        <v>0</v>
      </c>
      <c r="P1151" s="67">
        <v>6.4600001573562604</v>
      </c>
      <c r="Q1151" s="68">
        <v>0</v>
      </c>
    </row>
    <row r="1152" spans="1:17" x14ac:dyDescent="0.35">
      <c r="A1152" s="62" t="s">
        <v>136</v>
      </c>
      <c r="B1152" s="63">
        <v>937733</v>
      </c>
      <c r="C1152" s="63" t="s">
        <v>147</v>
      </c>
      <c r="D1152" s="64">
        <v>42559</v>
      </c>
      <c r="E1152" s="63" t="s">
        <v>138</v>
      </c>
      <c r="F1152" s="65">
        <v>43536</v>
      </c>
      <c r="G1152" s="66">
        <v>1.6416845110635299E-2</v>
      </c>
      <c r="H1152" s="65">
        <v>410</v>
      </c>
      <c r="I1152" s="67">
        <v>0.389565230711647</v>
      </c>
      <c r="J1152" s="67">
        <v>6.3954320530819899</v>
      </c>
      <c r="K1152" s="65">
        <v>22</v>
      </c>
      <c r="L1152" s="65">
        <v>1</v>
      </c>
      <c r="M1152" s="66">
        <v>0</v>
      </c>
      <c r="N1152" s="67">
        <v>0</v>
      </c>
      <c r="O1152" s="67">
        <v>0</v>
      </c>
      <c r="P1152" s="67">
        <v>8.9600003063678706</v>
      </c>
      <c r="Q1152" s="68">
        <v>0</v>
      </c>
    </row>
    <row r="1153" spans="1:17" x14ac:dyDescent="0.35">
      <c r="A1153" s="62" t="s">
        <v>136</v>
      </c>
      <c r="B1153" s="63">
        <v>937733</v>
      </c>
      <c r="C1153" s="63" t="s">
        <v>147</v>
      </c>
      <c r="D1153" s="64">
        <v>42560</v>
      </c>
      <c r="E1153" s="63" t="s">
        <v>138</v>
      </c>
      <c r="F1153" s="65">
        <v>17587</v>
      </c>
      <c r="G1153" s="66">
        <v>1.11034004163775E-2</v>
      </c>
      <c r="H1153" s="65">
        <v>537</v>
      </c>
      <c r="I1153" s="67">
        <v>0.45375001244246999</v>
      </c>
      <c r="J1153" s="67">
        <v>5.0381680770850199</v>
      </c>
      <c r="K1153" s="65">
        <v>68</v>
      </c>
      <c r="L1153" s="65">
        <v>1</v>
      </c>
      <c r="M1153" s="66">
        <v>0</v>
      </c>
      <c r="N1153" s="67">
        <v>0</v>
      </c>
      <c r="O1153" s="67">
        <v>0</v>
      </c>
      <c r="P1153" s="67">
        <v>7.26000019907951</v>
      </c>
      <c r="Q1153" s="68">
        <v>0</v>
      </c>
    </row>
    <row r="1154" spans="1:17" x14ac:dyDescent="0.35">
      <c r="A1154" s="62" t="s">
        <v>136</v>
      </c>
      <c r="B1154" s="63">
        <v>937733</v>
      </c>
      <c r="C1154" s="63" t="s">
        <v>147</v>
      </c>
      <c r="D1154" s="64">
        <v>42561</v>
      </c>
      <c r="E1154" s="63" t="s">
        <v>138</v>
      </c>
      <c r="F1154" s="65">
        <v>38331</v>
      </c>
      <c r="G1154" s="66">
        <v>1.48601398601399E-2</v>
      </c>
      <c r="H1154" s="65">
        <v>530</v>
      </c>
      <c r="I1154" s="67">
        <v>0.38529412448406197</v>
      </c>
      <c r="J1154" s="67">
        <v>5.7255245771233003</v>
      </c>
      <c r="K1154" s="65">
        <v>62</v>
      </c>
      <c r="L1154" s="65">
        <v>2</v>
      </c>
      <c r="M1154" s="66">
        <v>0</v>
      </c>
      <c r="N1154" s="67">
        <v>0</v>
      </c>
      <c r="O1154" s="67">
        <v>0</v>
      </c>
      <c r="P1154" s="67">
        <v>6.55000011622906</v>
      </c>
      <c r="Q1154" s="68">
        <v>0</v>
      </c>
    </row>
    <row r="1155" spans="1:17" x14ac:dyDescent="0.35">
      <c r="A1155" s="62" t="s">
        <v>136</v>
      </c>
      <c r="B1155" s="63">
        <v>937733</v>
      </c>
      <c r="C1155" s="63" t="s">
        <v>147</v>
      </c>
      <c r="D1155" s="64">
        <v>42562</v>
      </c>
      <c r="E1155" s="63" t="s">
        <v>138</v>
      </c>
      <c r="F1155" s="65">
        <v>20159</v>
      </c>
      <c r="G1155" s="66">
        <v>1.6650342801175302E-2</v>
      </c>
      <c r="H1155" s="65">
        <v>564</v>
      </c>
      <c r="I1155" s="67">
        <v>0.32823529751861802</v>
      </c>
      <c r="J1155" s="67">
        <v>5.4652302231307601</v>
      </c>
      <c r="K1155" s="65">
        <v>44</v>
      </c>
      <c r="L1155" s="65">
        <v>1</v>
      </c>
      <c r="M1155" s="66">
        <v>0</v>
      </c>
      <c r="N1155" s="67">
        <v>0</v>
      </c>
      <c r="O1155" s="67">
        <v>0</v>
      </c>
      <c r="P1155" s="67">
        <v>5.5800000578165099</v>
      </c>
      <c r="Q1155" s="68">
        <v>0</v>
      </c>
    </row>
    <row r="1156" spans="1:17" x14ac:dyDescent="0.35">
      <c r="A1156" s="62" t="s">
        <v>136</v>
      </c>
      <c r="B1156" s="63">
        <v>937733</v>
      </c>
      <c r="C1156" s="63" t="s">
        <v>147</v>
      </c>
      <c r="D1156" s="64">
        <v>42563</v>
      </c>
      <c r="E1156" s="63" t="s">
        <v>138</v>
      </c>
      <c r="F1156" s="65">
        <v>55791</v>
      </c>
      <c r="G1156" s="66">
        <v>1.4985014985015E-2</v>
      </c>
      <c r="H1156" s="65">
        <v>337</v>
      </c>
      <c r="I1156" s="67">
        <v>0.34000000854333201</v>
      </c>
      <c r="J1156" s="67">
        <v>5.0949052229270597</v>
      </c>
      <c r="K1156" s="65">
        <v>20</v>
      </c>
      <c r="L1156" s="65">
        <v>0</v>
      </c>
      <c r="M1156" s="66">
        <v>0</v>
      </c>
      <c r="N1156" s="67">
        <v>0</v>
      </c>
      <c r="O1156" s="67">
        <v>0</v>
      </c>
      <c r="P1156" s="67">
        <v>5.1000001281499898</v>
      </c>
      <c r="Q1156" s="68">
        <v>0</v>
      </c>
    </row>
    <row r="1157" spans="1:17" x14ac:dyDescent="0.35">
      <c r="A1157" s="62" t="s">
        <v>136</v>
      </c>
      <c r="B1157" s="63">
        <v>937733</v>
      </c>
      <c r="C1157" s="63" t="s">
        <v>147</v>
      </c>
      <c r="D1157" s="64">
        <v>42564</v>
      </c>
      <c r="E1157" s="63" t="s">
        <v>138</v>
      </c>
      <c r="F1157" s="65">
        <v>891</v>
      </c>
      <c r="G1157" s="66">
        <v>8.1775700934579396E-3</v>
      </c>
      <c r="H1157" s="65">
        <v>201</v>
      </c>
      <c r="I1157" s="67">
        <v>0.270000001149518</v>
      </c>
      <c r="J1157" s="67">
        <v>2.20794393463391</v>
      </c>
      <c r="K1157" s="65">
        <v>61</v>
      </c>
      <c r="L1157" s="65">
        <v>0</v>
      </c>
      <c r="M1157" s="66">
        <v>0</v>
      </c>
      <c r="N1157" s="67">
        <v>0</v>
      </c>
      <c r="O1157" s="67">
        <v>0</v>
      </c>
      <c r="P1157" s="67">
        <v>1.8900000080466299</v>
      </c>
      <c r="Q1157" s="68">
        <v>0</v>
      </c>
    </row>
    <row r="1158" spans="1:17" x14ac:dyDescent="0.35">
      <c r="A1158" s="62" t="s">
        <v>136</v>
      </c>
      <c r="B1158" s="63">
        <v>937733</v>
      </c>
      <c r="C1158" s="63" t="s">
        <v>147</v>
      </c>
      <c r="D1158" s="64">
        <v>42565</v>
      </c>
      <c r="E1158" s="63" t="s">
        <v>138</v>
      </c>
      <c r="F1158" s="65">
        <v>38969</v>
      </c>
      <c r="G1158" s="66">
        <v>2.37797246558198E-2</v>
      </c>
      <c r="H1158" s="65">
        <v>175</v>
      </c>
      <c r="I1158" s="67">
        <v>0.34210528590177203</v>
      </c>
      <c r="J1158" s="67">
        <v>8.1351695020446506</v>
      </c>
      <c r="K1158" s="65">
        <v>33</v>
      </c>
      <c r="L1158" s="65">
        <v>0</v>
      </c>
      <c r="M1158" s="66">
        <v>0</v>
      </c>
      <c r="N1158" s="67">
        <v>0</v>
      </c>
      <c r="O1158" s="67">
        <v>0</v>
      </c>
      <c r="P1158" s="67">
        <v>6.5000004321336702</v>
      </c>
      <c r="Q1158" s="68">
        <v>0</v>
      </c>
    </row>
    <row r="1159" spans="1:17" x14ac:dyDescent="0.35">
      <c r="A1159" s="62" t="s">
        <v>136</v>
      </c>
      <c r="B1159" s="63">
        <v>937733</v>
      </c>
      <c r="C1159" s="63" t="s">
        <v>147</v>
      </c>
      <c r="D1159" s="64">
        <v>42566</v>
      </c>
      <c r="E1159" s="63" t="s">
        <v>138</v>
      </c>
      <c r="F1159" s="65">
        <v>9746</v>
      </c>
      <c r="G1159" s="66">
        <v>1.53989734017732E-2</v>
      </c>
      <c r="H1159" s="65">
        <v>549</v>
      </c>
      <c r="I1159" s="67">
        <v>0.29878789683182999</v>
      </c>
      <c r="J1159" s="67">
        <v>4.6010268760851201</v>
      </c>
      <c r="K1159" s="65">
        <v>9</v>
      </c>
      <c r="L1159" s="65">
        <v>5</v>
      </c>
      <c r="M1159" s="66">
        <v>6.0606060606060601E-2</v>
      </c>
      <c r="N1159" s="67">
        <v>128.446709719182</v>
      </c>
      <c r="O1159" s="67">
        <v>64.223354859590799</v>
      </c>
      <c r="P1159" s="67">
        <v>9.8600005954503995</v>
      </c>
      <c r="Q1159" s="68">
        <v>7.6763356702612098E-2</v>
      </c>
    </row>
    <row r="1160" spans="1:17" x14ac:dyDescent="0.35">
      <c r="A1160" s="62" t="s">
        <v>136</v>
      </c>
      <c r="B1160" s="63">
        <v>937733</v>
      </c>
      <c r="C1160" s="63" t="s">
        <v>147</v>
      </c>
      <c r="D1160" s="64">
        <v>42567</v>
      </c>
      <c r="E1160" s="63" t="s">
        <v>138</v>
      </c>
      <c r="F1160" s="65">
        <v>4595</v>
      </c>
      <c r="G1160" s="66">
        <v>1.16222760290557E-2</v>
      </c>
      <c r="H1160" s="65">
        <v>226</v>
      </c>
      <c r="I1160" s="67">
        <v>0.28750001390774998</v>
      </c>
      <c r="J1160" s="67">
        <v>3.3414045199932301</v>
      </c>
      <c r="K1160" s="65">
        <v>97</v>
      </c>
      <c r="L1160" s="65">
        <v>1</v>
      </c>
      <c r="M1160" s="66">
        <v>0</v>
      </c>
      <c r="N1160" s="67">
        <v>0</v>
      </c>
      <c r="O1160" s="67">
        <v>0</v>
      </c>
      <c r="P1160" s="67">
        <v>6.9000003337860099</v>
      </c>
      <c r="Q1160" s="68">
        <v>0</v>
      </c>
    </row>
    <row r="1161" spans="1:17" x14ac:dyDescent="0.35">
      <c r="A1161" s="62" t="s">
        <v>136</v>
      </c>
      <c r="B1161" s="63">
        <v>937733</v>
      </c>
      <c r="C1161" s="63" t="s">
        <v>147</v>
      </c>
      <c r="D1161" s="64">
        <v>42568</v>
      </c>
      <c r="E1161" s="63" t="s">
        <v>138</v>
      </c>
      <c r="F1161" s="65">
        <v>8798</v>
      </c>
      <c r="G1161" s="66">
        <v>2.1604938271604899E-2</v>
      </c>
      <c r="H1161" s="65">
        <v>282</v>
      </c>
      <c r="I1161" s="67">
        <v>0.28190477813283599</v>
      </c>
      <c r="J1161" s="67">
        <v>6.0905353300304101</v>
      </c>
      <c r="K1161" s="65">
        <v>87</v>
      </c>
      <c r="L1161" s="65">
        <v>0</v>
      </c>
      <c r="M1161" s="66">
        <v>0</v>
      </c>
      <c r="N1161" s="67">
        <v>0</v>
      </c>
      <c r="O1161" s="67">
        <v>0</v>
      </c>
      <c r="P1161" s="67">
        <v>11.840000681579101</v>
      </c>
      <c r="Q1161" s="68">
        <v>0</v>
      </c>
    </row>
    <row r="1162" spans="1:17" x14ac:dyDescent="0.35">
      <c r="A1162" s="62" t="s">
        <v>136</v>
      </c>
      <c r="B1162" s="63">
        <v>937733</v>
      </c>
      <c r="C1162" s="63" t="s">
        <v>147</v>
      </c>
      <c r="D1162" s="64">
        <v>42569</v>
      </c>
      <c r="E1162" s="63" t="s">
        <v>138</v>
      </c>
      <c r="F1162" s="65">
        <v>18558</v>
      </c>
      <c r="G1162" s="66">
        <v>1.3023255813953499E-2</v>
      </c>
      <c r="H1162" s="65">
        <v>222</v>
      </c>
      <c r="I1162" s="67">
        <v>0.26785715403301402</v>
      </c>
      <c r="J1162" s="67">
        <v>3.4883722385694802</v>
      </c>
      <c r="K1162" s="65">
        <v>60</v>
      </c>
      <c r="L1162" s="65">
        <v>1</v>
      </c>
      <c r="M1162" s="66">
        <v>0</v>
      </c>
      <c r="N1162" s="67">
        <v>0</v>
      </c>
      <c r="O1162" s="67">
        <v>0</v>
      </c>
      <c r="P1162" s="67">
        <v>7.5000003129243904</v>
      </c>
      <c r="Q1162" s="68">
        <v>0</v>
      </c>
    </row>
    <row r="1163" spans="1:17" x14ac:dyDescent="0.35">
      <c r="A1163" s="62" t="s">
        <v>136</v>
      </c>
      <c r="B1163" s="63">
        <v>937733</v>
      </c>
      <c r="C1163" s="63" t="s">
        <v>147</v>
      </c>
      <c r="D1163" s="64">
        <v>42570</v>
      </c>
      <c r="E1163" s="63" t="s">
        <v>138</v>
      </c>
      <c r="F1163" s="65">
        <v>14878</v>
      </c>
      <c r="G1163" s="66">
        <v>1.38888888888889E-2</v>
      </c>
      <c r="H1163" s="65">
        <v>430</v>
      </c>
      <c r="I1163" s="67">
        <v>0.30942859053611799</v>
      </c>
      <c r="J1163" s="67">
        <v>4.29761931300163</v>
      </c>
      <c r="K1163" s="65">
        <v>23</v>
      </c>
      <c r="L1163" s="65">
        <v>0</v>
      </c>
      <c r="M1163" s="66">
        <v>0</v>
      </c>
      <c r="N1163" s="67">
        <v>0</v>
      </c>
      <c r="O1163" s="67">
        <v>0</v>
      </c>
      <c r="P1163" s="67">
        <v>10.8300006687641</v>
      </c>
      <c r="Q1163" s="68">
        <v>0</v>
      </c>
    </row>
    <row r="1164" spans="1:17" x14ac:dyDescent="0.35">
      <c r="A1164" s="62" t="s">
        <v>136</v>
      </c>
      <c r="B1164" s="63">
        <v>937733</v>
      </c>
      <c r="C1164" s="63" t="s">
        <v>147</v>
      </c>
      <c r="D1164" s="64">
        <v>42571</v>
      </c>
      <c r="E1164" s="63" t="s">
        <v>138</v>
      </c>
      <c r="F1164" s="65">
        <v>14386</v>
      </c>
      <c r="G1164" s="66">
        <v>1.8231186966640799E-2</v>
      </c>
      <c r="H1164" s="65">
        <v>496</v>
      </c>
      <c r="I1164" s="67">
        <v>0.28638299760666303</v>
      </c>
      <c r="J1164" s="67">
        <v>5.22110197343412</v>
      </c>
      <c r="K1164" s="65">
        <v>46</v>
      </c>
      <c r="L1164" s="65">
        <v>4</v>
      </c>
      <c r="M1164" s="66">
        <v>8.5106382978723402E-2</v>
      </c>
      <c r="N1164" s="67">
        <v>470.52468164592199</v>
      </c>
      <c r="O1164" s="67">
        <v>117.63117041148</v>
      </c>
      <c r="P1164" s="67">
        <v>13.4600008875132</v>
      </c>
      <c r="Q1164" s="68">
        <v>2.8606365218566899E-2</v>
      </c>
    </row>
    <row r="1165" spans="1:17" x14ac:dyDescent="0.35">
      <c r="A1165" s="62" t="s">
        <v>136</v>
      </c>
      <c r="B1165" s="63">
        <v>937733</v>
      </c>
      <c r="C1165" s="63" t="s">
        <v>147</v>
      </c>
      <c r="D1165" s="64">
        <v>42572</v>
      </c>
      <c r="E1165" s="63" t="s">
        <v>138</v>
      </c>
      <c r="F1165" s="65">
        <v>57144</v>
      </c>
      <c r="G1165" s="66">
        <v>1.49198060425214E-2</v>
      </c>
      <c r="H1165" s="65">
        <v>543</v>
      </c>
      <c r="I1165" s="67">
        <v>0.275750016979873</v>
      </c>
      <c r="J1165" s="67">
        <v>4.1141367695616999</v>
      </c>
      <c r="K1165" s="65">
        <v>75</v>
      </c>
      <c r="L1165" s="65">
        <v>2</v>
      </c>
      <c r="M1165" s="66">
        <v>0</v>
      </c>
      <c r="N1165" s="67">
        <v>0</v>
      </c>
      <c r="O1165" s="67">
        <v>0</v>
      </c>
      <c r="P1165" s="67">
        <v>11.030000679194901</v>
      </c>
      <c r="Q1165" s="68">
        <v>0</v>
      </c>
    </row>
    <row r="1166" spans="1:17" x14ac:dyDescent="0.35">
      <c r="A1166" s="62" t="s">
        <v>136</v>
      </c>
      <c r="B1166" s="63">
        <v>937733</v>
      </c>
      <c r="C1166" s="63" t="s">
        <v>147</v>
      </c>
      <c r="D1166" s="64">
        <v>42573</v>
      </c>
      <c r="E1166" s="63" t="s">
        <v>138</v>
      </c>
      <c r="F1166" s="65">
        <v>20104</v>
      </c>
      <c r="G1166" s="66">
        <v>1.4421385860007E-2</v>
      </c>
      <c r="H1166" s="65">
        <v>434</v>
      </c>
      <c r="I1166" s="67">
        <v>0.28804879726433202</v>
      </c>
      <c r="J1166" s="67">
        <v>4.1540628518598703</v>
      </c>
      <c r="K1166" s="65">
        <v>97</v>
      </c>
      <c r="L1166" s="65">
        <v>4</v>
      </c>
      <c r="M1166" s="66">
        <v>0</v>
      </c>
      <c r="N1166" s="67">
        <v>0</v>
      </c>
      <c r="O1166" s="67">
        <v>0</v>
      </c>
      <c r="P1166" s="67">
        <v>11.810000687837601</v>
      </c>
      <c r="Q1166" s="68">
        <v>0</v>
      </c>
    </row>
    <row r="1167" spans="1:17" x14ac:dyDescent="0.35">
      <c r="A1167" s="62" t="s">
        <v>136</v>
      </c>
      <c r="B1167" s="63">
        <v>937733</v>
      </c>
      <c r="C1167" s="63" t="s">
        <v>147</v>
      </c>
      <c r="D1167" s="64">
        <v>42574</v>
      </c>
      <c r="E1167" s="63" t="s">
        <v>138</v>
      </c>
      <c r="F1167" s="65">
        <v>23982</v>
      </c>
      <c r="G1167" s="66">
        <v>1.69555388093444E-2</v>
      </c>
      <c r="H1167" s="65">
        <v>181</v>
      </c>
      <c r="I1167" s="67">
        <v>0.29044445653756501</v>
      </c>
      <c r="J1167" s="67">
        <v>4.9246422547816104</v>
      </c>
      <c r="K1167" s="65">
        <v>71</v>
      </c>
      <c r="L1167" s="65">
        <v>2</v>
      </c>
      <c r="M1167" s="66">
        <v>2.2222222222222199E-2</v>
      </c>
      <c r="N1167" s="67">
        <v>51.603423600086003</v>
      </c>
      <c r="O1167" s="67">
        <v>51.603423600086003</v>
      </c>
      <c r="P1167" s="67">
        <v>13.0700005441904</v>
      </c>
      <c r="Q1167" s="68">
        <v>0.253277779503154</v>
      </c>
    </row>
    <row r="1168" spans="1:17" x14ac:dyDescent="0.35">
      <c r="A1168" s="62" t="s">
        <v>136</v>
      </c>
      <c r="B1168" s="63">
        <v>937733</v>
      </c>
      <c r="C1168" s="63" t="s">
        <v>147</v>
      </c>
      <c r="D1168" s="64">
        <v>42575</v>
      </c>
      <c r="E1168" s="63" t="s">
        <v>138</v>
      </c>
      <c r="F1168" s="65">
        <v>804</v>
      </c>
      <c r="G1168" s="66">
        <v>1.9634860489149201E-2</v>
      </c>
      <c r="H1168" s="65">
        <v>201</v>
      </c>
      <c r="I1168" s="67">
        <v>0.29824562357705903</v>
      </c>
      <c r="J1168" s="67">
        <v>5.8560112104348603</v>
      </c>
      <c r="K1168" s="65">
        <v>81</v>
      </c>
      <c r="L1168" s="65">
        <v>4</v>
      </c>
      <c r="M1168" s="66">
        <v>5.2631578947368397E-2</v>
      </c>
      <c r="N1168" s="67">
        <v>156.97121651090799</v>
      </c>
      <c r="O1168" s="67">
        <v>52.323738836969397</v>
      </c>
      <c r="P1168" s="67">
        <v>17.000000543892401</v>
      </c>
      <c r="Q1168" s="68">
        <v>0.10830011336958099</v>
      </c>
    </row>
    <row r="1169" spans="1:17" x14ac:dyDescent="0.35">
      <c r="A1169" s="62" t="s">
        <v>136</v>
      </c>
      <c r="B1169" s="63">
        <v>937733</v>
      </c>
      <c r="C1169" s="63" t="s">
        <v>147</v>
      </c>
      <c r="D1169" s="64">
        <v>42576</v>
      </c>
      <c r="E1169" s="63" t="s">
        <v>138</v>
      </c>
      <c r="F1169" s="65">
        <v>15036</v>
      </c>
      <c r="G1169" s="66">
        <v>1.50772710139465E-2</v>
      </c>
      <c r="H1169" s="65">
        <v>553</v>
      </c>
      <c r="I1169" s="67">
        <v>0.31400000937283001</v>
      </c>
      <c r="J1169" s="67">
        <v>4.7342632396958999</v>
      </c>
      <c r="K1169" s="65">
        <v>13</v>
      </c>
      <c r="L1169" s="65">
        <v>6</v>
      </c>
      <c r="M1169" s="66">
        <v>0.05</v>
      </c>
      <c r="N1169" s="67">
        <v>81.986344791095505</v>
      </c>
      <c r="O1169" s="67">
        <v>40.993172395547703</v>
      </c>
      <c r="P1169" s="67">
        <v>12.5600003749132</v>
      </c>
      <c r="Q1169" s="68">
        <v>0.15319624758143099</v>
      </c>
    </row>
    <row r="1170" spans="1:17" x14ac:dyDescent="0.35">
      <c r="A1170" s="62" t="s">
        <v>136</v>
      </c>
      <c r="B1170" s="63">
        <v>937733</v>
      </c>
      <c r="C1170" s="63" t="s">
        <v>147</v>
      </c>
      <c r="D1170" s="64">
        <v>42577</v>
      </c>
      <c r="E1170" s="63" t="s">
        <v>138</v>
      </c>
      <c r="F1170" s="65">
        <v>20471</v>
      </c>
      <c r="G1170" s="66">
        <v>4.8691418137553301E-3</v>
      </c>
      <c r="H1170" s="65">
        <v>166</v>
      </c>
      <c r="I1170" s="67">
        <v>0.35250001400709202</v>
      </c>
      <c r="J1170" s="67">
        <v>1.7163725575512701</v>
      </c>
      <c r="K1170" s="65">
        <v>65</v>
      </c>
      <c r="L1170" s="65">
        <v>1</v>
      </c>
      <c r="M1170" s="66">
        <v>0</v>
      </c>
      <c r="N1170" s="67">
        <v>0</v>
      </c>
      <c r="O1170" s="67">
        <v>0</v>
      </c>
      <c r="P1170" s="67">
        <v>2.82000011205673</v>
      </c>
      <c r="Q1170" s="68">
        <v>0</v>
      </c>
    </row>
    <row r="1171" spans="1:17" x14ac:dyDescent="0.35">
      <c r="A1171" s="62" t="s">
        <v>136</v>
      </c>
      <c r="B1171" s="63">
        <v>937733</v>
      </c>
      <c r="C1171" s="63" t="s">
        <v>147</v>
      </c>
      <c r="D1171" s="64">
        <v>42578</v>
      </c>
      <c r="E1171" s="63" t="s">
        <v>138</v>
      </c>
      <c r="F1171" s="65">
        <v>66578</v>
      </c>
      <c r="G1171" s="66">
        <v>1.640838650866E-2</v>
      </c>
      <c r="H1171" s="65">
        <v>293</v>
      </c>
      <c r="I1171" s="67">
        <v>0.21250001030663601</v>
      </c>
      <c r="J1171" s="67">
        <v>3.48678230220552</v>
      </c>
      <c r="K1171" s="65">
        <v>38</v>
      </c>
      <c r="L1171" s="65">
        <v>5</v>
      </c>
      <c r="M1171" s="66">
        <v>5.5555555555555601E-2</v>
      </c>
      <c r="N1171" s="67">
        <v>155.28567855983999</v>
      </c>
      <c r="O1171" s="67">
        <v>77.642839279919997</v>
      </c>
      <c r="P1171" s="67">
        <v>7.6500003710389102</v>
      </c>
      <c r="Q1171" s="68">
        <v>4.9264043162170597E-2</v>
      </c>
    </row>
    <row r="1172" spans="1:17" x14ac:dyDescent="0.35">
      <c r="A1172" s="62" t="s">
        <v>136</v>
      </c>
      <c r="B1172" s="63">
        <v>937733</v>
      </c>
      <c r="C1172" s="63" t="s">
        <v>147</v>
      </c>
      <c r="D1172" s="64">
        <v>42579</v>
      </c>
      <c r="E1172" s="63" t="s">
        <v>138</v>
      </c>
      <c r="F1172" s="65">
        <v>37071</v>
      </c>
      <c r="G1172" s="66">
        <v>2.9061102831594601E-2</v>
      </c>
      <c r="H1172" s="65">
        <v>218</v>
      </c>
      <c r="I1172" s="67">
        <v>0.25846154414690498</v>
      </c>
      <c r="J1172" s="67">
        <v>7.5111775124659301</v>
      </c>
      <c r="K1172" s="65">
        <v>49</v>
      </c>
      <c r="L1172" s="65">
        <v>1</v>
      </c>
      <c r="M1172" s="66">
        <v>2.5641025641025599E-2</v>
      </c>
      <c r="N1172" s="67">
        <v>226.07830218080099</v>
      </c>
      <c r="O1172" s="67">
        <v>226.07830218080099</v>
      </c>
      <c r="P1172" s="67">
        <v>10.0800002217293</v>
      </c>
      <c r="Q1172" s="68">
        <v>4.4586323076984298E-2</v>
      </c>
    </row>
    <row r="1173" spans="1:17" x14ac:dyDescent="0.35">
      <c r="A1173" s="62" t="s">
        <v>136</v>
      </c>
      <c r="B1173" s="63">
        <v>937733</v>
      </c>
      <c r="C1173" s="63" t="s">
        <v>147</v>
      </c>
      <c r="D1173" s="64">
        <v>42580</v>
      </c>
      <c r="E1173" s="63" t="s">
        <v>138</v>
      </c>
      <c r="F1173" s="65">
        <v>410</v>
      </c>
      <c r="G1173" s="66">
        <v>2.40213523131673E-2</v>
      </c>
      <c r="H1173" s="65">
        <v>152</v>
      </c>
      <c r="I1173" s="67">
        <v>0.26962963740030899</v>
      </c>
      <c r="J1173" s="67">
        <v>6.4768685140643703</v>
      </c>
      <c r="K1173" s="65">
        <v>21</v>
      </c>
      <c r="L1173" s="65">
        <v>2</v>
      </c>
      <c r="M1173" s="66">
        <v>3.7037037037037E-2</v>
      </c>
      <c r="N1173" s="67">
        <v>43.089289025949597</v>
      </c>
      <c r="O1173" s="67">
        <v>43.089289025949597</v>
      </c>
      <c r="P1173" s="67">
        <v>7.2800002098083496</v>
      </c>
      <c r="Q1173" s="68">
        <v>0.16895150452410901</v>
      </c>
    </row>
    <row r="1174" spans="1:17" x14ac:dyDescent="0.35">
      <c r="A1174" s="62" t="s">
        <v>136</v>
      </c>
      <c r="B1174" s="63">
        <v>937733</v>
      </c>
      <c r="C1174" s="63" t="s">
        <v>147</v>
      </c>
      <c r="D1174" s="64">
        <v>42581</v>
      </c>
      <c r="E1174" s="63" t="s">
        <v>138</v>
      </c>
      <c r="F1174" s="65">
        <v>32022</v>
      </c>
      <c r="G1174" s="66">
        <v>2.0435967302452299E-2</v>
      </c>
      <c r="H1174" s="65">
        <v>363</v>
      </c>
      <c r="I1174" s="67">
        <v>0.28166668117046401</v>
      </c>
      <c r="J1174" s="67">
        <v>5.7561310865898498</v>
      </c>
      <c r="K1174" s="65">
        <v>20</v>
      </c>
      <c r="L1174" s="65">
        <v>0</v>
      </c>
      <c r="M1174" s="66">
        <v>0</v>
      </c>
      <c r="N1174" s="67">
        <v>0</v>
      </c>
      <c r="O1174" s="67">
        <v>0</v>
      </c>
      <c r="P1174" s="67">
        <v>8.4500004351139104</v>
      </c>
      <c r="Q1174" s="68">
        <v>0</v>
      </c>
    </row>
    <row r="1175" spans="1:17" x14ac:dyDescent="0.35">
      <c r="A1175" s="62" t="s">
        <v>136</v>
      </c>
      <c r="B1175" s="63">
        <v>937733</v>
      </c>
      <c r="C1175" s="63" t="s">
        <v>147</v>
      </c>
      <c r="D1175" s="64">
        <v>42582</v>
      </c>
      <c r="E1175" s="63" t="s">
        <v>138</v>
      </c>
      <c r="F1175" s="65">
        <v>52899</v>
      </c>
      <c r="G1175" s="66">
        <v>1.6776512881965199E-2</v>
      </c>
      <c r="H1175" s="65">
        <v>309</v>
      </c>
      <c r="I1175" s="67">
        <v>0.28035714849829702</v>
      </c>
      <c r="J1175" s="67">
        <v>4.7034153133327203</v>
      </c>
      <c r="K1175" s="65">
        <v>35</v>
      </c>
      <c r="L1175" s="65">
        <v>2</v>
      </c>
      <c r="M1175" s="66">
        <v>3.5714285714285698E-2</v>
      </c>
      <c r="N1175" s="67">
        <v>60.463304475963497</v>
      </c>
      <c r="O1175" s="67">
        <v>60.463304475963497</v>
      </c>
      <c r="P1175" s="67">
        <v>7.8500001579523104</v>
      </c>
      <c r="Q1175" s="68">
        <v>0.12983081599638599</v>
      </c>
    </row>
    <row r="1176" spans="1:17" x14ac:dyDescent="0.35">
      <c r="A1176" s="62" t="s">
        <v>136</v>
      </c>
      <c r="B1176" s="63">
        <v>937733</v>
      </c>
      <c r="C1176" s="63" t="s">
        <v>147</v>
      </c>
      <c r="D1176" s="64">
        <v>42583</v>
      </c>
      <c r="E1176" s="63" t="s">
        <v>138</v>
      </c>
      <c r="F1176" s="65">
        <v>11217</v>
      </c>
      <c r="G1176" s="66">
        <v>1.48387096774194E-2</v>
      </c>
      <c r="H1176" s="65">
        <v>396</v>
      </c>
      <c r="I1176" s="67">
        <v>0.234782618025075</v>
      </c>
      <c r="J1176" s="67">
        <v>3.4838711061785301</v>
      </c>
      <c r="K1176" s="65">
        <v>75</v>
      </c>
      <c r="L1176" s="65">
        <v>3</v>
      </c>
      <c r="M1176" s="66">
        <v>0</v>
      </c>
      <c r="N1176" s="67">
        <v>0</v>
      </c>
      <c r="O1176" s="67">
        <v>0</v>
      </c>
      <c r="P1176" s="67">
        <v>5.4000002145767203</v>
      </c>
      <c r="Q1176" s="68">
        <v>0</v>
      </c>
    </row>
    <row r="1177" spans="1:17" x14ac:dyDescent="0.35">
      <c r="A1177" s="62" t="s">
        <v>136</v>
      </c>
      <c r="B1177" s="63">
        <v>937733</v>
      </c>
      <c r="C1177" s="63" t="s">
        <v>147</v>
      </c>
      <c r="D1177" s="64">
        <v>42584</v>
      </c>
      <c r="E1177" s="63" t="s">
        <v>138</v>
      </c>
      <c r="F1177" s="65">
        <v>67433</v>
      </c>
      <c r="G1177" s="66">
        <v>9.7529258777633299E-3</v>
      </c>
      <c r="H1177" s="65">
        <v>344</v>
      </c>
      <c r="I1177" s="67">
        <v>0.26066667685906098</v>
      </c>
      <c r="J1177" s="67">
        <v>2.5422627782093099</v>
      </c>
      <c r="K1177" s="65">
        <v>72</v>
      </c>
      <c r="L1177" s="65">
        <v>1</v>
      </c>
      <c r="M1177" s="66">
        <v>0</v>
      </c>
      <c r="N1177" s="67">
        <v>0</v>
      </c>
      <c r="O1177" s="67">
        <v>0</v>
      </c>
      <c r="P1177" s="67">
        <v>3.9100001528859099</v>
      </c>
      <c r="Q1177" s="68">
        <v>0</v>
      </c>
    </row>
    <row r="1178" spans="1:17" x14ac:dyDescent="0.35">
      <c r="A1178" s="62" t="s">
        <v>136</v>
      </c>
      <c r="B1178" s="63">
        <v>937733</v>
      </c>
      <c r="C1178" s="63" t="s">
        <v>147</v>
      </c>
      <c r="D1178" s="64">
        <v>42585</v>
      </c>
      <c r="E1178" s="63" t="s">
        <v>138</v>
      </c>
      <c r="F1178" s="65">
        <v>28985</v>
      </c>
      <c r="G1178" s="66">
        <v>1.38728323699422E-2</v>
      </c>
      <c r="H1178" s="65">
        <v>558</v>
      </c>
      <c r="I1178" s="67">
        <v>0.23958334171523701</v>
      </c>
      <c r="J1178" s="67">
        <v>3.3236995382460601</v>
      </c>
      <c r="K1178" s="65">
        <v>99</v>
      </c>
      <c r="L1178" s="65">
        <v>2</v>
      </c>
      <c r="M1178" s="66">
        <v>0</v>
      </c>
      <c r="N1178" s="67">
        <v>0</v>
      </c>
      <c r="O1178" s="67">
        <v>0</v>
      </c>
      <c r="P1178" s="67">
        <v>5.7500002011656797</v>
      </c>
      <c r="Q1178" s="68">
        <v>0</v>
      </c>
    </row>
    <row r="1179" spans="1:17" x14ac:dyDescent="0.35">
      <c r="A1179" s="62" t="s">
        <v>136</v>
      </c>
      <c r="B1179" s="63">
        <v>937733</v>
      </c>
      <c r="C1179" s="63" t="s">
        <v>147</v>
      </c>
      <c r="D1179" s="64">
        <v>42586</v>
      </c>
      <c r="E1179" s="63" t="s">
        <v>138</v>
      </c>
      <c r="F1179" s="65">
        <v>48666</v>
      </c>
      <c r="G1179" s="66">
        <v>1.143583227446E-2</v>
      </c>
      <c r="H1179" s="65">
        <v>195</v>
      </c>
      <c r="I1179" s="67">
        <v>0.32777778887086401</v>
      </c>
      <c r="J1179" s="67">
        <v>3.74841181682056</v>
      </c>
      <c r="K1179" s="65">
        <v>97</v>
      </c>
      <c r="L1179" s="65">
        <v>2</v>
      </c>
      <c r="M1179" s="66">
        <v>5.5555555555555601E-2</v>
      </c>
      <c r="N1179" s="67">
        <v>312.683215982484</v>
      </c>
      <c r="O1179" s="67">
        <v>312.683215982484</v>
      </c>
      <c r="P1179" s="67">
        <v>5.90000019967556</v>
      </c>
      <c r="Q1179" s="68">
        <v>1.88689379477473E-2</v>
      </c>
    </row>
    <row r="1180" spans="1:17" x14ac:dyDescent="0.35">
      <c r="A1180" s="62" t="s">
        <v>136</v>
      </c>
      <c r="B1180" s="63">
        <v>937733</v>
      </c>
      <c r="C1180" s="63" t="s">
        <v>147</v>
      </c>
      <c r="D1180" s="64">
        <v>42587</v>
      </c>
      <c r="E1180" s="63" t="s">
        <v>138</v>
      </c>
      <c r="F1180" s="65">
        <v>13597</v>
      </c>
      <c r="G1180" s="66">
        <v>2.6259758694109299E-2</v>
      </c>
      <c r="H1180" s="65">
        <v>166</v>
      </c>
      <c r="I1180" s="67">
        <v>0.30108109358194701</v>
      </c>
      <c r="J1180" s="67">
        <v>7.9063168648204698</v>
      </c>
      <c r="K1180" s="65">
        <v>90</v>
      </c>
      <c r="L1180" s="65">
        <v>0</v>
      </c>
      <c r="M1180" s="66">
        <v>0</v>
      </c>
      <c r="N1180" s="67">
        <v>0</v>
      </c>
      <c r="O1180" s="67">
        <v>0</v>
      </c>
      <c r="P1180" s="67">
        <v>11.140000462532001</v>
      </c>
      <c r="Q1180" s="68">
        <v>0</v>
      </c>
    </row>
    <row r="1181" spans="1:17" x14ac:dyDescent="0.35">
      <c r="A1181" s="62" t="s">
        <v>136</v>
      </c>
      <c r="B1181" s="63">
        <v>937733</v>
      </c>
      <c r="C1181" s="63" t="s">
        <v>147</v>
      </c>
      <c r="D1181" s="64">
        <v>42588</v>
      </c>
      <c r="E1181" s="63" t="s">
        <v>138</v>
      </c>
      <c r="F1181" s="65">
        <v>45062</v>
      </c>
      <c r="G1181" s="66">
        <v>1.6141429669485001E-2</v>
      </c>
      <c r="H1181" s="65">
        <v>510</v>
      </c>
      <c r="I1181" s="67">
        <v>0.248095249136289</v>
      </c>
      <c r="J1181" s="67">
        <v>4.0046120152667699</v>
      </c>
      <c r="K1181" s="65">
        <v>27</v>
      </c>
      <c r="L1181" s="65">
        <v>1</v>
      </c>
      <c r="M1181" s="66">
        <v>0</v>
      </c>
      <c r="N1181" s="67">
        <v>0</v>
      </c>
      <c r="O1181" s="67">
        <v>0</v>
      </c>
      <c r="P1181" s="67">
        <v>5.21000023186207</v>
      </c>
      <c r="Q1181" s="68">
        <v>0</v>
      </c>
    </row>
    <row r="1182" spans="1:17" x14ac:dyDescent="0.35">
      <c r="A1182" s="62" t="s">
        <v>136</v>
      </c>
      <c r="B1182" s="63">
        <v>937733</v>
      </c>
      <c r="C1182" s="63" t="s">
        <v>147</v>
      </c>
      <c r="D1182" s="64">
        <v>42589</v>
      </c>
      <c r="E1182" s="63" t="s">
        <v>138</v>
      </c>
      <c r="F1182" s="65">
        <v>45347</v>
      </c>
      <c r="G1182" s="66">
        <v>1.0348071495766701E-2</v>
      </c>
      <c r="H1182" s="65">
        <v>212</v>
      </c>
      <c r="I1182" s="67">
        <v>0.26363637366078102</v>
      </c>
      <c r="J1182" s="67">
        <v>2.7281280435264299</v>
      </c>
      <c r="K1182" s="65">
        <v>81</v>
      </c>
      <c r="L1182" s="65">
        <v>1</v>
      </c>
      <c r="M1182" s="66">
        <v>0</v>
      </c>
      <c r="N1182" s="67">
        <v>0</v>
      </c>
      <c r="O1182" s="67">
        <v>0</v>
      </c>
      <c r="P1182" s="67">
        <v>2.9000001102685902</v>
      </c>
      <c r="Q1182" s="68">
        <v>0</v>
      </c>
    </row>
    <row r="1183" spans="1:17" x14ac:dyDescent="0.35">
      <c r="A1183" s="62" t="s">
        <v>136</v>
      </c>
      <c r="B1183" s="63">
        <v>937733</v>
      </c>
      <c r="C1183" s="63" t="s">
        <v>147</v>
      </c>
      <c r="D1183" s="64">
        <v>42590</v>
      </c>
      <c r="E1183" s="63" t="s">
        <v>138</v>
      </c>
      <c r="F1183" s="65">
        <v>51236</v>
      </c>
      <c r="G1183" s="66">
        <v>1.7274472168905999E-2</v>
      </c>
      <c r="H1183" s="65">
        <v>553</v>
      </c>
      <c r="I1183" s="67">
        <v>0.30055556943019202</v>
      </c>
      <c r="J1183" s="67">
        <v>5.1919388193315399</v>
      </c>
      <c r="K1183" s="65">
        <v>11</v>
      </c>
      <c r="L1183" s="65">
        <v>2</v>
      </c>
      <c r="M1183" s="66">
        <v>0</v>
      </c>
      <c r="N1183" s="67">
        <v>0</v>
      </c>
      <c r="O1183" s="67">
        <v>0</v>
      </c>
      <c r="P1183" s="67">
        <v>5.4100002497434598</v>
      </c>
      <c r="Q1183" s="68">
        <v>0</v>
      </c>
    </row>
    <row r="1184" spans="1:17" x14ac:dyDescent="0.35">
      <c r="A1184" s="62" t="s">
        <v>136</v>
      </c>
      <c r="B1184" s="63">
        <v>937733</v>
      </c>
      <c r="C1184" s="63" t="s">
        <v>147</v>
      </c>
      <c r="D1184" s="64">
        <v>42591</v>
      </c>
      <c r="E1184" s="63" t="s">
        <v>138</v>
      </c>
      <c r="F1184" s="65">
        <v>6633</v>
      </c>
      <c r="G1184" s="66">
        <v>1.13636363636364E-2</v>
      </c>
      <c r="H1184" s="65">
        <v>360</v>
      </c>
      <c r="I1184" s="67">
        <v>0.30833334475755703</v>
      </c>
      <c r="J1184" s="67">
        <v>3.5037880086086002</v>
      </c>
      <c r="K1184" s="65">
        <v>55</v>
      </c>
      <c r="L1184" s="65">
        <v>3</v>
      </c>
      <c r="M1184" s="66">
        <v>0</v>
      </c>
      <c r="N1184" s="67">
        <v>0</v>
      </c>
      <c r="O1184" s="67">
        <v>0</v>
      </c>
      <c r="P1184" s="67">
        <v>3.7000001370906799</v>
      </c>
      <c r="Q1184" s="68">
        <v>0</v>
      </c>
    </row>
    <row r="1185" spans="1:17" x14ac:dyDescent="0.35">
      <c r="A1185" s="62" t="s">
        <v>136</v>
      </c>
      <c r="B1185" s="63">
        <v>937733</v>
      </c>
      <c r="C1185" s="63" t="s">
        <v>147</v>
      </c>
      <c r="D1185" s="64">
        <v>42592</v>
      </c>
      <c r="E1185" s="63" t="s">
        <v>138</v>
      </c>
      <c r="F1185" s="65">
        <v>34936</v>
      </c>
      <c r="G1185" s="66">
        <v>1.27931769722815E-2</v>
      </c>
      <c r="H1185" s="65">
        <v>234</v>
      </c>
      <c r="I1185" s="67">
        <v>0.29333334043622</v>
      </c>
      <c r="J1185" s="67">
        <v>3.75266533607105</v>
      </c>
      <c r="K1185" s="65">
        <v>57</v>
      </c>
      <c r="L1185" s="65">
        <v>5</v>
      </c>
      <c r="M1185" s="66">
        <v>0.16666666666666699</v>
      </c>
      <c r="N1185" s="67">
        <v>359.88963745980197</v>
      </c>
      <c r="O1185" s="67">
        <v>179.94481872990099</v>
      </c>
      <c r="P1185" s="67">
        <v>3.5200000852346398</v>
      </c>
      <c r="Q1185" s="68">
        <v>9.7807764349086192E-3</v>
      </c>
    </row>
    <row r="1186" spans="1:17" x14ac:dyDescent="0.35">
      <c r="A1186" s="62" t="s">
        <v>136</v>
      </c>
      <c r="B1186" s="63">
        <v>937733</v>
      </c>
      <c r="C1186" s="63" t="s">
        <v>147</v>
      </c>
      <c r="D1186" s="64">
        <v>42593</v>
      </c>
      <c r="E1186" s="63" t="s">
        <v>138</v>
      </c>
      <c r="F1186" s="65">
        <v>52461</v>
      </c>
      <c r="G1186" s="66">
        <v>6.4724919093851101E-3</v>
      </c>
      <c r="H1186" s="65">
        <v>286</v>
      </c>
      <c r="I1186" s="67">
        <v>0.30750001035630697</v>
      </c>
      <c r="J1186" s="67">
        <v>1.9902913291670401</v>
      </c>
      <c r="K1186" s="65">
        <v>69</v>
      </c>
      <c r="L1186" s="65">
        <v>2</v>
      </c>
      <c r="M1186" s="66">
        <v>0</v>
      </c>
      <c r="N1186" s="67">
        <v>0</v>
      </c>
      <c r="O1186" s="67">
        <v>0</v>
      </c>
      <c r="P1186" s="67">
        <v>2.4600000828504598</v>
      </c>
      <c r="Q1186" s="68">
        <v>0</v>
      </c>
    </row>
    <row r="1187" spans="1:17" x14ac:dyDescent="0.35">
      <c r="A1187" s="62" t="s">
        <v>136</v>
      </c>
      <c r="B1187" s="63">
        <v>937733</v>
      </c>
      <c r="C1187" s="63" t="s">
        <v>147</v>
      </c>
      <c r="D1187" s="64">
        <v>42594</v>
      </c>
      <c r="E1187" s="63" t="s">
        <v>138</v>
      </c>
      <c r="F1187" s="65">
        <v>22004</v>
      </c>
      <c r="G1187" s="66">
        <v>1.1227544910179601E-2</v>
      </c>
      <c r="H1187" s="65">
        <v>488</v>
      </c>
      <c r="I1187" s="67">
        <v>0.35333334505558001</v>
      </c>
      <c r="J1187" s="67">
        <v>3.9670659998755302</v>
      </c>
      <c r="K1187" s="65">
        <v>20</v>
      </c>
      <c r="L1187" s="65">
        <v>2</v>
      </c>
      <c r="M1187" s="66">
        <v>6.6666666666666693E-2</v>
      </c>
      <c r="N1187" s="67">
        <v>222.88325573374701</v>
      </c>
      <c r="O1187" s="67">
        <v>222.88325573374701</v>
      </c>
      <c r="P1187" s="67">
        <v>5.3000001758337003</v>
      </c>
      <c r="Q1187" s="68">
        <v>2.37792657792338E-2</v>
      </c>
    </row>
    <row r="1188" spans="1:17" x14ac:dyDescent="0.35">
      <c r="A1188" s="62" t="s">
        <v>136</v>
      </c>
      <c r="B1188" s="63">
        <v>937733</v>
      </c>
      <c r="C1188" s="63" t="s">
        <v>147</v>
      </c>
      <c r="D1188" s="64">
        <v>42595</v>
      </c>
      <c r="E1188" s="63" t="s">
        <v>138</v>
      </c>
      <c r="F1188" s="65">
        <v>45246</v>
      </c>
      <c r="G1188" s="66">
        <v>1.7948717948717899E-2</v>
      </c>
      <c r="H1188" s="65">
        <v>315</v>
      </c>
      <c r="I1188" s="67">
        <v>0.28619048496087401</v>
      </c>
      <c r="J1188" s="67">
        <v>5.1367522941695301</v>
      </c>
      <c r="K1188" s="65">
        <v>63</v>
      </c>
      <c r="L1188" s="65">
        <v>2</v>
      </c>
      <c r="M1188" s="66">
        <v>0</v>
      </c>
      <c r="N1188" s="67">
        <v>0</v>
      </c>
      <c r="O1188" s="67">
        <v>0</v>
      </c>
      <c r="P1188" s="67">
        <v>6.0100001841783497</v>
      </c>
      <c r="Q1188" s="68">
        <v>0</v>
      </c>
    </row>
    <row r="1189" spans="1:17" x14ac:dyDescent="0.35">
      <c r="A1189" s="62" t="s">
        <v>136</v>
      </c>
      <c r="B1189" s="63">
        <v>937733</v>
      </c>
      <c r="C1189" s="63" t="s">
        <v>147</v>
      </c>
      <c r="D1189" s="64">
        <v>42596</v>
      </c>
      <c r="E1189" s="63" t="s">
        <v>138</v>
      </c>
      <c r="F1189" s="65">
        <v>62033</v>
      </c>
      <c r="G1189" s="66">
        <v>1.05448154657294E-2</v>
      </c>
      <c r="H1189" s="65">
        <v>504</v>
      </c>
      <c r="I1189" s="67">
        <v>0.27500000596046398</v>
      </c>
      <c r="J1189" s="67">
        <v>2.8998243159275701</v>
      </c>
      <c r="K1189" s="65">
        <v>35</v>
      </c>
      <c r="L1189" s="65">
        <v>0</v>
      </c>
      <c r="M1189" s="66">
        <v>0</v>
      </c>
      <c r="N1189" s="67">
        <v>0</v>
      </c>
      <c r="O1189" s="67">
        <v>0</v>
      </c>
      <c r="P1189" s="67">
        <v>3.3000000715255702</v>
      </c>
      <c r="Q1189" s="68">
        <v>0</v>
      </c>
    </row>
    <row r="1190" spans="1:17" x14ac:dyDescent="0.35">
      <c r="A1190" s="62" t="s">
        <v>136</v>
      </c>
      <c r="B1190" s="63">
        <v>937733</v>
      </c>
      <c r="C1190" s="63" t="s">
        <v>147</v>
      </c>
      <c r="D1190" s="64">
        <v>42597</v>
      </c>
      <c r="E1190" s="63" t="s">
        <v>138</v>
      </c>
      <c r="F1190" s="65">
        <v>66476</v>
      </c>
      <c r="G1190" s="66">
        <v>1.5567765567765599E-2</v>
      </c>
      <c r="H1190" s="65">
        <v>229</v>
      </c>
      <c r="I1190" s="67">
        <v>0.23352942045997199</v>
      </c>
      <c r="J1190" s="67">
        <v>3.6355312708969998</v>
      </c>
      <c r="K1190" s="65">
        <v>26</v>
      </c>
      <c r="L1190" s="65">
        <v>0</v>
      </c>
      <c r="M1190" s="66">
        <v>0</v>
      </c>
      <c r="N1190" s="67">
        <v>0</v>
      </c>
      <c r="O1190" s="67">
        <v>0</v>
      </c>
      <c r="P1190" s="67">
        <v>3.9700001478195199</v>
      </c>
      <c r="Q1190" s="68">
        <v>0</v>
      </c>
    </row>
    <row r="1191" spans="1:17" x14ac:dyDescent="0.35">
      <c r="A1191" s="62" t="s">
        <v>136</v>
      </c>
      <c r="B1191" s="63">
        <v>937733</v>
      </c>
      <c r="C1191" s="63" t="s">
        <v>147</v>
      </c>
      <c r="D1191" s="64">
        <v>42598</v>
      </c>
      <c r="E1191" s="63" t="s">
        <v>138</v>
      </c>
      <c r="F1191" s="65">
        <v>57524</v>
      </c>
      <c r="G1191" s="66">
        <v>1.4018691588785E-2</v>
      </c>
      <c r="H1191" s="65">
        <v>299</v>
      </c>
      <c r="I1191" s="67">
        <v>0.30555556714534798</v>
      </c>
      <c r="J1191" s="67">
        <v>4.28348925904693</v>
      </c>
      <c r="K1191" s="65">
        <v>45</v>
      </c>
      <c r="L1191" s="65">
        <v>4</v>
      </c>
      <c r="M1191" s="66">
        <v>5.5555555555555601E-2</v>
      </c>
      <c r="N1191" s="67">
        <v>473.788584238662</v>
      </c>
      <c r="O1191" s="67">
        <v>473.788584238662</v>
      </c>
      <c r="P1191" s="67">
        <v>5.5000002086162603</v>
      </c>
      <c r="Q1191" s="68">
        <v>1.1608553670524401E-2</v>
      </c>
    </row>
    <row r="1192" spans="1:17" x14ac:dyDescent="0.35">
      <c r="A1192" s="62" t="s">
        <v>136</v>
      </c>
      <c r="B1192" s="63">
        <v>937733</v>
      </c>
      <c r="C1192" s="63" t="s">
        <v>147</v>
      </c>
      <c r="D1192" s="64">
        <v>42599</v>
      </c>
      <c r="E1192" s="63" t="s">
        <v>138</v>
      </c>
      <c r="F1192" s="65">
        <v>66222</v>
      </c>
      <c r="G1192" s="66">
        <v>1.55210643015521E-2</v>
      </c>
      <c r="H1192" s="65">
        <v>331</v>
      </c>
      <c r="I1192" s="67">
        <v>0.31285715316023099</v>
      </c>
      <c r="J1192" s="67">
        <v>4.8558759914004899</v>
      </c>
      <c r="K1192" s="65">
        <v>65</v>
      </c>
      <c r="L1192" s="65">
        <v>2</v>
      </c>
      <c r="M1192" s="66">
        <v>0</v>
      </c>
      <c r="N1192" s="67">
        <v>0</v>
      </c>
      <c r="O1192" s="67">
        <v>0</v>
      </c>
      <c r="P1192" s="67">
        <v>6.5700002163648596</v>
      </c>
      <c r="Q1192" s="68">
        <v>0</v>
      </c>
    </row>
    <row r="1193" spans="1:17" x14ac:dyDescent="0.35">
      <c r="A1193" s="62" t="s">
        <v>136</v>
      </c>
      <c r="B1193" s="63">
        <v>937733</v>
      </c>
      <c r="C1193" s="63" t="s">
        <v>147</v>
      </c>
      <c r="D1193" s="64">
        <v>42600</v>
      </c>
      <c r="E1193" s="63" t="s">
        <v>138</v>
      </c>
      <c r="F1193" s="65">
        <v>27531</v>
      </c>
      <c r="G1193" s="66">
        <v>1.48456057007126E-2</v>
      </c>
      <c r="H1193" s="65">
        <v>230</v>
      </c>
      <c r="I1193" s="67">
        <v>0.30360001027584099</v>
      </c>
      <c r="J1193" s="67">
        <v>4.5071260432874203</v>
      </c>
      <c r="K1193" s="65">
        <v>82</v>
      </c>
      <c r="L1193" s="65">
        <v>1</v>
      </c>
      <c r="M1193" s="66">
        <v>0.04</v>
      </c>
      <c r="N1193" s="67">
        <v>22.374547993567401</v>
      </c>
      <c r="O1193" s="67">
        <v>22.374547993567401</v>
      </c>
      <c r="P1193" s="67">
        <v>7.5900002568960199</v>
      </c>
      <c r="Q1193" s="68">
        <v>0.339224741392681</v>
      </c>
    </row>
    <row r="1194" spans="1:17" x14ac:dyDescent="0.35">
      <c r="A1194" s="62" t="s">
        <v>136</v>
      </c>
      <c r="B1194" s="63">
        <v>937733</v>
      </c>
      <c r="C1194" s="63" t="s">
        <v>147</v>
      </c>
      <c r="D1194" s="64">
        <v>42601</v>
      </c>
      <c r="E1194" s="63" t="s">
        <v>138</v>
      </c>
      <c r="F1194" s="65">
        <v>47637</v>
      </c>
      <c r="G1194" s="66">
        <v>1.1759384893713301E-2</v>
      </c>
      <c r="H1194" s="65">
        <v>162</v>
      </c>
      <c r="I1194" s="67">
        <v>0.27269231699980201</v>
      </c>
      <c r="J1194" s="67">
        <v>3.2066939131591399</v>
      </c>
      <c r="K1194" s="65">
        <v>86</v>
      </c>
      <c r="L1194" s="65">
        <v>1</v>
      </c>
      <c r="M1194" s="66">
        <v>0</v>
      </c>
      <c r="N1194" s="67">
        <v>0</v>
      </c>
      <c r="O1194" s="67">
        <v>0</v>
      </c>
      <c r="P1194" s="67">
        <v>7.0900002419948596</v>
      </c>
      <c r="Q1194" s="68">
        <v>0</v>
      </c>
    </row>
    <row r="1195" spans="1:17" x14ac:dyDescent="0.35">
      <c r="A1195" s="62" t="s">
        <v>136</v>
      </c>
      <c r="B1195" s="63">
        <v>937733</v>
      </c>
      <c r="C1195" s="63" t="s">
        <v>147</v>
      </c>
      <c r="D1195" s="64">
        <v>42602</v>
      </c>
      <c r="E1195" s="63" t="s">
        <v>138</v>
      </c>
      <c r="F1195" s="65">
        <v>56211</v>
      </c>
      <c r="G1195" s="66">
        <v>9.2402464065708401E-3</v>
      </c>
      <c r="H1195" s="65">
        <v>423</v>
      </c>
      <c r="I1195" s="67">
        <v>0.21666667610406901</v>
      </c>
      <c r="J1195" s="67">
        <v>2.0020534752942698</v>
      </c>
      <c r="K1195" s="65">
        <v>42</v>
      </c>
      <c r="L1195" s="65">
        <v>1</v>
      </c>
      <c r="M1195" s="66">
        <v>0</v>
      </c>
      <c r="N1195" s="67">
        <v>0</v>
      </c>
      <c r="O1195" s="67">
        <v>0</v>
      </c>
      <c r="P1195" s="67">
        <v>3.9000001698732398</v>
      </c>
      <c r="Q1195" s="68">
        <v>0</v>
      </c>
    </row>
    <row r="1196" spans="1:17" x14ac:dyDescent="0.35">
      <c r="A1196" s="62" t="s">
        <v>136</v>
      </c>
      <c r="B1196" s="63">
        <v>937733</v>
      </c>
      <c r="C1196" s="63" t="s">
        <v>147</v>
      </c>
      <c r="D1196" s="64">
        <v>42603</v>
      </c>
      <c r="E1196" s="63" t="s">
        <v>138</v>
      </c>
      <c r="F1196" s="65">
        <v>9333</v>
      </c>
      <c r="G1196" s="66">
        <v>9.4043887147335394E-3</v>
      </c>
      <c r="H1196" s="65">
        <v>527</v>
      </c>
      <c r="I1196" s="67">
        <v>0.260000006606181</v>
      </c>
      <c r="J1196" s="67">
        <v>2.4451411279578199</v>
      </c>
      <c r="K1196" s="65">
        <v>44</v>
      </c>
      <c r="L1196" s="65">
        <v>2</v>
      </c>
      <c r="M1196" s="66">
        <v>0</v>
      </c>
      <c r="N1196" s="67">
        <v>0</v>
      </c>
      <c r="O1196" s="67">
        <v>0</v>
      </c>
      <c r="P1196" s="67">
        <v>3.1200000792741802</v>
      </c>
      <c r="Q1196" s="68">
        <v>0</v>
      </c>
    </row>
    <row r="1197" spans="1:17" x14ac:dyDescent="0.35">
      <c r="A1197" s="62" t="s">
        <v>136</v>
      </c>
      <c r="B1197" s="63">
        <v>937733</v>
      </c>
      <c r="C1197" s="63" t="s">
        <v>147</v>
      </c>
      <c r="D1197" s="64">
        <v>42604</v>
      </c>
      <c r="E1197" s="63" t="s">
        <v>138</v>
      </c>
      <c r="F1197" s="65">
        <v>15852</v>
      </c>
      <c r="G1197" s="66">
        <v>1.1159330440173599E-2</v>
      </c>
      <c r="H1197" s="65">
        <v>302</v>
      </c>
      <c r="I1197" s="67">
        <v>0.31833334763844801</v>
      </c>
      <c r="J1197" s="67">
        <v>3.5523870164240998</v>
      </c>
      <c r="K1197" s="65">
        <v>91</v>
      </c>
      <c r="L1197" s="65">
        <v>2</v>
      </c>
      <c r="M1197" s="66">
        <v>5.5555555555555601E-2</v>
      </c>
      <c r="N1197" s="67">
        <v>12.8901533102821</v>
      </c>
      <c r="O1197" s="67">
        <v>12.8901533102821</v>
      </c>
      <c r="P1197" s="67">
        <v>5.7300002574920699</v>
      </c>
      <c r="Q1197" s="68">
        <v>0.44452537681777798</v>
      </c>
    </row>
    <row r="1198" spans="1:17" x14ac:dyDescent="0.35">
      <c r="A1198" s="62" t="s">
        <v>136</v>
      </c>
      <c r="B1198" s="63">
        <v>937733</v>
      </c>
      <c r="C1198" s="63" t="s">
        <v>147</v>
      </c>
      <c r="D1198" s="64">
        <v>42605</v>
      </c>
      <c r="E1198" s="63" t="s">
        <v>138</v>
      </c>
      <c r="F1198" s="65">
        <v>46185</v>
      </c>
      <c r="G1198" s="66">
        <v>1.1954261954262E-2</v>
      </c>
      <c r="H1198" s="65">
        <v>335</v>
      </c>
      <c r="I1198" s="67">
        <v>0.31521740296612599</v>
      </c>
      <c r="J1198" s="67">
        <v>3.76819140759922</v>
      </c>
      <c r="K1198" s="65">
        <v>46</v>
      </c>
      <c r="L1198" s="65">
        <v>1</v>
      </c>
      <c r="M1198" s="66">
        <v>4.3478260869565202E-2</v>
      </c>
      <c r="N1198" s="67">
        <v>132.60907316068099</v>
      </c>
      <c r="O1198" s="67">
        <v>132.60907316068099</v>
      </c>
      <c r="P1198" s="67">
        <v>7.2500002682208997</v>
      </c>
      <c r="Q1198" s="68">
        <v>5.4671977530799498E-2</v>
      </c>
    </row>
    <row r="1199" spans="1:17" x14ac:dyDescent="0.35">
      <c r="A1199" s="62" t="s">
        <v>136</v>
      </c>
      <c r="B1199" s="63">
        <v>937733</v>
      </c>
      <c r="C1199" s="63" t="s">
        <v>147</v>
      </c>
      <c r="D1199" s="64">
        <v>42606</v>
      </c>
      <c r="E1199" s="63" t="s">
        <v>138</v>
      </c>
      <c r="F1199" s="65">
        <v>27175</v>
      </c>
      <c r="G1199" s="66">
        <v>1.49975810353169E-2</v>
      </c>
      <c r="H1199" s="65">
        <v>162</v>
      </c>
      <c r="I1199" s="67">
        <v>0.31064517363425198</v>
      </c>
      <c r="J1199" s="67">
        <v>4.6589261648097802</v>
      </c>
      <c r="K1199" s="65">
        <v>28</v>
      </c>
      <c r="L1199" s="65">
        <v>2</v>
      </c>
      <c r="M1199" s="66">
        <v>3.2258064516128997E-2</v>
      </c>
      <c r="N1199" s="67">
        <v>125.711332170855</v>
      </c>
      <c r="O1199" s="67">
        <v>125.711332170855</v>
      </c>
      <c r="P1199" s="67">
        <v>9.6300003826618195</v>
      </c>
      <c r="Q1199" s="68">
        <v>7.6604075514637104E-2</v>
      </c>
    </row>
    <row r="1200" spans="1:17" x14ac:dyDescent="0.35">
      <c r="A1200" s="62" t="s">
        <v>136</v>
      </c>
      <c r="B1200" s="63">
        <v>937733</v>
      </c>
      <c r="C1200" s="63" t="s">
        <v>147</v>
      </c>
      <c r="D1200" s="64">
        <v>42607</v>
      </c>
      <c r="E1200" s="63" t="s">
        <v>138</v>
      </c>
      <c r="F1200" s="65">
        <v>29886</v>
      </c>
      <c r="G1200" s="66">
        <v>1.4382402707275799E-2</v>
      </c>
      <c r="H1200" s="65">
        <v>465</v>
      </c>
      <c r="I1200" s="67">
        <v>0.29941177411990999</v>
      </c>
      <c r="J1200" s="67">
        <v>4.3062607106924498</v>
      </c>
      <c r="K1200" s="65">
        <v>62</v>
      </c>
      <c r="L1200" s="65">
        <v>3</v>
      </c>
      <c r="M1200" s="66">
        <v>5.8823529411764698E-2</v>
      </c>
      <c r="N1200" s="67">
        <v>104.112778065184</v>
      </c>
      <c r="O1200" s="67">
        <v>52.056389032591802</v>
      </c>
      <c r="P1200" s="67">
        <v>10.1800003200769</v>
      </c>
      <c r="Q1200" s="68">
        <v>9.7778586925260799E-2</v>
      </c>
    </row>
    <row r="1201" spans="1:17" x14ac:dyDescent="0.35">
      <c r="A1201" s="62" t="s">
        <v>136</v>
      </c>
      <c r="B1201" s="63">
        <v>937733</v>
      </c>
      <c r="C1201" s="63" t="s">
        <v>147</v>
      </c>
      <c r="D1201" s="64">
        <v>42608</v>
      </c>
      <c r="E1201" s="63" t="s">
        <v>138</v>
      </c>
      <c r="F1201" s="65">
        <v>37300</v>
      </c>
      <c r="G1201" s="66">
        <v>1.52505446623094E-2</v>
      </c>
      <c r="H1201" s="65">
        <v>384</v>
      </c>
      <c r="I1201" s="67">
        <v>0.307023820600339</v>
      </c>
      <c r="J1201" s="67">
        <v>4.6822804884583302</v>
      </c>
      <c r="K1201" s="65">
        <v>30</v>
      </c>
      <c r="L1201" s="65">
        <v>3</v>
      </c>
      <c r="M1201" s="66">
        <v>1.1904761904761901E-2</v>
      </c>
      <c r="N1201" s="67">
        <v>30.091396383754901</v>
      </c>
      <c r="O1201" s="67">
        <v>30.091396383754901</v>
      </c>
      <c r="P1201" s="67">
        <v>25.790000930428501</v>
      </c>
      <c r="Q1201" s="68">
        <v>0.85705563814750296</v>
      </c>
    </row>
    <row r="1202" spans="1:17" x14ac:dyDescent="0.35">
      <c r="A1202" s="62" t="s">
        <v>136</v>
      </c>
      <c r="B1202" s="63">
        <v>937733</v>
      </c>
      <c r="C1202" s="63" t="s">
        <v>147</v>
      </c>
      <c r="D1202" s="64">
        <v>42609</v>
      </c>
      <c r="E1202" s="63" t="s">
        <v>138</v>
      </c>
      <c r="F1202" s="65">
        <v>66347</v>
      </c>
      <c r="G1202" s="66">
        <v>7.3009891662741402E-3</v>
      </c>
      <c r="H1202" s="65">
        <v>404</v>
      </c>
      <c r="I1202" s="67">
        <v>0.326451622190014</v>
      </c>
      <c r="J1202" s="67">
        <v>2.38341975692191</v>
      </c>
      <c r="K1202" s="65">
        <v>45</v>
      </c>
      <c r="L1202" s="65">
        <v>3</v>
      </c>
      <c r="M1202" s="66">
        <v>0</v>
      </c>
      <c r="N1202" s="67">
        <v>0</v>
      </c>
      <c r="O1202" s="67">
        <v>0</v>
      </c>
      <c r="P1202" s="67">
        <v>10.120000287890401</v>
      </c>
      <c r="Q1202" s="68">
        <v>0</v>
      </c>
    </row>
    <row r="1203" spans="1:17" x14ac:dyDescent="0.35">
      <c r="A1203" s="62" t="s">
        <v>136</v>
      </c>
      <c r="B1203" s="63">
        <v>937733</v>
      </c>
      <c r="C1203" s="63" t="s">
        <v>147</v>
      </c>
      <c r="D1203" s="64">
        <v>42610</v>
      </c>
      <c r="E1203" s="63" t="s">
        <v>138</v>
      </c>
      <c r="F1203" s="65">
        <v>33783</v>
      </c>
      <c r="G1203" s="66">
        <v>1.26867775585001E-2</v>
      </c>
      <c r="H1203" s="65">
        <v>405</v>
      </c>
      <c r="I1203" s="67">
        <v>0.36311112129026002</v>
      </c>
      <c r="J1203" s="67">
        <v>4.6067100248270902</v>
      </c>
      <c r="K1203" s="65">
        <v>77</v>
      </c>
      <c r="L1203" s="65">
        <v>0</v>
      </c>
      <c r="M1203" s="66">
        <v>0</v>
      </c>
      <c r="N1203" s="67">
        <v>0</v>
      </c>
      <c r="O1203" s="67">
        <v>0</v>
      </c>
      <c r="P1203" s="67">
        <v>16.340000458061699</v>
      </c>
      <c r="Q1203" s="68">
        <v>0</v>
      </c>
    </row>
    <row r="1204" spans="1:17" x14ac:dyDescent="0.35">
      <c r="A1204" s="62" t="s">
        <v>136</v>
      </c>
      <c r="B1204" s="63">
        <v>937733</v>
      </c>
      <c r="C1204" s="63" t="s">
        <v>147</v>
      </c>
      <c r="D1204" s="64">
        <v>42611</v>
      </c>
      <c r="E1204" s="63" t="s">
        <v>138</v>
      </c>
      <c r="F1204" s="65">
        <v>1220</v>
      </c>
      <c r="G1204" s="66">
        <v>4.5551169146674803E-3</v>
      </c>
      <c r="H1204" s="65">
        <v>154</v>
      </c>
      <c r="I1204" s="67">
        <v>0.285333342850208</v>
      </c>
      <c r="J1204" s="67">
        <v>1.2997267363356</v>
      </c>
      <c r="K1204" s="65">
        <v>12</v>
      </c>
      <c r="L1204" s="65">
        <v>1</v>
      </c>
      <c r="M1204" s="66">
        <v>0</v>
      </c>
      <c r="N1204" s="67">
        <v>0</v>
      </c>
      <c r="O1204" s="67">
        <v>0</v>
      </c>
      <c r="P1204" s="67">
        <v>4.2800001427531198</v>
      </c>
      <c r="Q1204" s="68">
        <v>0</v>
      </c>
    </row>
    <row r="1205" spans="1:17" x14ac:dyDescent="0.35">
      <c r="A1205" s="62" t="s">
        <v>136</v>
      </c>
      <c r="B1205" s="63">
        <v>937733</v>
      </c>
      <c r="C1205" s="63" t="s">
        <v>147</v>
      </c>
      <c r="D1205" s="64">
        <v>42612</v>
      </c>
      <c r="E1205" s="63" t="s">
        <v>138</v>
      </c>
      <c r="F1205" s="65">
        <v>67463</v>
      </c>
      <c r="G1205" s="66">
        <v>6.5653075328265401E-3</v>
      </c>
      <c r="H1205" s="65">
        <v>186</v>
      </c>
      <c r="I1205" s="67">
        <v>0.26789474565731902</v>
      </c>
      <c r="J1205" s="67">
        <v>1.7588113916686401</v>
      </c>
      <c r="K1205" s="65">
        <v>12</v>
      </c>
      <c r="L1205" s="65">
        <v>4</v>
      </c>
      <c r="M1205" s="66">
        <v>0</v>
      </c>
      <c r="N1205" s="67">
        <v>0</v>
      </c>
      <c r="O1205" s="67">
        <v>0</v>
      </c>
      <c r="P1205" s="67">
        <v>5.09000016748905</v>
      </c>
      <c r="Q1205" s="68">
        <v>0</v>
      </c>
    </row>
    <row r="1206" spans="1:17" x14ac:dyDescent="0.35">
      <c r="A1206" s="62" t="s">
        <v>136</v>
      </c>
      <c r="B1206" s="63">
        <v>937733</v>
      </c>
      <c r="C1206" s="63" t="s">
        <v>147</v>
      </c>
      <c r="D1206" s="64">
        <v>42613</v>
      </c>
      <c r="E1206" s="63" t="s">
        <v>138</v>
      </c>
      <c r="F1206" s="65">
        <v>18901</v>
      </c>
      <c r="G1206" s="66">
        <v>7.76096235933256E-3</v>
      </c>
      <c r="H1206" s="65">
        <v>274</v>
      </c>
      <c r="I1206" s="67">
        <v>0.25700001008808598</v>
      </c>
      <c r="J1206" s="67">
        <v>1.9945674046417201</v>
      </c>
      <c r="K1206" s="65">
        <v>75</v>
      </c>
      <c r="L1206" s="65">
        <v>4</v>
      </c>
      <c r="M1206" s="66">
        <v>0.1</v>
      </c>
      <c r="N1206" s="67">
        <v>711.45889326958297</v>
      </c>
      <c r="O1206" s="67">
        <v>355.729446634792</v>
      </c>
      <c r="P1206" s="67">
        <v>5.1400002017617199</v>
      </c>
      <c r="Q1206" s="68">
        <v>7.2245919622148796E-3</v>
      </c>
    </row>
    <row r="1207" spans="1:17" x14ac:dyDescent="0.35">
      <c r="A1207" s="62" t="s">
        <v>136</v>
      </c>
      <c r="B1207" s="63">
        <v>937733</v>
      </c>
      <c r="C1207" s="63" t="s">
        <v>147</v>
      </c>
      <c r="D1207" s="64">
        <v>42614</v>
      </c>
      <c r="E1207" s="63" t="s">
        <v>138</v>
      </c>
      <c r="F1207" s="65">
        <v>49560</v>
      </c>
      <c r="G1207" s="66">
        <v>1.8685955394816201E-2</v>
      </c>
      <c r="H1207" s="65">
        <v>235</v>
      </c>
      <c r="I1207" s="67">
        <v>0.369677424430847</v>
      </c>
      <c r="J1207" s="67">
        <v>6.9077758633853303</v>
      </c>
      <c r="K1207" s="65">
        <v>90</v>
      </c>
      <c r="L1207" s="65">
        <v>4</v>
      </c>
      <c r="M1207" s="66">
        <v>3.2258064516128997E-2</v>
      </c>
      <c r="N1207" s="67">
        <v>105.74124836923799</v>
      </c>
      <c r="O1207" s="67">
        <v>105.74124836923799</v>
      </c>
      <c r="P1207" s="67">
        <v>11.4600001573563</v>
      </c>
      <c r="Q1207" s="68">
        <v>0.10837776491288501</v>
      </c>
    </row>
    <row r="1208" spans="1:17" x14ac:dyDescent="0.35">
      <c r="A1208" s="62" t="s">
        <v>136</v>
      </c>
      <c r="B1208" s="63">
        <v>937733</v>
      </c>
      <c r="C1208" s="63" t="s">
        <v>147</v>
      </c>
      <c r="D1208" s="64">
        <v>42615</v>
      </c>
      <c r="E1208" s="63" t="s">
        <v>138</v>
      </c>
      <c r="F1208" s="65">
        <v>13497</v>
      </c>
      <c r="G1208" s="66">
        <v>1.30086724482989E-2</v>
      </c>
      <c r="H1208" s="65">
        <v>153</v>
      </c>
      <c r="I1208" s="67">
        <v>0.29641026430405099</v>
      </c>
      <c r="J1208" s="67">
        <v>3.85590403864509</v>
      </c>
      <c r="K1208" s="65">
        <v>94</v>
      </c>
      <c r="L1208" s="65">
        <v>2</v>
      </c>
      <c r="M1208" s="66">
        <v>0</v>
      </c>
      <c r="N1208" s="67">
        <v>0</v>
      </c>
      <c r="O1208" s="67">
        <v>0</v>
      </c>
      <c r="P1208" s="67">
        <v>11.560000307857999</v>
      </c>
      <c r="Q1208" s="68">
        <v>0</v>
      </c>
    </row>
    <row r="1209" spans="1:17" x14ac:dyDescent="0.35">
      <c r="A1209" s="62" t="s">
        <v>136</v>
      </c>
      <c r="B1209" s="63">
        <v>937733</v>
      </c>
      <c r="C1209" s="63" t="s">
        <v>147</v>
      </c>
      <c r="D1209" s="64">
        <v>42616</v>
      </c>
      <c r="E1209" s="63" t="s">
        <v>138</v>
      </c>
      <c r="F1209" s="65">
        <v>56715</v>
      </c>
      <c r="G1209" s="66">
        <v>1.00584036340039E-2</v>
      </c>
      <c r="H1209" s="65">
        <v>434</v>
      </c>
      <c r="I1209" s="67">
        <v>0.28645162164203603</v>
      </c>
      <c r="J1209" s="67">
        <v>2.88124603209056</v>
      </c>
      <c r="K1209" s="65">
        <v>32</v>
      </c>
      <c r="L1209" s="65">
        <v>2</v>
      </c>
      <c r="M1209" s="66">
        <v>0</v>
      </c>
      <c r="N1209" s="67">
        <v>0</v>
      </c>
      <c r="O1209" s="67">
        <v>0</v>
      </c>
      <c r="P1209" s="67">
        <v>8.8800002709031105</v>
      </c>
      <c r="Q1209" s="68">
        <v>0</v>
      </c>
    </row>
    <row r="1210" spans="1:17" x14ac:dyDescent="0.35">
      <c r="A1210" s="62" t="s">
        <v>136</v>
      </c>
      <c r="B1210" s="63">
        <v>937733</v>
      </c>
      <c r="C1210" s="63" t="s">
        <v>147</v>
      </c>
      <c r="D1210" s="64">
        <v>42617</v>
      </c>
      <c r="E1210" s="63" t="s">
        <v>138</v>
      </c>
      <c r="F1210" s="65">
        <v>5880</v>
      </c>
      <c r="G1210" s="66">
        <v>8.5971082454083594E-3</v>
      </c>
      <c r="H1210" s="65">
        <v>443</v>
      </c>
      <c r="I1210" s="67">
        <v>0.32318182831460801</v>
      </c>
      <c r="J1210" s="67">
        <v>2.7784291609696599</v>
      </c>
      <c r="K1210" s="65">
        <v>80</v>
      </c>
      <c r="L1210" s="65">
        <v>0</v>
      </c>
      <c r="M1210" s="66">
        <v>0</v>
      </c>
      <c r="N1210" s="67">
        <v>0</v>
      </c>
      <c r="O1210" s="67">
        <v>0</v>
      </c>
      <c r="P1210" s="67">
        <v>7.1100002229213697</v>
      </c>
      <c r="Q1210" s="68">
        <v>0</v>
      </c>
    </row>
    <row r="1211" spans="1:17" x14ac:dyDescent="0.35">
      <c r="A1211" s="62" t="s">
        <v>136</v>
      </c>
      <c r="B1211" s="63">
        <v>937733</v>
      </c>
      <c r="C1211" s="63" t="s">
        <v>147</v>
      </c>
      <c r="D1211" s="64">
        <v>42618</v>
      </c>
      <c r="E1211" s="63" t="s">
        <v>138</v>
      </c>
      <c r="F1211" s="65">
        <v>8225</v>
      </c>
      <c r="G1211" s="66">
        <v>9.7431355181576609E-3</v>
      </c>
      <c r="H1211" s="65">
        <v>287</v>
      </c>
      <c r="I1211" s="67">
        <v>0.28136364743113501</v>
      </c>
      <c r="J1211" s="67">
        <v>2.7413641468046799</v>
      </c>
      <c r="K1211" s="65">
        <v>33</v>
      </c>
      <c r="L1211" s="65">
        <v>2</v>
      </c>
      <c r="M1211" s="66">
        <v>4.5454545454545497E-2</v>
      </c>
      <c r="N1211" s="67">
        <v>387.46803607330099</v>
      </c>
      <c r="O1211" s="67">
        <v>387.46803607330099</v>
      </c>
      <c r="P1211" s="67">
        <v>6.1900002434849704</v>
      </c>
      <c r="Q1211" s="68">
        <v>1.5975511957621098E-2</v>
      </c>
    </row>
    <row r="1212" spans="1:17" x14ac:dyDescent="0.35">
      <c r="A1212" s="62" t="s">
        <v>136</v>
      </c>
      <c r="B1212" s="63">
        <v>937733</v>
      </c>
      <c r="C1212" s="63" t="s">
        <v>147</v>
      </c>
      <c r="D1212" s="64">
        <v>42619</v>
      </c>
      <c r="E1212" s="63" t="s">
        <v>138</v>
      </c>
      <c r="F1212" s="65">
        <v>26721</v>
      </c>
      <c r="G1212" s="66">
        <v>1.5839493136219601E-2</v>
      </c>
      <c r="H1212" s="65">
        <v>482</v>
      </c>
      <c r="I1212" s="67">
        <v>0.36033335377772702</v>
      </c>
      <c r="J1212" s="67">
        <v>5.7074976839133003</v>
      </c>
      <c r="K1212" s="65">
        <v>26</v>
      </c>
      <c r="L1212" s="65">
        <v>2</v>
      </c>
      <c r="M1212" s="66">
        <v>3.3333333333333298E-2</v>
      </c>
      <c r="N1212" s="67">
        <v>105.78533993142401</v>
      </c>
      <c r="O1212" s="67">
        <v>105.78533993142401</v>
      </c>
      <c r="P1212" s="67">
        <v>10.8100006133318</v>
      </c>
      <c r="Q1212" s="68">
        <v>0.10218807842692899</v>
      </c>
    </row>
    <row r="1213" spans="1:17" x14ac:dyDescent="0.35">
      <c r="A1213" s="62" t="s">
        <v>136</v>
      </c>
      <c r="B1213" s="63">
        <v>937733</v>
      </c>
      <c r="C1213" s="63" t="s">
        <v>147</v>
      </c>
      <c r="D1213" s="64">
        <v>42620</v>
      </c>
      <c r="E1213" s="63" t="s">
        <v>138</v>
      </c>
      <c r="F1213" s="65">
        <v>5466</v>
      </c>
      <c r="G1213" s="66">
        <v>7.2551390568319201E-3</v>
      </c>
      <c r="H1213" s="65">
        <v>493</v>
      </c>
      <c r="I1213" s="67">
        <v>0.30250001388291498</v>
      </c>
      <c r="J1213" s="67">
        <v>2.1946796654141401</v>
      </c>
      <c r="K1213" s="65">
        <v>25</v>
      </c>
      <c r="L1213" s="65">
        <v>0</v>
      </c>
      <c r="M1213" s="66">
        <v>0</v>
      </c>
      <c r="N1213" s="67">
        <v>0</v>
      </c>
      <c r="O1213" s="67">
        <v>0</v>
      </c>
      <c r="P1213" s="67">
        <v>3.6300001665949799</v>
      </c>
      <c r="Q1213" s="68">
        <v>0</v>
      </c>
    </row>
    <row r="1214" spans="1:17" x14ac:dyDescent="0.35">
      <c r="A1214" s="62" t="s">
        <v>136</v>
      </c>
      <c r="B1214" s="63">
        <v>937733</v>
      </c>
      <c r="C1214" s="63" t="s">
        <v>147</v>
      </c>
      <c r="D1214" s="64">
        <v>42621</v>
      </c>
      <c r="E1214" s="63" t="s">
        <v>138</v>
      </c>
      <c r="F1214" s="65">
        <v>15392</v>
      </c>
      <c r="G1214" s="66">
        <v>9.3645484949832804E-3</v>
      </c>
      <c r="H1214" s="65">
        <v>328</v>
      </c>
      <c r="I1214" s="67">
        <v>0.39357145556381801</v>
      </c>
      <c r="J1214" s="67">
        <v>3.6856189818685299</v>
      </c>
      <c r="K1214" s="65">
        <v>37</v>
      </c>
      <c r="L1214" s="65">
        <v>1</v>
      </c>
      <c r="M1214" s="66">
        <v>0</v>
      </c>
      <c r="N1214" s="67">
        <v>0</v>
      </c>
      <c r="O1214" s="67">
        <v>0</v>
      </c>
      <c r="P1214" s="67">
        <v>5.5100003778934497</v>
      </c>
      <c r="Q1214" s="68">
        <v>0</v>
      </c>
    </row>
    <row r="1215" spans="1:17" x14ac:dyDescent="0.35">
      <c r="A1215" s="62" t="s">
        <v>136</v>
      </c>
      <c r="B1215" s="63">
        <v>937733</v>
      </c>
      <c r="C1215" s="63" t="s">
        <v>147</v>
      </c>
      <c r="D1215" s="64">
        <v>42622</v>
      </c>
      <c r="E1215" s="63" t="s">
        <v>138</v>
      </c>
      <c r="F1215" s="65">
        <v>62154</v>
      </c>
      <c r="G1215" s="66">
        <v>1.1033681765389099E-2</v>
      </c>
      <c r="H1215" s="65">
        <v>420</v>
      </c>
      <c r="I1215" s="67">
        <v>0.312631593723046</v>
      </c>
      <c r="J1215" s="67">
        <v>3.4494775149465</v>
      </c>
      <c r="K1215" s="65">
        <v>39</v>
      </c>
      <c r="L1215" s="65">
        <v>3</v>
      </c>
      <c r="M1215" s="66">
        <v>5.2631578947368397E-2</v>
      </c>
      <c r="N1215" s="67">
        <v>61.689740672230499</v>
      </c>
      <c r="O1215" s="67">
        <v>61.689740672230499</v>
      </c>
      <c r="P1215" s="67">
        <v>5.9400002807378796</v>
      </c>
      <c r="Q1215" s="68">
        <v>9.6288300388523998E-2</v>
      </c>
    </row>
    <row r="1216" spans="1:17" x14ac:dyDescent="0.35">
      <c r="A1216" s="62" t="s">
        <v>136</v>
      </c>
      <c r="B1216" s="63">
        <v>937733</v>
      </c>
      <c r="C1216" s="63" t="s">
        <v>147</v>
      </c>
      <c r="D1216" s="64">
        <v>42623</v>
      </c>
      <c r="E1216" s="63" t="s">
        <v>138</v>
      </c>
      <c r="F1216" s="65">
        <v>50363</v>
      </c>
      <c r="G1216" s="66">
        <v>1.1695906432748499E-2</v>
      </c>
      <c r="H1216" s="65">
        <v>437</v>
      </c>
      <c r="I1216" s="67">
        <v>0.309090924533931</v>
      </c>
      <c r="J1216" s="67">
        <v>3.61509853256059</v>
      </c>
      <c r="K1216" s="65">
        <v>99</v>
      </c>
      <c r="L1216" s="65">
        <v>2</v>
      </c>
      <c r="M1216" s="66">
        <v>4.5454545454545497E-2</v>
      </c>
      <c r="N1216" s="67">
        <v>106.579062063781</v>
      </c>
      <c r="O1216" s="67">
        <v>106.579062063781</v>
      </c>
      <c r="P1216" s="67">
        <v>6.8000003397464797</v>
      </c>
      <c r="Q1216" s="68">
        <v>6.3802403662335694E-2</v>
      </c>
    </row>
    <row r="1217" spans="1:17" x14ac:dyDescent="0.35">
      <c r="A1217" s="62" t="s">
        <v>136</v>
      </c>
      <c r="B1217" s="63">
        <v>937733</v>
      </c>
      <c r="C1217" s="63" t="s">
        <v>147</v>
      </c>
      <c r="D1217" s="64">
        <v>42624</v>
      </c>
      <c r="E1217" s="63" t="s">
        <v>138</v>
      </c>
      <c r="F1217" s="65">
        <v>663</v>
      </c>
      <c r="G1217" s="66">
        <v>9.9420049710024893E-3</v>
      </c>
      <c r="H1217" s="65">
        <v>241</v>
      </c>
      <c r="I1217" s="67">
        <v>0.53291668339321996</v>
      </c>
      <c r="J1217" s="67">
        <v>5.2982603154255496</v>
      </c>
      <c r="K1217" s="65">
        <v>9</v>
      </c>
      <c r="L1217" s="65">
        <v>1</v>
      </c>
      <c r="M1217" s="66">
        <v>4.1666666666666699E-2</v>
      </c>
      <c r="N1217" s="67">
        <v>101.243498590491</v>
      </c>
      <c r="O1217" s="67">
        <v>101.243498590491</v>
      </c>
      <c r="P1217" s="67">
        <v>12.7900004014373</v>
      </c>
      <c r="Q1217" s="68">
        <v>0.12632910339428499</v>
      </c>
    </row>
    <row r="1218" spans="1:17" x14ac:dyDescent="0.35">
      <c r="A1218" s="62" t="s">
        <v>136</v>
      </c>
      <c r="B1218" s="63">
        <v>937733</v>
      </c>
      <c r="C1218" s="63" t="s">
        <v>147</v>
      </c>
      <c r="D1218" s="64">
        <v>42625</v>
      </c>
      <c r="E1218" s="63" t="s">
        <v>138</v>
      </c>
      <c r="F1218" s="65">
        <v>25932</v>
      </c>
      <c r="G1218" s="66">
        <v>9.4786729857819895E-3</v>
      </c>
      <c r="H1218" s="65">
        <v>228</v>
      </c>
      <c r="I1218" s="67">
        <v>0.36071429508073</v>
      </c>
      <c r="J1218" s="67">
        <v>3.41909284436711</v>
      </c>
      <c r="K1218" s="65">
        <v>9</v>
      </c>
      <c r="L1218" s="65">
        <v>2</v>
      </c>
      <c r="M1218" s="66">
        <v>7.1428571428571397E-2</v>
      </c>
      <c r="N1218" s="67">
        <v>29.940912569838101</v>
      </c>
      <c r="O1218" s="67">
        <v>29.940912569838101</v>
      </c>
      <c r="P1218" s="67">
        <v>5.0500001311302203</v>
      </c>
      <c r="Q1218" s="68">
        <v>0.168665538144535</v>
      </c>
    </row>
    <row r="1219" spans="1:17" x14ac:dyDescent="0.35">
      <c r="A1219" s="62" t="s">
        <v>136</v>
      </c>
      <c r="B1219" s="63">
        <v>937733</v>
      </c>
      <c r="C1219" s="63" t="s">
        <v>147</v>
      </c>
      <c r="D1219" s="64">
        <v>42626</v>
      </c>
      <c r="E1219" s="63" t="s">
        <v>138</v>
      </c>
      <c r="F1219" s="65">
        <v>41191</v>
      </c>
      <c r="G1219" s="66">
        <v>1.4367816091954E-2</v>
      </c>
      <c r="H1219" s="65">
        <v>376</v>
      </c>
      <c r="I1219" s="67">
        <v>0.62999999880790702</v>
      </c>
      <c r="J1219" s="67">
        <v>9.0517241208032608</v>
      </c>
      <c r="K1219" s="65">
        <v>29</v>
      </c>
      <c r="L1219" s="65">
        <v>3</v>
      </c>
      <c r="M1219" s="66">
        <v>0.04</v>
      </c>
      <c r="N1219" s="67">
        <v>54.502160011518299</v>
      </c>
      <c r="O1219" s="67">
        <v>54.502160011518299</v>
      </c>
      <c r="P1219" s="67">
        <v>15.749999970197701</v>
      </c>
      <c r="Q1219" s="68">
        <v>0.28897937195276602</v>
      </c>
    </row>
    <row r="1220" spans="1:17" x14ac:dyDescent="0.35">
      <c r="A1220" s="62" t="s">
        <v>136</v>
      </c>
      <c r="B1220" s="63">
        <v>937733</v>
      </c>
      <c r="C1220" s="63" t="s">
        <v>147</v>
      </c>
      <c r="D1220" s="64">
        <v>42627</v>
      </c>
      <c r="E1220" s="63" t="s">
        <v>138</v>
      </c>
      <c r="F1220" s="65">
        <v>63272</v>
      </c>
      <c r="G1220" s="66">
        <v>7.3563218390804604E-3</v>
      </c>
      <c r="H1220" s="65">
        <v>528</v>
      </c>
      <c r="I1220" s="67">
        <v>0.425625016447157</v>
      </c>
      <c r="J1220" s="67">
        <v>3.1310346037492001</v>
      </c>
      <c r="K1220" s="65">
        <v>46</v>
      </c>
      <c r="L1220" s="65">
        <v>3</v>
      </c>
      <c r="M1220" s="66">
        <v>6.25E-2</v>
      </c>
      <c r="N1220" s="67">
        <v>7.89311209918435</v>
      </c>
      <c r="O1220" s="67">
        <v>7.89311209918435</v>
      </c>
      <c r="P1220" s="67">
        <v>6.8100002631545102</v>
      </c>
      <c r="Q1220" s="68">
        <v>0.86277759362599604</v>
      </c>
    </row>
    <row r="1221" spans="1:17" x14ac:dyDescent="0.35">
      <c r="A1221" s="62" t="s">
        <v>136</v>
      </c>
      <c r="B1221" s="63">
        <v>937733</v>
      </c>
      <c r="C1221" s="63" t="s">
        <v>147</v>
      </c>
      <c r="D1221" s="64">
        <v>42628</v>
      </c>
      <c r="E1221" s="63" t="s">
        <v>138</v>
      </c>
      <c r="F1221" s="65">
        <v>15893</v>
      </c>
      <c r="G1221" s="66">
        <v>1.4050387596899199E-2</v>
      </c>
      <c r="H1221" s="65">
        <v>517</v>
      </c>
      <c r="I1221" s="67">
        <v>0.31034483940436902</v>
      </c>
      <c r="J1221" s="67">
        <v>4.3604652823288301</v>
      </c>
      <c r="K1221" s="65">
        <v>11</v>
      </c>
      <c r="L1221" s="65">
        <v>1</v>
      </c>
      <c r="M1221" s="66">
        <v>0</v>
      </c>
      <c r="N1221" s="67">
        <v>0</v>
      </c>
      <c r="O1221" s="67">
        <v>0</v>
      </c>
      <c r="P1221" s="67">
        <v>9.0000003427267092</v>
      </c>
      <c r="Q1221" s="68">
        <v>0</v>
      </c>
    </row>
    <row r="1222" spans="1:17" x14ac:dyDescent="0.35">
      <c r="A1222" s="62" t="s">
        <v>136</v>
      </c>
      <c r="B1222" s="63">
        <v>937733</v>
      </c>
      <c r="C1222" s="63" t="s">
        <v>147</v>
      </c>
      <c r="D1222" s="64">
        <v>42629</v>
      </c>
      <c r="E1222" s="63" t="s">
        <v>138</v>
      </c>
      <c r="F1222" s="65">
        <v>57813</v>
      </c>
      <c r="G1222" s="66">
        <v>1.2929442186922799E-2</v>
      </c>
      <c r="H1222" s="65">
        <v>292</v>
      </c>
      <c r="I1222" s="67">
        <v>0.48028573117085899</v>
      </c>
      <c r="J1222" s="67">
        <v>6.2098265943775601</v>
      </c>
      <c r="K1222" s="65">
        <v>30</v>
      </c>
      <c r="L1222" s="65">
        <v>7</v>
      </c>
      <c r="M1222" s="66">
        <v>5.7142857142857099E-2</v>
      </c>
      <c r="N1222" s="67">
        <v>386.71841054947203</v>
      </c>
      <c r="O1222" s="67">
        <v>193.35920527473601</v>
      </c>
      <c r="P1222" s="67">
        <v>16.810000590980099</v>
      </c>
      <c r="Q1222" s="68">
        <v>4.3468322511709297E-2</v>
      </c>
    </row>
    <row r="1223" spans="1:17" x14ac:dyDescent="0.35">
      <c r="A1223" s="62" t="s">
        <v>136</v>
      </c>
      <c r="B1223" s="63">
        <v>937733</v>
      </c>
      <c r="C1223" s="63" t="s">
        <v>147</v>
      </c>
      <c r="D1223" s="64">
        <v>42630</v>
      </c>
      <c r="E1223" s="63" t="s">
        <v>138</v>
      </c>
      <c r="F1223" s="65">
        <v>58885</v>
      </c>
      <c r="G1223" s="66">
        <v>1.3000702740688701E-2</v>
      </c>
      <c r="H1223" s="65">
        <v>273</v>
      </c>
      <c r="I1223" s="67">
        <v>0.46297299016166399</v>
      </c>
      <c r="J1223" s="67">
        <v>6.0189742220595797</v>
      </c>
      <c r="K1223" s="65">
        <v>68</v>
      </c>
      <c r="L1223" s="65">
        <v>1</v>
      </c>
      <c r="M1223" s="66">
        <v>2.7027027027027001E-2</v>
      </c>
      <c r="N1223" s="67">
        <v>55.472265213756899</v>
      </c>
      <c r="O1223" s="67">
        <v>55.472265213756899</v>
      </c>
      <c r="P1223" s="67">
        <v>17.130000635981599</v>
      </c>
      <c r="Q1223" s="68">
        <v>0.308802976946638</v>
      </c>
    </row>
    <row r="1224" spans="1:17" x14ac:dyDescent="0.35">
      <c r="A1224" s="62" t="s">
        <v>136</v>
      </c>
      <c r="B1224" s="63">
        <v>937733</v>
      </c>
      <c r="C1224" s="63" t="s">
        <v>147</v>
      </c>
      <c r="D1224" s="64">
        <v>42631</v>
      </c>
      <c r="E1224" s="63" t="s">
        <v>138</v>
      </c>
      <c r="F1224" s="65">
        <v>19425</v>
      </c>
      <c r="G1224" s="66">
        <v>9.5938599296450308E-3</v>
      </c>
      <c r="H1224" s="65">
        <v>582</v>
      </c>
      <c r="I1224" s="67">
        <v>0.43633334661523498</v>
      </c>
      <c r="J1224" s="67">
        <v>4.1861210100598196</v>
      </c>
      <c r="K1224" s="65">
        <v>80</v>
      </c>
      <c r="L1224" s="65">
        <v>1</v>
      </c>
      <c r="M1224" s="66">
        <v>0</v>
      </c>
      <c r="N1224" s="67">
        <v>0</v>
      </c>
      <c r="O1224" s="67">
        <v>0</v>
      </c>
      <c r="P1224" s="67">
        <v>13.0900003984571</v>
      </c>
      <c r="Q1224" s="68">
        <v>0</v>
      </c>
    </row>
    <row r="1225" spans="1:17" x14ac:dyDescent="0.35">
      <c r="A1225" s="62" t="s">
        <v>136</v>
      </c>
      <c r="B1225" s="63">
        <v>937733</v>
      </c>
      <c r="C1225" s="63" t="s">
        <v>147</v>
      </c>
      <c r="D1225" s="64">
        <v>42632</v>
      </c>
      <c r="E1225" s="63" t="s">
        <v>138</v>
      </c>
      <c r="F1225" s="65">
        <v>18044</v>
      </c>
      <c r="G1225" s="66">
        <v>1.09199205823958E-2</v>
      </c>
      <c r="H1225" s="65">
        <v>294</v>
      </c>
      <c r="I1225" s="67">
        <v>0.74060607317722205</v>
      </c>
      <c r="J1225" s="67">
        <v>8.08735950193525</v>
      </c>
      <c r="K1225" s="65">
        <v>88</v>
      </c>
      <c r="L1225" s="65">
        <v>0</v>
      </c>
      <c r="M1225" s="66">
        <v>0</v>
      </c>
      <c r="N1225" s="67">
        <v>0</v>
      </c>
      <c r="O1225" s="67">
        <v>0</v>
      </c>
      <c r="P1225" s="67">
        <v>24.440000414848299</v>
      </c>
      <c r="Q1225" s="68">
        <v>0</v>
      </c>
    </row>
    <row r="1226" spans="1:17" x14ac:dyDescent="0.35">
      <c r="A1226" s="62" t="s">
        <v>136</v>
      </c>
      <c r="B1226" s="63">
        <v>937733</v>
      </c>
      <c r="C1226" s="63" t="s">
        <v>147</v>
      </c>
      <c r="D1226" s="64">
        <v>42633</v>
      </c>
      <c r="E1226" s="63" t="s">
        <v>138</v>
      </c>
      <c r="F1226" s="65">
        <v>25965</v>
      </c>
      <c r="G1226" s="66">
        <v>1.06169296987088E-2</v>
      </c>
      <c r="H1226" s="65">
        <v>571</v>
      </c>
      <c r="I1226" s="67">
        <v>0.456756767388937</v>
      </c>
      <c r="J1226" s="67">
        <v>4.8493544887778102</v>
      </c>
      <c r="K1226" s="65">
        <v>92</v>
      </c>
      <c r="L1226" s="65">
        <v>3</v>
      </c>
      <c r="M1226" s="66">
        <v>2.7027027027027001E-2</v>
      </c>
      <c r="N1226" s="67">
        <v>84.487170871997407</v>
      </c>
      <c r="O1226" s="67">
        <v>84.487170871997407</v>
      </c>
      <c r="P1226" s="67">
        <v>16.900000393390702</v>
      </c>
      <c r="Q1226" s="68">
        <v>0.200030374067029</v>
      </c>
    </row>
    <row r="1227" spans="1:17" x14ac:dyDescent="0.35">
      <c r="A1227" s="62" t="s">
        <v>136</v>
      </c>
      <c r="B1227" s="63">
        <v>937733</v>
      </c>
      <c r="C1227" s="63" t="s">
        <v>147</v>
      </c>
      <c r="D1227" s="64">
        <v>42634</v>
      </c>
      <c r="E1227" s="63" t="s">
        <v>138</v>
      </c>
      <c r="F1227" s="65">
        <v>53622</v>
      </c>
      <c r="G1227" s="66">
        <v>1.00225507391631E-2</v>
      </c>
      <c r="H1227" s="65">
        <v>598</v>
      </c>
      <c r="I1227" s="67">
        <v>0.67075000926852202</v>
      </c>
      <c r="J1227" s="67">
        <v>6.7226260011879004</v>
      </c>
      <c r="K1227" s="65">
        <v>37</v>
      </c>
      <c r="L1227" s="65">
        <v>2</v>
      </c>
      <c r="M1227" s="66">
        <v>2.5000000000000001E-2</v>
      </c>
      <c r="N1227" s="67">
        <v>148.02893209587799</v>
      </c>
      <c r="O1227" s="67">
        <v>148.02893209587799</v>
      </c>
      <c r="P1227" s="67">
        <v>26.830000370740901</v>
      </c>
      <c r="Q1227" s="68">
        <v>0.181248354567357</v>
      </c>
    </row>
    <row r="1228" spans="1:17" x14ac:dyDescent="0.35">
      <c r="A1228" s="62" t="s">
        <v>136</v>
      </c>
      <c r="B1228" s="63">
        <v>937733</v>
      </c>
      <c r="C1228" s="63" t="s">
        <v>147</v>
      </c>
      <c r="D1228" s="64">
        <v>42635</v>
      </c>
      <c r="E1228" s="63" t="s">
        <v>138</v>
      </c>
      <c r="F1228" s="65">
        <v>35969</v>
      </c>
      <c r="G1228" s="66">
        <v>1.13611535940572E-2</v>
      </c>
      <c r="H1228" s="65">
        <v>567</v>
      </c>
      <c r="I1228" s="67">
        <v>0.53769231831225095</v>
      </c>
      <c r="J1228" s="67">
        <v>6.1088050146902004</v>
      </c>
      <c r="K1228" s="65">
        <v>77</v>
      </c>
      <c r="L1228" s="65">
        <v>1</v>
      </c>
      <c r="M1228" s="66">
        <v>0</v>
      </c>
      <c r="N1228" s="67">
        <v>0</v>
      </c>
      <c r="O1228" s="67">
        <v>0</v>
      </c>
      <c r="P1228" s="67">
        <v>27.960000552236998</v>
      </c>
      <c r="Q1228" s="68">
        <v>0</v>
      </c>
    </row>
    <row r="1229" spans="1:17" x14ac:dyDescent="0.35">
      <c r="A1229" s="62" t="s">
        <v>136</v>
      </c>
      <c r="B1229" s="63">
        <v>937733</v>
      </c>
      <c r="C1229" s="63" t="s">
        <v>147</v>
      </c>
      <c r="D1229" s="64">
        <v>42636</v>
      </c>
      <c r="E1229" s="63" t="s">
        <v>138</v>
      </c>
      <c r="F1229" s="65">
        <v>8896</v>
      </c>
      <c r="G1229" s="66">
        <v>1.1309925725860899E-2</v>
      </c>
      <c r="H1229" s="65">
        <v>551</v>
      </c>
      <c r="I1229" s="67">
        <v>0.55402986560739698</v>
      </c>
      <c r="J1229" s="67">
        <v>6.2660366299283599</v>
      </c>
      <c r="K1229" s="65">
        <v>35</v>
      </c>
      <c r="L1229" s="65">
        <v>0</v>
      </c>
      <c r="M1229" s="66">
        <v>0</v>
      </c>
      <c r="N1229" s="67">
        <v>0</v>
      </c>
      <c r="O1229" s="67">
        <v>0</v>
      </c>
      <c r="P1229" s="67">
        <v>37.120000995695598</v>
      </c>
      <c r="Q1229" s="68">
        <v>0</v>
      </c>
    </row>
    <row r="1230" spans="1:17" x14ac:dyDescent="0.35">
      <c r="A1230" s="62" t="s">
        <v>136</v>
      </c>
      <c r="B1230" s="63">
        <v>937733</v>
      </c>
      <c r="C1230" s="63" t="s">
        <v>147</v>
      </c>
      <c r="D1230" s="64">
        <v>42637</v>
      </c>
      <c r="E1230" s="63" t="s">
        <v>138</v>
      </c>
      <c r="F1230" s="65">
        <v>8888</v>
      </c>
      <c r="G1230" s="66">
        <v>1.3457352068078399E-2</v>
      </c>
      <c r="H1230" s="65">
        <v>493</v>
      </c>
      <c r="I1230" s="67">
        <v>0.52235296094680495</v>
      </c>
      <c r="J1230" s="67">
        <v>7.02948769926435</v>
      </c>
      <c r="K1230" s="65">
        <v>86</v>
      </c>
      <c r="L1230" s="65">
        <v>1</v>
      </c>
      <c r="M1230" s="66">
        <v>0</v>
      </c>
      <c r="N1230" s="67">
        <v>0</v>
      </c>
      <c r="O1230" s="67">
        <v>0</v>
      </c>
      <c r="P1230" s="67">
        <v>35.520001344382798</v>
      </c>
      <c r="Q1230" s="68">
        <v>0</v>
      </c>
    </row>
    <row r="1231" spans="1:17" x14ac:dyDescent="0.35">
      <c r="A1231" s="62" t="s">
        <v>136</v>
      </c>
      <c r="B1231" s="63">
        <v>937733</v>
      </c>
      <c r="C1231" s="63" t="s">
        <v>147</v>
      </c>
      <c r="D1231" s="64">
        <v>42638</v>
      </c>
      <c r="E1231" s="63" t="s">
        <v>138</v>
      </c>
      <c r="F1231" s="65">
        <v>52672</v>
      </c>
      <c r="G1231" s="66">
        <v>1.0217448257794101E-2</v>
      </c>
      <c r="H1231" s="65">
        <v>234</v>
      </c>
      <c r="I1231" s="67">
        <v>0.43179488468628702</v>
      </c>
      <c r="J1231" s="67">
        <v>4.4118418922623004</v>
      </c>
      <c r="K1231" s="65">
        <v>58</v>
      </c>
      <c r="L1231" s="65">
        <v>2</v>
      </c>
      <c r="M1231" s="66">
        <v>2.5641025641025599E-2</v>
      </c>
      <c r="N1231" s="67">
        <v>97.848132064769501</v>
      </c>
      <c r="O1231" s="67">
        <v>97.848132064769501</v>
      </c>
      <c r="P1231" s="67">
        <v>16.8400005027652</v>
      </c>
      <c r="Q1231" s="68">
        <v>0.17210344385131601</v>
      </c>
    </row>
    <row r="1232" spans="1:17" x14ac:dyDescent="0.35">
      <c r="A1232" s="62" t="s">
        <v>136</v>
      </c>
      <c r="B1232" s="63">
        <v>937733</v>
      </c>
      <c r="C1232" s="63" t="s">
        <v>147</v>
      </c>
      <c r="D1232" s="64">
        <v>42639</v>
      </c>
      <c r="E1232" s="63" t="s">
        <v>138</v>
      </c>
      <c r="F1232" s="65">
        <v>36936</v>
      </c>
      <c r="G1232" s="66">
        <v>8.6309523809523798E-3</v>
      </c>
      <c r="H1232" s="65">
        <v>527</v>
      </c>
      <c r="I1232" s="67">
        <v>0.42517242554960599</v>
      </c>
      <c r="J1232" s="67">
        <v>3.6696429586126702</v>
      </c>
      <c r="K1232" s="65">
        <v>13</v>
      </c>
      <c r="L1232" s="65">
        <v>2</v>
      </c>
      <c r="M1232" s="66">
        <v>0</v>
      </c>
      <c r="N1232" s="67">
        <v>0</v>
      </c>
      <c r="O1232" s="67">
        <v>0</v>
      </c>
      <c r="P1232" s="67">
        <v>12.3300003409386</v>
      </c>
      <c r="Q1232" s="68">
        <v>0</v>
      </c>
    </row>
    <row r="1233" spans="1:17" x14ac:dyDescent="0.35">
      <c r="A1233" s="62" t="s">
        <v>136</v>
      </c>
      <c r="B1233" s="63">
        <v>937733</v>
      </c>
      <c r="C1233" s="63" t="s">
        <v>147</v>
      </c>
      <c r="D1233" s="64">
        <v>42640</v>
      </c>
      <c r="E1233" s="63" t="s">
        <v>138</v>
      </c>
      <c r="F1233" s="65">
        <v>25911</v>
      </c>
      <c r="G1233" s="66">
        <v>1.0353445198143499E-2</v>
      </c>
      <c r="H1233" s="65">
        <v>415</v>
      </c>
      <c r="I1233" s="67">
        <v>0.54827587974482594</v>
      </c>
      <c r="J1233" s="67">
        <v>5.6765442744019801</v>
      </c>
      <c r="K1233" s="65">
        <v>14</v>
      </c>
      <c r="L1233" s="65">
        <v>0</v>
      </c>
      <c r="M1233" s="66">
        <v>0</v>
      </c>
      <c r="N1233" s="67">
        <v>0</v>
      </c>
      <c r="O1233" s="67">
        <v>0</v>
      </c>
      <c r="P1233" s="67">
        <v>15.900000512599901</v>
      </c>
      <c r="Q1233" s="68">
        <v>0</v>
      </c>
    </row>
    <row r="1234" spans="1:17" x14ac:dyDescent="0.35">
      <c r="A1234" s="62" t="s">
        <v>136</v>
      </c>
      <c r="B1234" s="63">
        <v>937733</v>
      </c>
      <c r="C1234" s="63" t="s">
        <v>147</v>
      </c>
      <c r="D1234" s="64">
        <v>42641</v>
      </c>
      <c r="E1234" s="63" t="s">
        <v>138</v>
      </c>
      <c r="F1234" s="65">
        <v>12559</v>
      </c>
      <c r="G1234" s="66">
        <v>1.0673782521681101E-2</v>
      </c>
      <c r="H1234" s="65">
        <v>460</v>
      </c>
      <c r="I1234" s="67">
        <v>0.52406251779757396</v>
      </c>
      <c r="J1234" s="67">
        <v>5.5937293427359496</v>
      </c>
      <c r="K1234" s="65">
        <v>28</v>
      </c>
      <c r="L1234" s="65">
        <v>1</v>
      </c>
      <c r="M1234" s="66">
        <v>0</v>
      </c>
      <c r="N1234" s="67">
        <v>0</v>
      </c>
      <c r="O1234" s="67">
        <v>0</v>
      </c>
      <c r="P1234" s="67">
        <v>16.770000569522399</v>
      </c>
      <c r="Q1234" s="68">
        <v>0</v>
      </c>
    </row>
    <row r="1235" spans="1:17" x14ac:dyDescent="0.35">
      <c r="A1235" s="62" t="s">
        <v>136</v>
      </c>
      <c r="B1235" s="63">
        <v>937733</v>
      </c>
      <c r="C1235" s="63" t="s">
        <v>147</v>
      </c>
      <c r="D1235" s="64">
        <v>42642</v>
      </c>
      <c r="E1235" s="63" t="s">
        <v>138</v>
      </c>
      <c r="F1235" s="65">
        <v>52799</v>
      </c>
      <c r="G1235" s="66">
        <v>8.8855979266938192E-3</v>
      </c>
      <c r="H1235" s="65">
        <v>517</v>
      </c>
      <c r="I1235" s="67">
        <v>0.50125001743435904</v>
      </c>
      <c r="J1235" s="67">
        <v>4.4539061156699802</v>
      </c>
      <c r="K1235" s="65">
        <v>42</v>
      </c>
      <c r="L1235" s="65">
        <v>1</v>
      </c>
      <c r="M1235" s="66">
        <v>0</v>
      </c>
      <c r="N1235" s="67">
        <v>0</v>
      </c>
      <c r="O1235" s="67">
        <v>0</v>
      </c>
      <c r="P1235" s="67">
        <v>12.030000418424599</v>
      </c>
      <c r="Q1235" s="68">
        <v>0</v>
      </c>
    </row>
    <row r="1236" spans="1:17" x14ac:dyDescent="0.35">
      <c r="A1236" s="62" t="s">
        <v>136</v>
      </c>
      <c r="B1236" s="63">
        <v>937733</v>
      </c>
      <c r="C1236" s="63" t="s">
        <v>147</v>
      </c>
      <c r="D1236" s="64">
        <v>42643</v>
      </c>
      <c r="E1236" s="63" t="s">
        <v>138</v>
      </c>
      <c r="F1236" s="65">
        <v>4419</v>
      </c>
      <c r="G1236" s="66">
        <v>1.29659643435981E-2</v>
      </c>
      <c r="H1236" s="65">
        <v>230</v>
      </c>
      <c r="I1236" s="67">
        <v>0.45750001240521698</v>
      </c>
      <c r="J1236" s="67">
        <v>5.9319288480417098</v>
      </c>
      <c r="K1236" s="65">
        <v>44</v>
      </c>
      <c r="L1236" s="65">
        <v>1</v>
      </c>
      <c r="M1236" s="66">
        <v>0</v>
      </c>
      <c r="N1236" s="67">
        <v>0</v>
      </c>
      <c r="O1236" s="67">
        <v>0</v>
      </c>
      <c r="P1236" s="67">
        <v>18.3000004962087</v>
      </c>
      <c r="Q1236" s="68">
        <v>0</v>
      </c>
    </row>
    <row r="1237" spans="1:17" x14ac:dyDescent="0.35">
      <c r="A1237" s="62" t="s">
        <v>136</v>
      </c>
      <c r="B1237" s="63">
        <v>937733</v>
      </c>
      <c r="C1237" s="63" t="s">
        <v>147</v>
      </c>
      <c r="D1237" s="64">
        <v>42644</v>
      </c>
      <c r="E1237" s="63" t="s">
        <v>138</v>
      </c>
      <c r="F1237" s="65">
        <v>56868</v>
      </c>
      <c r="G1237" s="66">
        <v>1.07284020327499E-2</v>
      </c>
      <c r="H1237" s="65">
        <v>355</v>
      </c>
      <c r="I1237" s="67">
        <v>0.39947369753530099</v>
      </c>
      <c r="J1237" s="67">
        <v>4.2857144286678297</v>
      </c>
      <c r="K1237" s="65">
        <v>73</v>
      </c>
      <c r="L1237" s="65">
        <v>2</v>
      </c>
      <c r="M1237" s="66">
        <v>0</v>
      </c>
      <c r="N1237" s="67">
        <v>0</v>
      </c>
      <c r="O1237" s="67">
        <v>0</v>
      </c>
      <c r="P1237" s="67">
        <v>15.1800005063415</v>
      </c>
      <c r="Q1237" s="68">
        <v>0</v>
      </c>
    </row>
    <row r="1238" spans="1:17" x14ac:dyDescent="0.35">
      <c r="A1238" s="62" t="s">
        <v>136</v>
      </c>
      <c r="B1238" s="63">
        <v>937733</v>
      </c>
      <c r="C1238" s="63" t="s">
        <v>147</v>
      </c>
      <c r="D1238" s="64">
        <v>42645</v>
      </c>
      <c r="E1238" s="63" t="s">
        <v>138</v>
      </c>
      <c r="F1238" s="65">
        <v>30642</v>
      </c>
      <c r="G1238" s="66">
        <v>1.17422173675587E-2</v>
      </c>
      <c r="H1238" s="65">
        <v>286</v>
      </c>
      <c r="I1238" s="67">
        <v>0.44511628462824698</v>
      </c>
      <c r="J1238" s="67">
        <v>5.2266521679450104</v>
      </c>
      <c r="K1238" s="65">
        <v>42</v>
      </c>
      <c r="L1238" s="65">
        <v>0</v>
      </c>
      <c r="M1238" s="66">
        <v>0</v>
      </c>
      <c r="N1238" s="67">
        <v>0</v>
      </c>
      <c r="O1238" s="67">
        <v>0</v>
      </c>
      <c r="P1238" s="67">
        <v>19.140000239014601</v>
      </c>
      <c r="Q1238" s="68">
        <v>0</v>
      </c>
    </row>
    <row r="1239" spans="1:17" x14ac:dyDescent="0.35">
      <c r="A1239" s="62" t="s">
        <v>136</v>
      </c>
      <c r="B1239" s="63">
        <v>937733</v>
      </c>
      <c r="C1239" s="63" t="s">
        <v>147</v>
      </c>
      <c r="D1239" s="64">
        <v>42646</v>
      </c>
      <c r="E1239" s="63" t="s">
        <v>138</v>
      </c>
      <c r="F1239" s="65">
        <v>27279</v>
      </c>
      <c r="G1239" s="66">
        <v>9.1722595078299798E-3</v>
      </c>
      <c r="H1239" s="65">
        <v>509</v>
      </c>
      <c r="I1239" s="67">
        <v>0.43195122934696201</v>
      </c>
      <c r="J1239" s="67">
        <v>3.9619687702965098</v>
      </c>
      <c r="K1239" s="65">
        <v>96</v>
      </c>
      <c r="L1239" s="65">
        <v>2</v>
      </c>
      <c r="M1239" s="66">
        <v>2.4390243902439001E-2</v>
      </c>
      <c r="N1239" s="67">
        <v>52.050195763413697</v>
      </c>
      <c r="O1239" s="67">
        <v>52.050195763413697</v>
      </c>
      <c r="P1239" s="67">
        <v>17.710000403225401</v>
      </c>
      <c r="Q1239" s="68">
        <v>0.34024848789663698</v>
      </c>
    </row>
    <row r="1240" spans="1:17" x14ac:dyDescent="0.35">
      <c r="A1240" s="62" t="s">
        <v>136</v>
      </c>
      <c r="B1240" s="63">
        <v>937733</v>
      </c>
      <c r="C1240" s="63" t="s">
        <v>147</v>
      </c>
      <c r="D1240" s="64">
        <v>42647</v>
      </c>
      <c r="E1240" s="63" t="s">
        <v>138</v>
      </c>
      <c r="F1240" s="65">
        <v>6091</v>
      </c>
      <c r="G1240" s="66">
        <v>8.1858991285978407E-3</v>
      </c>
      <c r="H1240" s="65">
        <v>513</v>
      </c>
      <c r="I1240" s="67">
        <v>0.61548388773395202</v>
      </c>
      <c r="J1240" s="67">
        <v>5.03828902026736</v>
      </c>
      <c r="K1240" s="65">
        <v>74</v>
      </c>
      <c r="L1240" s="65">
        <v>1</v>
      </c>
      <c r="M1240" s="66">
        <v>3.2258064516128997E-2</v>
      </c>
      <c r="N1240" s="67">
        <v>385.11840561414698</v>
      </c>
      <c r="O1240" s="67">
        <v>385.11840561414698</v>
      </c>
      <c r="P1240" s="67">
        <v>19.080000519752499</v>
      </c>
      <c r="Q1240" s="68">
        <v>4.9543206041595698E-2</v>
      </c>
    </row>
    <row r="1241" spans="1:17" x14ac:dyDescent="0.35">
      <c r="A1241" s="62" t="s">
        <v>136</v>
      </c>
      <c r="B1241" s="63">
        <v>937733</v>
      </c>
      <c r="C1241" s="63" t="s">
        <v>147</v>
      </c>
      <c r="D1241" s="64">
        <v>42648</v>
      </c>
      <c r="E1241" s="63" t="s">
        <v>138</v>
      </c>
      <c r="F1241" s="65">
        <v>6149</v>
      </c>
      <c r="G1241" s="66">
        <v>1.0994263862332701E-2</v>
      </c>
      <c r="H1241" s="65">
        <v>508</v>
      </c>
      <c r="I1241" s="67">
        <v>0.43478261906167698</v>
      </c>
      <c r="J1241" s="67">
        <v>4.78011483672016</v>
      </c>
      <c r="K1241" s="65">
        <v>74</v>
      </c>
      <c r="L1241" s="65">
        <v>4</v>
      </c>
      <c r="M1241" s="66">
        <v>4.3478260869565202E-2</v>
      </c>
      <c r="N1241" s="67">
        <v>114.704845397453</v>
      </c>
      <c r="O1241" s="67">
        <v>114.704845397453</v>
      </c>
      <c r="P1241" s="67">
        <v>10.0000002384186</v>
      </c>
      <c r="Q1241" s="68">
        <v>8.7180277378593005E-2</v>
      </c>
    </row>
    <row r="1242" spans="1:17" x14ac:dyDescent="0.35">
      <c r="A1242" s="62" t="s">
        <v>136</v>
      </c>
      <c r="B1242" s="63">
        <v>937733</v>
      </c>
      <c r="C1242" s="63" t="s">
        <v>147</v>
      </c>
      <c r="D1242" s="64">
        <v>42649</v>
      </c>
      <c r="E1242" s="63" t="s">
        <v>138</v>
      </c>
      <c r="F1242" s="65">
        <v>9879</v>
      </c>
      <c r="G1242" s="66">
        <v>1.2535382126971299E-2</v>
      </c>
      <c r="H1242" s="65">
        <v>547</v>
      </c>
      <c r="I1242" s="67">
        <v>0.47064517822957802</v>
      </c>
      <c r="J1242" s="67">
        <v>5.8997171553242698</v>
      </c>
      <c r="K1242" s="65">
        <v>58</v>
      </c>
      <c r="L1242" s="65">
        <v>5</v>
      </c>
      <c r="M1242" s="66">
        <v>9.6774193548387094E-2</v>
      </c>
      <c r="N1242" s="67">
        <v>111.125841204797</v>
      </c>
      <c r="O1242" s="67">
        <v>37.041947068265799</v>
      </c>
      <c r="P1242" s="67">
        <v>14.590000525116899</v>
      </c>
      <c r="Q1242" s="68">
        <v>0.13129259915548</v>
      </c>
    </row>
    <row r="1243" spans="1:17" x14ac:dyDescent="0.35">
      <c r="A1243" s="62" t="s">
        <v>136</v>
      </c>
      <c r="B1243" s="63">
        <v>937733</v>
      </c>
      <c r="C1243" s="63" t="s">
        <v>147</v>
      </c>
      <c r="D1243" s="64">
        <v>42650</v>
      </c>
      <c r="E1243" s="63" t="s">
        <v>138</v>
      </c>
      <c r="F1243" s="65">
        <v>61210</v>
      </c>
      <c r="G1243" s="66">
        <v>8.8549618320610708E-3</v>
      </c>
      <c r="H1243" s="65">
        <v>304</v>
      </c>
      <c r="I1243" s="67">
        <v>0.54241380095481895</v>
      </c>
      <c r="J1243" s="67">
        <v>4.8030535046380898</v>
      </c>
      <c r="K1243" s="65">
        <v>37</v>
      </c>
      <c r="L1243" s="65">
        <v>2</v>
      </c>
      <c r="M1243" s="66">
        <v>3.4482758620689703E-2</v>
      </c>
      <c r="N1243" s="67">
        <v>144.75079803089201</v>
      </c>
      <c r="O1243" s="67">
        <v>144.75079803089201</v>
      </c>
      <c r="P1243" s="67">
        <v>15.7300002276897</v>
      </c>
      <c r="Q1243" s="68">
        <v>0.10866952335787899</v>
      </c>
    </row>
    <row r="1244" spans="1:17" x14ac:dyDescent="0.35">
      <c r="A1244" s="62" t="s">
        <v>136</v>
      </c>
      <c r="B1244" s="63">
        <v>937733</v>
      </c>
      <c r="C1244" s="63" t="s">
        <v>147</v>
      </c>
      <c r="D1244" s="64">
        <v>42651</v>
      </c>
      <c r="E1244" s="63" t="s">
        <v>138</v>
      </c>
      <c r="F1244" s="65">
        <v>23332</v>
      </c>
      <c r="G1244" s="66">
        <v>8.5470085470085496E-3</v>
      </c>
      <c r="H1244" s="65">
        <v>549</v>
      </c>
      <c r="I1244" s="67">
        <v>0.54461541428015803</v>
      </c>
      <c r="J1244" s="67">
        <v>4.6548326006851104</v>
      </c>
      <c r="K1244" s="65">
        <v>30</v>
      </c>
      <c r="L1244" s="65">
        <v>1</v>
      </c>
      <c r="M1244" s="66">
        <v>0</v>
      </c>
      <c r="N1244" s="67">
        <v>0</v>
      </c>
      <c r="O1244" s="67">
        <v>0</v>
      </c>
      <c r="P1244" s="67">
        <v>14.1600007712841</v>
      </c>
      <c r="Q1244" s="68">
        <v>0</v>
      </c>
    </row>
    <row r="1245" spans="1:17" x14ac:dyDescent="0.35">
      <c r="A1245" s="62" t="s">
        <v>136</v>
      </c>
      <c r="B1245" s="63">
        <v>937733</v>
      </c>
      <c r="C1245" s="63" t="s">
        <v>147</v>
      </c>
      <c r="D1245" s="64">
        <v>42652</v>
      </c>
      <c r="E1245" s="63" t="s">
        <v>138</v>
      </c>
      <c r="F1245" s="65">
        <v>13846</v>
      </c>
      <c r="G1245" s="66">
        <v>7.3062261753494302E-3</v>
      </c>
      <c r="H1245" s="65">
        <v>393</v>
      </c>
      <c r="I1245" s="67">
        <v>0.54130435767381102</v>
      </c>
      <c r="J1245" s="67">
        <v>3.9548920668671101</v>
      </c>
      <c r="K1245" s="65">
        <v>76</v>
      </c>
      <c r="L1245" s="65">
        <v>2</v>
      </c>
      <c r="M1245" s="66">
        <v>0</v>
      </c>
      <c r="N1245" s="67">
        <v>0</v>
      </c>
      <c r="O1245" s="67">
        <v>0</v>
      </c>
      <c r="P1245" s="67">
        <v>12.4500002264977</v>
      </c>
      <c r="Q1245" s="68">
        <v>0</v>
      </c>
    </row>
    <row r="1246" spans="1:17" x14ac:dyDescent="0.35">
      <c r="A1246" s="62" t="s">
        <v>136</v>
      </c>
      <c r="B1246" s="63">
        <v>937733</v>
      </c>
      <c r="C1246" s="63" t="s">
        <v>147</v>
      </c>
      <c r="D1246" s="64">
        <v>42653</v>
      </c>
      <c r="E1246" s="63" t="s">
        <v>138</v>
      </c>
      <c r="F1246" s="65">
        <v>47329</v>
      </c>
      <c r="G1246" s="66">
        <v>9.7370983446932804E-3</v>
      </c>
      <c r="H1246" s="65">
        <v>569</v>
      </c>
      <c r="I1246" s="67">
        <v>0.63766671071449899</v>
      </c>
      <c r="J1246" s="67">
        <v>6.2090234733641596</v>
      </c>
      <c r="K1246" s="65">
        <v>10</v>
      </c>
      <c r="L1246" s="65">
        <v>2</v>
      </c>
      <c r="M1246" s="66">
        <v>0</v>
      </c>
      <c r="N1246" s="67">
        <v>0</v>
      </c>
      <c r="O1246" s="67">
        <v>0</v>
      </c>
      <c r="P1246" s="67">
        <v>19.130001321435</v>
      </c>
      <c r="Q1246" s="68">
        <v>0</v>
      </c>
    </row>
    <row r="1247" spans="1:17" x14ac:dyDescent="0.35">
      <c r="A1247" s="62" t="s">
        <v>136</v>
      </c>
      <c r="B1247" s="63">
        <v>937733</v>
      </c>
      <c r="C1247" s="63" t="s">
        <v>147</v>
      </c>
      <c r="D1247" s="64">
        <v>42654</v>
      </c>
      <c r="E1247" s="63" t="s">
        <v>138</v>
      </c>
      <c r="F1247" s="65">
        <v>65335</v>
      </c>
      <c r="G1247" s="66">
        <v>7.1510297482837498E-3</v>
      </c>
      <c r="H1247" s="65">
        <v>295</v>
      </c>
      <c r="I1247" s="67">
        <v>0.69840001583099398</v>
      </c>
      <c r="J1247" s="67">
        <v>4.9942792894092802</v>
      </c>
      <c r="K1247" s="65">
        <v>87</v>
      </c>
      <c r="L1247" s="65">
        <v>2</v>
      </c>
      <c r="M1247" s="66">
        <v>0</v>
      </c>
      <c r="N1247" s="67">
        <v>0</v>
      </c>
      <c r="O1247" s="67">
        <v>0</v>
      </c>
      <c r="P1247" s="67">
        <v>17.460000395774799</v>
      </c>
      <c r="Q1247" s="68">
        <v>0</v>
      </c>
    </row>
    <row r="1248" spans="1:17" x14ac:dyDescent="0.35">
      <c r="A1248" s="62" t="s">
        <v>136</v>
      </c>
      <c r="B1248" s="63">
        <v>937733</v>
      </c>
      <c r="C1248" s="63" t="s">
        <v>147</v>
      </c>
      <c r="D1248" s="64">
        <v>42655</v>
      </c>
      <c r="E1248" s="63" t="s">
        <v>138</v>
      </c>
      <c r="F1248" s="65">
        <v>52768</v>
      </c>
      <c r="G1248" s="66">
        <v>6.1711079943898997E-3</v>
      </c>
      <c r="H1248" s="65">
        <v>303</v>
      </c>
      <c r="I1248" s="67">
        <v>0.69681819968602898</v>
      </c>
      <c r="J1248" s="67">
        <v>4.3001403627188299</v>
      </c>
      <c r="K1248" s="65">
        <v>20</v>
      </c>
      <c r="L1248" s="65">
        <v>6</v>
      </c>
      <c r="M1248" s="66">
        <v>4.5454545454545497E-2</v>
      </c>
      <c r="N1248" s="67">
        <v>49.3548943744442</v>
      </c>
      <c r="O1248" s="67">
        <v>49.3548943744442</v>
      </c>
      <c r="P1248" s="67">
        <v>15.3300003930926</v>
      </c>
      <c r="Q1248" s="68">
        <v>0.31060750078376098</v>
      </c>
    </row>
    <row r="1249" spans="1:17" x14ac:dyDescent="0.35">
      <c r="A1249" s="62" t="s">
        <v>136</v>
      </c>
      <c r="B1249" s="63">
        <v>937733</v>
      </c>
      <c r="C1249" s="63" t="s">
        <v>147</v>
      </c>
      <c r="D1249" s="64">
        <v>42656</v>
      </c>
      <c r="E1249" s="63" t="s">
        <v>138</v>
      </c>
      <c r="F1249" s="65">
        <v>61612</v>
      </c>
      <c r="G1249" s="66">
        <v>9.6043027276219804E-3</v>
      </c>
      <c r="H1249" s="65">
        <v>590</v>
      </c>
      <c r="I1249" s="67">
        <v>0.66680001437664005</v>
      </c>
      <c r="J1249" s="67">
        <v>6.4041491968559399</v>
      </c>
      <c r="K1249" s="65">
        <v>13</v>
      </c>
      <c r="L1249" s="65">
        <v>2</v>
      </c>
      <c r="M1249" s="66">
        <v>0</v>
      </c>
      <c r="N1249" s="67">
        <v>0</v>
      </c>
      <c r="O1249" s="67">
        <v>0</v>
      </c>
      <c r="P1249" s="67">
        <v>16.670000359416001</v>
      </c>
      <c r="Q1249" s="68">
        <v>0</v>
      </c>
    </row>
    <row r="1250" spans="1:17" x14ac:dyDescent="0.35">
      <c r="A1250" s="62" t="s">
        <v>136</v>
      </c>
      <c r="B1250" s="63">
        <v>937733</v>
      </c>
      <c r="C1250" s="63" t="s">
        <v>147</v>
      </c>
      <c r="D1250" s="64">
        <v>42657</v>
      </c>
      <c r="E1250" s="63" t="s">
        <v>138</v>
      </c>
      <c r="F1250" s="65">
        <v>27573</v>
      </c>
      <c r="G1250" s="66">
        <v>9.7769630308585393E-3</v>
      </c>
      <c r="H1250" s="65">
        <v>261</v>
      </c>
      <c r="I1250" s="67">
        <v>0.52625002339482296</v>
      </c>
      <c r="J1250" s="67">
        <v>5.1451270237196303</v>
      </c>
      <c r="K1250" s="65">
        <v>42</v>
      </c>
      <c r="L1250" s="65">
        <v>0</v>
      </c>
      <c r="M1250" s="66">
        <v>0</v>
      </c>
      <c r="N1250" s="67">
        <v>0</v>
      </c>
      <c r="O1250" s="67">
        <v>0</v>
      </c>
      <c r="P1250" s="67">
        <v>16.840000748634299</v>
      </c>
      <c r="Q1250" s="68">
        <v>0</v>
      </c>
    </row>
    <row r="1251" spans="1:17" x14ac:dyDescent="0.35">
      <c r="A1251" s="62" t="s">
        <v>136</v>
      </c>
      <c r="B1251" s="63">
        <v>937733</v>
      </c>
      <c r="C1251" s="63" t="s">
        <v>147</v>
      </c>
      <c r="D1251" s="64">
        <v>42658</v>
      </c>
      <c r="E1251" s="63" t="s">
        <v>138</v>
      </c>
      <c r="F1251" s="65">
        <v>391</v>
      </c>
      <c r="G1251" s="66">
        <v>7.9316656497864495E-3</v>
      </c>
      <c r="H1251" s="65">
        <v>287</v>
      </c>
      <c r="I1251" s="67">
        <v>0.52461540699005105</v>
      </c>
      <c r="J1251" s="67">
        <v>4.1610740029717297</v>
      </c>
      <c r="K1251" s="65">
        <v>68</v>
      </c>
      <c r="L1251" s="65">
        <v>1</v>
      </c>
      <c r="M1251" s="66">
        <v>0</v>
      </c>
      <c r="N1251" s="67">
        <v>0</v>
      </c>
      <c r="O1251" s="67">
        <v>0</v>
      </c>
      <c r="P1251" s="67">
        <v>6.8200002908706701</v>
      </c>
      <c r="Q1251" s="68">
        <v>0</v>
      </c>
    </row>
    <row r="1252" spans="1:17" x14ac:dyDescent="0.35">
      <c r="A1252" s="62" t="s">
        <v>136</v>
      </c>
      <c r="B1252" s="63">
        <v>937733</v>
      </c>
      <c r="C1252" s="63" t="s">
        <v>147</v>
      </c>
      <c r="D1252" s="64">
        <v>42659</v>
      </c>
      <c r="E1252" s="63" t="s">
        <v>138</v>
      </c>
      <c r="F1252" s="65">
        <v>67194</v>
      </c>
      <c r="G1252" s="66">
        <v>1.7391304347826101E-2</v>
      </c>
      <c r="H1252" s="65">
        <v>228</v>
      </c>
      <c r="I1252" s="67">
        <v>0.373125014826655</v>
      </c>
      <c r="J1252" s="67">
        <v>6.4891306926374801</v>
      </c>
      <c r="K1252" s="65">
        <v>21</v>
      </c>
      <c r="L1252" s="65">
        <v>4</v>
      </c>
      <c r="M1252" s="66">
        <v>0</v>
      </c>
      <c r="N1252" s="67">
        <v>0</v>
      </c>
      <c r="O1252" s="67">
        <v>0</v>
      </c>
      <c r="P1252" s="67">
        <v>5.9700002372264898</v>
      </c>
      <c r="Q1252" s="68">
        <v>0</v>
      </c>
    </row>
    <row r="1253" spans="1:17" x14ac:dyDescent="0.35">
      <c r="A1253" s="62" t="s">
        <v>136</v>
      </c>
      <c r="B1253" s="63">
        <v>937733</v>
      </c>
      <c r="C1253" s="63" t="s">
        <v>147</v>
      </c>
      <c r="D1253" s="64">
        <v>42660</v>
      </c>
      <c r="E1253" s="63" t="s">
        <v>138</v>
      </c>
      <c r="F1253" s="65">
        <v>15168</v>
      </c>
      <c r="G1253" s="66">
        <v>1.8058690744920999E-2</v>
      </c>
      <c r="H1253" s="65">
        <v>162</v>
      </c>
      <c r="I1253" s="67">
        <v>0.71625004429370198</v>
      </c>
      <c r="J1253" s="67">
        <v>12.9345380459359</v>
      </c>
      <c r="K1253" s="65">
        <v>83</v>
      </c>
      <c r="L1253" s="65">
        <v>4</v>
      </c>
      <c r="M1253" s="66">
        <v>6.25E-2</v>
      </c>
      <c r="N1253" s="67">
        <v>65.261575180382707</v>
      </c>
      <c r="O1253" s="67">
        <v>65.261575180382707</v>
      </c>
      <c r="P1253" s="67">
        <v>11.4600007086992</v>
      </c>
      <c r="Q1253" s="68">
        <v>0.17560104360067699</v>
      </c>
    </row>
    <row r="1254" spans="1:17" x14ac:dyDescent="0.35">
      <c r="A1254" s="62" t="s">
        <v>136</v>
      </c>
      <c r="B1254" s="63">
        <v>937733</v>
      </c>
      <c r="C1254" s="63" t="s">
        <v>147</v>
      </c>
      <c r="D1254" s="64">
        <v>42661</v>
      </c>
      <c r="E1254" s="63" t="s">
        <v>138</v>
      </c>
      <c r="F1254" s="65">
        <v>2638</v>
      </c>
      <c r="G1254" s="66">
        <v>1.55728587319244E-2</v>
      </c>
      <c r="H1254" s="65">
        <v>424</v>
      </c>
      <c r="I1254" s="67">
        <v>0.59714288477386701</v>
      </c>
      <c r="J1254" s="67">
        <v>9.2992217873572205</v>
      </c>
      <c r="K1254" s="65">
        <v>81</v>
      </c>
      <c r="L1254" s="65">
        <v>3</v>
      </c>
      <c r="M1254" s="66">
        <v>7.1428571428571397E-2</v>
      </c>
      <c r="N1254" s="67">
        <v>15.818310019910101</v>
      </c>
      <c r="O1254" s="67">
        <v>15.818310019910101</v>
      </c>
      <c r="P1254" s="67">
        <v>8.3600003868341393</v>
      </c>
      <c r="Q1254" s="68">
        <v>0.528501488231779</v>
      </c>
    </row>
    <row r="1255" spans="1:17" x14ac:dyDescent="0.35">
      <c r="A1255" s="62" t="s">
        <v>136</v>
      </c>
      <c r="B1255" s="63">
        <v>937733</v>
      </c>
      <c r="C1255" s="63" t="s">
        <v>147</v>
      </c>
      <c r="D1255" s="64">
        <v>42662</v>
      </c>
      <c r="E1255" s="63" t="s">
        <v>138</v>
      </c>
      <c r="F1255" s="65">
        <v>7906</v>
      </c>
      <c r="G1255" s="66">
        <v>1.4492753623188401E-2</v>
      </c>
      <c r="H1255" s="65">
        <v>277</v>
      </c>
      <c r="I1255" s="67">
        <v>0.58666669825712803</v>
      </c>
      <c r="J1255" s="67">
        <v>8.50241591676998</v>
      </c>
      <c r="K1255" s="65">
        <v>61</v>
      </c>
      <c r="L1255" s="65">
        <v>1</v>
      </c>
      <c r="M1255" s="66">
        <v>0</v>
      </c>
      <c r="N1255" s="67">
        <v>0</v>
      </c>
      <c r="O1255" s="67">
        <v>0</v>
      </c>
      <c r="P1255" s="67">
        <v>8.8000004738569295</v>
      </c>
      <c r="Q1255" s="68">
        <v>0</v>
      </c>
    </row>
    <row r="1256" spans="1:17" x14ac:dyDescent="0.35">
      <c r="A1256" s="62" t="s">
        <v>136</v>
      </c>
      <c r="B1256" s="63">
        <v>937733</v>
      </c>
      <c r="C1256" s="63" t="s">
        <v>147</v>
      </c>
      <c r="D1256" s="64">
        <v>42663</v>
      </c>
      <c r="E1256" s="63" t="s">
        <v>138</v>
      </c>
      <c r="F1256" s="65">
        <v>15794</v>
      </c>
      <c r="G1256" s="66">
        <v>8.0000000000000002E-3</v>
      </c>
      <c r="H1256" s="65">
        <v>168</v>
      </c>
      <c r="I1256" s="67">
        <v>0.71857145854405002</v>
      </c>
      <c r="J1256" s="67">
        <v>5.7485716683524002</v>
      </c>
      <c r="K1256" s="65">
        <v>9</v>
      </c>
      <c r="L1256" s="65">
        <v>2</v>
      </c>
      <c r="M1256" s="66">
        <v>0.14285714285714299</v>
      </c>
      <c r="N1256" s="67">
        <v>26.422763890535801</v>
      </c>
      <c r="O1256" s="67">
        <v>26.422763890535801</v>
      </c>
      <c r="P1256" s="67">
        <v>5.0300002098083496</v>
      </c>
      <c r="Q1256" s="68">
        <v>0.19036616421531999</v>
      </c>
    </row>
    <row r="1257" spans="1:17" x14ac:dyDescent="0.35">
      <c r="A1257" s="62" t="s">
        <v>136</v>
      </c>
      <c r="B1257" s="63">
        <v>937733</v>
      </c>
      <c r="C1257" s="63" t="s">
        <v>147</v>
      </c>
      <c r="D1257" s="64">
        <v>42664</v>
      </c>
      <c r="E1257" s="63" t="s">
        <v>138</v>
      </c>
      <c r="F1257" s="65">
        <v>56486</v>
      </c>
      <c r="G1257" s="66">
        <v>9.7259062776304198E-3</v>
      </c>
      <c r="H1257" s="65">
        <v>571</v>
      </c>
      <c r="I1257" s="67">
        <v>0.30181819606911098</v>
      </c>
      <c r="J1257" s="67">
        <v>2.9354554878516499</v>
      </c>
      <c r="K1257" s="65">
        <v>89</v>
      </c>
      <c r="L1257" s="65">
        <v>6</v>
      </c>
      <c r="M1257" s="66">
        <v>0</v>
      </c>
      <c r="N1257" s="67">
        <v>0</v>
      </c>
      <c r="O1257" s="67">
        <v>0</v>
      </c>
      <c r="P1257" s="67">
        <v>3.3200001567602202</v>
      </c>
      <c r="Q1257" s="68">
        <v>0</v>
      </c>
    </row>
    <row r="1258" spans="1:17" x14ac:dyDescent="0.35">
      <c r="A1258" s="62" t="s">
        <v>136</v>
      </c>
      <c r="B1258" s="63">
        <v>937733</v>
      </c>
      <c r="C1258" s="63" t="s">
        <v>147</v>
      </c>
      <c r="D1258" s="64">
        <v>42665</v>
      </c>
      <c r="E1258" s="63" t="s">
        <v>138</v>
      </c>
      <c r="F1258" s="65">
        <v>67590</v>
      </c>
      <c r="G1258" s="66">
        <v>8.2644628099173608E-3</v>
      </c>
      <c r="H1258" s="65">
        <v>301</v>
      </c>
      <c r="I1258" s="67">
        <v>0.66125003620982203</v>
      </c>
      <c r="J1258" s="67">
        <v>5.4648763323125804</v>
      </c>
      <c r="K1258" s="65">
        <v>72</v>
      </c>
      <c r="L1258" s="65">
        <v>0</v>
      </c>
      <c r="M1258" s="66">
        <v>0</v>
      </c>
      <c r="N1258" s="67">
        <v>0</v>
      </c>
      <c r="O1258" s="67">
        <v>0</v>
      </c>
      <c r="P1258" s="67">
        <v>5.2900002896785701</v>
      </c>
      <c r="Q1258" s="68">
        <v>0</v>
      </c>
    </row>
    <row r="1259" spans="1:17" x14ac:dyDescent="0.35">
      <c r="A1259" s="62" t="s">
        <v>136</v>
      </c>
      <c r="B1259" s="63">
        <v>937733</v>
      </c>
      <c r="C1259" s="63" t="s">
        <v>147</v>
      </c>
      <c r="D1259" s="64">
        <v>42666</v>
      </c>
      <c r="E1259" s="63" t="s">
        <v>138</v>
      </c>
      <c r="F1259" s="65">
        <v>23522</v>
      </c>
      <c r="G1259" s="66">
        <v>8.6741016109045908E-3</v>
      </c>
      <c r="H1259" s="65">
        <v>339</v>
      </c>
      <c r="I1259" s="67">
        <v>0.56571432309491299</v>
      </c>
      <c r="J1259" s="67">
        <v>4.9070635212693796</v>
      </c>
      <c r="K1259" s="65">
        <v>99</v>
      </c>
      <c r="L1259" s="65">
        <v>2</v>
      </c>
      <c r="M1259" s="66">
        <v>0.14285714285714299</v>
      </c>
      <c r="N1259" s="67">
        <v>138.43230284242199</v>
      </c>
      <c r="O1259" s="67">
        <v>138.43230284242199</v>
      </c>
      <c r="P1259" s="67">
        <v>3.9600002616643901</v>
      </c>
      <c r="Q1259" s="68">
        <v>2.8606041945080402E-2</v>
      </c>
    </row>
    <row r="1260" spans="1:17" x14ac:dyDescent="0.35">
      <c r="A1260" s="62" t="s">
        <v>136</v>
      </c>
      <c r="B1260" s="63">
        <v>937733</v>
      </c>
      <c r="C1260" s="63" t="s">
        <v>147</v>
      </c>
      <c r="D1260" s="64">
        <v>42667</v>
      </c>
      <c r="E1260" s="63" t="s">
        <v>138</v>
      </c>
      <c r="F1260" s="65">
        <v>4516</v>
      </c>
      <c r="G1260" s="66">
        <v>8.0091533180778E-3</v>
      </c>
      <c r="H1260" s="65">
        <v>492</v>
      </c>
      <c r="I1260" s="67">
        <v>0.66428575345448104</v>
      </c>
      <c r="J1260" s="67">
        <v>5.3203664464317697</v>
      </c>
      <c r="K1260" s="65">
        <v>8</v>
      </c>
      <c r="L1260" s="65">
        <v>2</v>
      </c>
      <c r="M1260" s="66">
        <v>0</v>
      </c>
      <c r="N1260" s="67">
        <v>0</v>
      </c>
      <c r="O1260" s="67">
        <v>0</v>
      </c>
      <c r="P1260" s="67">
        <v>4.6500002741813704</v>
      </c>
      <c r="Q1260" s="68">
        <v>0</v>
      </c>
    </row>
    <row r="1261" spans="1:17" x14ac:dyDescent="0.35">
      <c r="A1261" s="62" t="s">
        <v>136</v>
      </c>
      <c r="B1261" s="63">
        <v>937733</v>
      </c>
      <c r="C1261" s="63" t="s">
        <v>147</v>
      </c>
      <c r="D1261" s="64">
        <v>42668</v>
      </c>
      <c r="E1261" s="63" t="s">
        <v>138</v>
      </c>
      <c r="F1261" s="65">
        <v>9676</v>
      </c>
      <c r="G1261" s="66">
        <v>1.9296254256526701E-2</v>
      </c>
      <c r="H1261" s="65">
        <v>163</v>
      </c>
      <c r="I1261" s="67">
        <v>0.71176474760560404</v>
      </c>
      <c r="J1261" s="67">
        <v>13.7343935406303</v>
      </c>
      <c r="K1261" s="65">
        <v>38</v>
      </c>
      <c r="L1261" s="65">
        <v>4</v>
      </c>
      <c r="M1261" s="66">
        <v>0</v>
      </c>
      <c r="N1261" s="67">
        <v>0</v>
      </c>
      <c r="O1261" s="67">
        <v>0</v>
      </c>
      <c r="P1261" s="67">
        <v>12.100000709295299</v>
      </c>
      <c r="Q1261" s="68">
        <v>0</v>
      </c>
    </row>
    <row r="1262" spans="1:17" x14ac:dyDescent="0.35">
      <c r="A1262" s="62" t="s">
        <v>136</v>
      </c>
      <c r="B1262" s="63">
        <v>937733</v>
      </c>
      <c r="C1262" s="63" t="s">
        <v>147</v>
      </c>
      <c r="D1262" s="64">
        <v>42669</v>
      </c>
      <c r="E1262" s="63" t="s">
        <v>138</v>
      </c>
      <c r="F1262" s="65">
        <v>48721</v>
      </c>
      <c r="G1262" s="66">
        <v>1.30759651307597E-2</v>
      </c>
      <c r="H1262" s="65">
        <v>525</v>
      </c>
      <c r="I1262" s="67">
        <v>0.66095240910847997</v>
      </c>
      <c r="J1262" s="67">
        <v>8.6425906545940698</v>
      </c>
      <c r="K1262" s="65">
        <v>58</v>
      </c>
      <c r="L1262" s="65">
        <v>1</v>
      </c>
      <c r="M1262" s="66">
        <v>4.7619047619047603E-2</v>
      </c>
      <c r="N1262" s="67">
        <v>26.422763890535801</v>
      </c>
      <c r="O1262" s="67">
        <v>26.422763890535801</v>
      </c>
      <c r="P1262" s="67">
        <v>13.880000591278099</v>
      </c>
      <c r="Q1262" s="68">
        <v>0.52530464446415004</v>
      </c>
    </row>
    <row r="1263" spans="1:17" x14ac:dyDescent="0.35">
      <c r="A1263" s="62" t="s">
        <v>136</v>
      </c>
      <c r="B1263" s="63">
        <v>937733</v>
      </c>
      <c r="C1263" s="63" t="s">
        <v>147</v>
      </c>
      <c r="D1263" s="64">
        <v>42670</v>
      </c>
      <c r="E1263" s="63" t="s">
        <v>138</v>
      </c>
      <c r="F1263" s="65">
        <v>63437</v>
      </c>
      <c r="G1263" s="66">
        <v>7.2289156626506E-3</v>
      </c>
      <c r="H1263" s="65">
        <v>240</v>
      </c>
      <c r="I1263" s="67">
        <v>1.0100000500679001</v>
      </c>
      <c r="J1263" s="67">
        <v>7.3012051812137502</v>
      </c>
      <c r="K1263" s="65">
        <v>24</v>
      </c>
      <c r="L1263" s="65">
        <v>0</v>
      </c>
      <c r="M1263" s="66">
        <v>0</v>
      </c>
      <c r="N1263" s="67">
        <v>0</v>
      </c>
      <c r="O1263" s="67">
        <v>0</v>
      </c>
      <c r="P1263" s="67">
        <v>6.0600003004074097</v>
      </c>
      <c r="Q1263" s="68">
        <v>0</v>
      </c>
    </row>
    <row r="1264" spans="1:17" x14ac:dyDescent="0.35">
      <c r="A1264" s="62" t="s">
        <v>136</v>
      </c>
      <c r="B1264" s="63">
        <v>937733</v>
      </c>
      <c r="C1264" s="63" t="s">
        <v>147</v>
      </c>
      <c r="D1264" s="64">
        <v>42671</v>
      </c>
      <c r="E1264" s="63" t="s">
        <v>138</v>
      </c>
      <c r="F1264" s="65">
        <v>19451</v>
      </c>
      <c r="G1264" s="66">
        <v>1.8032786885245899E-2</v>
      </c>
      <c r="H1264" s="65">
        <v>374</v>
      </c>
      <c r="I1264" s="67">
        <v>0.83000004494732105</v>
      </c>
      <c r="J1264" s="67">
        <v>14.9672139252796</v>
      </c>
      <c r="K1264" s="65">
        <v>95</v>
      </c>
      <c r="L1264" s="65">
        <v>5</v>
      </c>
      <c r="M1264" s="66">
        <v>9.0909090909090898E-2</v>
      </c>
      <c r="N1264" s="67">
        <v>347.63953086553698</v>
      </c>
      <c r="O1264" s="67">
        <v>173.81976543276801</v>
      </c>
      <c r="P1264" s="67">
        <v>18.260000988841099</v>
      </c>
      <c r="Q1264" s="68">
        <v>5.2525674923614603E-2</v>
      </c>
    </row>
    <row r="1265" spans="1:17" x14ac:dyDescent="0.35">
      <c r="A1265" s="62" t="s">
        <v>136</v>
      </c>
      <c r="B1265" s="63">
        <v>937733</v>
      </c>
      <c r="C1265" s="63" t="s">
        <v>147</v>
      </c>
      <c r="D1265" s="64">
        <v>42672</v>
      </c>
      <c r="E1265" s="63" t="s">
        <v>138</v>
      </c>
      <c r="F1265" s="65">
        <v>44718</v>
      </c>
      <c r="G1265" s="66">
        <v>1.0869565217391301E-2</v>
      </c>
      <c r="H1265" s="65">
        <v>305</v>
      </c>
      <c r="I1265" s="67">
        <v>0.78300004601478601</v>
      </c>
      <c r="J1265" s="67">
        <v>8.5108700653781106</v>
      </c>
      <c r="K1265" s="65">
        <v>88</v>
      </c>
      <c r="L1265" s="65">
        <v>0</v>
      </c>
      <c r="M1265" s="66">
        <v>0</v>
      </c>
      <c r="N1265" s="67">
        <v>0</v>
      </c>
      <c r="O1265" s="67">
        <v>0</v>
      </c>
      <c r="P1265" s="67">
        <v>7.8300004601478603</v>
      </c>
      <c r="Q1265" s="68">
        <v>0</v>
      </c>
    </row>
    <row r="1266" spans="1:17" x14ac:dyDescent="0.35">
      <c r="A1266" s="62" t="s">
        <v>136</v>
      </c>
      <c r="B1266" s="63">
        <v>937733</v>
      </c>
      <c r="C1266" s="63" t="s">
        <v>147</v>
      </c>
      <c r="D1266" s="64">
        <v>42673</v>
      </c>
      <c r="E1266" s="63" t="s">
        <v>138</v>
      </c>
      <c r="F1266" s="65">
        <v>38707</v>
      </c>
      <c r="G1266" s="66">
        <v>3.36021505376344E-3</v>
      </c>
      <c r="H1266" s="65">
        <v>356</v>
      </c>
      <c r="I1266" s="67">
        <v>1.0420000553131099</v>
      </c>
      <c r="J1266" s="67">
        <v>3.5013442718854502</v>
      </c>
      <c r="K1266" s="65">
        <v>78</v>
      </c>
      <c r="L1266" s="65">
        <v>2</v>
      </c>
      <c r="M1266" s="66">
        <v>0.2</v>
      </c>
      <c r="N1266" s="67">
        <v>95.395896914318001</v>
      </c>
      <c r="O1266" s="67">
        <v>95.395896914318001</v>
      </c>
      <c r="P1266" s="67">
        <v>5.21000027656555</v>
      </c>
      <c r="Q1266" s="68">
        <v>5.4614511159164797E-2</v>
      </c>
    </row>
    <row r="1267" spans="1:17" x14ac:dyDescent="0.35">
      <c r="A1267" s="62" t="s">
        <v>136</v>
      </c>
      <c r="B1267" s="63">
        <v>937733</v>
      </c>
      <c r="C1267" s="63" t="s">
        <v>147</v>
      </c>
      <c r="D1267" s="64">
        <v>42674</v>
      </c>
      <c r="E1267" s="63" t="s">
        <v>138</v>
      </c>
      <c r="F1267" s="65">
        <v>15979</v>
      </c>
      <c r="G1267" s="66">
        <v>9.8952270081490105E-3</v>
      </c>
      <c r="H1267" s="65">
        <v>510</v>
      </c>
      <c r="I1267" s="67">
        <v>0.54000001795151698</v>
      </c>
      <c r="J1267" s="67">
        <v>5.3434227620348</v>
      </c>
      <c r="K1267" s="65">
        <v>86</v>
      </c>
      <c r="L1267" s="65">
        <v>2</v>
      </c>
      <c r="M1267" s="66">
        <v>5.8823529411764698E-2</v>
      </c>
      <c r="N1267" s="67">
        <v>272.84376104630599</v>
      </c>
      <c r="O1267" s="67">
        <v>272.84376104630599</v>
      </c>
      <c r="P1267" s="67">
        <v>9.1800003051757795</v>
      </c>
      <c r="Q1267" s="68">
        <v>3.3645630268297699E-2</v>
      </c>
    </row>
    <row r="1268" spans="1:17" x14ac:dyDescent="0.35">
      <c r="A1268" s="62" t="s">
        <v>136</v>
      </c>
      <c r="B1268" s="63">
        <v>937733</v>
      </c>
      <c r="C1268" s="63" t="s">
        <v>147</v>
      </c>
      <c r="D1268" s="64">
        <v>42675</v>
      </c>
      <c r="E1268" s="63" t="s">
        <v>138</v>
      </c>
      <c r="F1268" s="65">
        <v>39446</v>
      </c>
      <c r="G1268" s="66">
        <v>6.9204152249135002E-3</v>
      </c>
      <c r="H1268" s="65">
        <v>553</v>
      </c>
      <c r="I1268" s="67">
        <v>0.77083336810270897</v>
      </c>
      <c r="J1268" s="67">
        <v>5.3344869764893401</v>
      </c>
      <c r="K1268" s="65">
        <v>21</v>
      </c>
      <c r="L1268" s="65">
        <v>1</v>
      </c>
      <c r="M1268" s="66">
        <v>0</v>
      </c>
      <c r="N1268" s="67">
        <v>0</v>
      </c>
      <c r="O1268" s="67">
        <v>0</v>
      </c>
      <c r="P1268" s="67">
        <v>9.2500004172325099</v>
      </c>
      <c r="Q1268" s="68">
        <v>0</v>
      </c>
    </row>
    <row r="1269" spans="1:17" x14ac:dyDescent="0.35">
      <c r="A1269" s="62" t="s">
        <v>136</v>
      </c>
      <c r="B1269" s="63">
        <v>937733</v>
      </c>
      <c r="C1269" s="63" t="s">
        <v>147</v>
      </c>
      <c r="D1269" s="64">
        <v>42676</v>
      </c>
      <c r="E1269" s="63" t="s">
        <v>138</v>
      </c>
      <c r="F1269" s="65">
        <v>8146</v>
      </c>
      <c r="G1269" s="66">
        <v>1.46341463414634E-2</v>
      </c>
      <c r="H1269" s="65">
        <v>568</v>
      </c>
      <c r="I1269" s="67">
        <v>0.48791669650624198</v>
      </c>
      <c r="J1269" s="67">
        <v>7.14024433911574</v>
      </c>
      <c r="K1269" s="65">
        <v>65</v>
      </c>
      <c r="L1269" s="65">
        <v>3</v>
      </c>
      <c r="M1269" s="66">
        <v>0.125</v>
      </c>
      <c r="N1269" s="67">
        <v>145.32038161762199</v>
      </c>
      <c r="O1269" s="67">
        <v>48.440127205873999</v>
      </c>
      <c r="P1269" s="67">
        <v>11.7100007161498</v>
      </c>
      <c r="Q1269" s="68">
        <v>8.0580580547621003E-2</v>
      </c>
    </row>
    <row r="1270" spans="1:17" x14ac:dyDescent="0.35">
      <c r="A1270" s="62" t="s">
        <v>136</v>
      </c>
      <c r="B1270" s="63">
        <v>937733</v>
      </c>
      <c r="C1270" s="63" t="s">
        <v>147</v>
      </c>
      <c r="D1270" s="64">
        <v>42677</v>
      </c>
      <c r="E1270" s="63" t="s">
        <v>138</v>
      </c>
      <c r="F1270" s="65">
        <v>6800</v>
      </c>
      <c r="G1270" s="66">
        <v>8.1504702194357403E-3</v>
      </c>
      <c r="H1270" s="65">
        <v>338</v>
      </c>
      <c r="I1270" s="67">
        <v>0.86000006244732796</v>
      </c>
      <c r="J1270" s="67">
        <v>7.0094048976898202</v>
      </c>
      <c r="K1270" s="65">
        <v>56</v>
      </c>
      <c r="L1270" s="65">
        <v>1</v>
      </c>
      <c r="M1270" s="66">
        <v>0</v>
      </c>
      <c r="N1270" s="67">
        <v>0</v>
      </c>
      <c r="O1270" s="67">
        <v>0</v>
      </c>
      <c r="P1270" s="67">
        <v>11.180000811815299</v>
      </c>
      <c r="Q1270" s="68">
        <v>0</v>
      </c>
    </row>
    <row r="1271" spans="1:17" x14ac:dyDescent="0.35">
      <c r="A1271" s="69" t="s">
        <v>136</v>
      </c>
      <c r="B1271" s="70">
        <v>937733</v>
      </c>
      <c r="C1271" s="70" t="s">
        <v>147</v>
      </c>
      <c r="D1271" s="71">
        <v>42678</v>
      </c>
      <c r="E1271" s="70" t="s">
        <v>138</v>
      </c>
      <c r="F1271" s="72">
        <v>14352</v>
      </c>
      <c r="G1271" s="73">
        <v>1.0208610741233901E-2</v>
      </c>
      <c r="H1271" s="72">
        <v>190</v>
      </c>
      <c r="I1271" s="74">
        <v>0.67260873155749401</v>
      </c>
      <c r="J1271" s="74">
        <v>6.8664007216255403</v>
      </c>
      <c r="K1271" s="72">
        <v>87</v>
      </c>
      <c r="L1271" s="72">
        <v>1</v>
      </c>
      <c r="M1271" s="73">
        <v>4.3478260869565202E-2</v>
      </c>
      <c r="N1271" s="74">
        <v>117.444321223475</v>
      </c>
      <c r="O1271" s="74">
        <v>117.444321223475</v>
      </c>
      <c r="P1271" s="74">
        <v>15.4700008258224</v>
      </c>
      <c r="Q1271" s="75">
        <v>0.131721999537004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71"/>
  <sheetViews>
    <sheetView zoomScaleNormal="100" workbookViewId="0">
      <selection activeCell="H24" sqref="H24"/>
    </sheetView>
  </sheetViews>
  <sheetFormatPr baseColWidth="10" defaultColWidth="11.453125" defaultRowHeight="14.5" x14ac:dyDescent="0.35"/>
  <cols>
    <col min="1" max="1" width="15.81640625" bestFit="1" customWidth="1"/>
    <col min="2" max="2" width="14.1796875" customWidth="1"/>
    <col min="3" max="3" width="21.453125" bestFit="1" customWidth="1"/>
    <col min="4" max="4" width="13.1796875" bestFit="1" customWidth="1"/>
  </cols>
  <sheetData>
    <row r="1" spans="1:17" x14ac:dyDescent="0.35">
      <c r="A1" s="78" t="s">
        <v>119</v>
      </c>
      <c r="B1" s="78" t="s">
        <v>120</v>
      </c>
      <c r="C1" s="78" t="s">
        <v>121</v>
      </c>
      <c r="D1" s="78" t="s">
        <v>122</v>
      </c>
      <c r="E1" s="78" t="s">
        <v>123</v>
      </c>
      <c r="F1" s="78" t="s">
        <v>124</v>
      </c>
      <c r="G1" s="78" t="s">
        <v>125</v>
      </c>
      <c r="H1" s="78" t="s">
        <v>126</v>
      </c>
      <c r="I1" s="78" t="s">
        <v>127</v>
      </c>
      <c r="J1" s="78" t="s">
        <v>128</v>
      </c>
      <c r="K1" s="78" t="s">
        <v>129</v>
      </c>
      <c r="L1" s="78" t="s">
        <v>130</v>
      </c>
      <c r="M1" s="78" t="s">
        <v>131</v>
      </c>
      <c r="N1" s="78" t="s">
        <v>132</v>
      </c>
      <c r="O1" s="78" t="s">
        <v>133</v>
      </c>
      <c r="P1" s="78" t="s">
        <v>134</v>
      </c>
      <c r="Q1" s="78" t="s">
        <v>135</v>
      </c>
    </row>
    <row r="2" spans="1:17" x14ac:dyDescent="0.35">
      <c r="A2" s="76" t="s">
        <v>136</v>
      </c>
      <c r="B2" s="63">
        <v>28644</v>
      </c>
      <c r="C2" s="63" t="s">
        <v>137</v>
      </c>
      <c r="D2" s="64">
        <v>42552</v>
      </c>
      <c r="E2" s="63" t="s">
        <v>138</v>
      </c>
      <c r="F2" s="65">
        <v>29645</v>
      </c>
      <c r="G2" s="66">
        <v>1.05869740016081E-2</v>
      </c>
      <c r="H2" s="65">
        <v>546</v>
      </c>
      <c r="I2" s="67">
        <v>1.41999990200695</v>
      </c>
      <c r="J2" s="67">
        <v>15.0335020448337</v>
      </c>
      <c r="K2" s="65">
        <v>35</v>
      </c>
      <c r="L2" s="65">
        <v>42</v>
      </c>
      <c r="M2" s="66">
        <v>0.122362869198312</v>
      </c>
      <c r="N2" s="67">
        <v>5182.9889307212497</v>
      </c>
      <c r="O2" s="67">
        <v>89.361878115883698</v>
      </c>
      <c r="P2" s="67">
        <v>673.07995355129196</v>
      </c>
      <c r="Q2" s="77">
        <v>0.12986328208453801</v>
      </c>
    </row>
    <row r="3" spans="1:17" x14ac:dyDescent="0.35">
      <c r="A3" s="76" t="s">
        <v>136</v>
      </c>
      <c r="B3" s="63">
        <v>28644</v>
      </c>
      <c r="C3" s="63" t="s">
        <v>137</v>
      </c>
      <c r="D3" s="64">
        <v>42553</v>
      </c>
      <c r="E3" s="63" t="s">
        <v>138</v>
      </c>
      <c r="F3" s="65">
        <v>5181</v>
      </c>
      <c r="G3" s="66">
        <v>9.4367120891933193E-3</v>
      </c>
      <c r="H3" s="65">
        <v>263</v>
      </c>
      <c r="I3" s="67">
        <v>1.419999926707</v>
      </c>
      <c r="J3" s="67">
        <v>13.4001304750096</v>
      </c>
      <c r="K3" s="65">
        <v>49</v>
      </c>
      <c r="L3" s="65">
        <v>55</v>
      </c>
      <c r="M3" s="66">
        <v>7.3359073359073407E-2</v>
      </c>
      <c r="N3" s="67">
        <v>3522.4738934240199</v>
      </c>
      <c r="O3" s="67">
        <v>92.696681405895205</v>
      </c>
      <c r="P3" s="67">
        <v>735.55996203422501</v>
      </c>
      <c r="Q3" s="77">
        <v>0.20881913799486701</v>
      </c>
    </row>
    <row r="4" spans="1:17" x14ac:dyDescent="0.35">
      <c r="A4" s="76" t="s">
        <v>136</v>
      </c>
      <c r="B4" s="63">
        <v>28644</v>
      </c>
      <c r="C4" s="63" t="s">
        <v>137</v>
      </c>
      <c r="D4" s="64">
        <v>42554</v>
      </c>
      <c r="E4" s="63" t="s">
        <v>138</v>
      </c>
      <c r="F4" s="65">
        <v>37364</v>
      </c>
      <c r="G4" s="66">
        <v>7.8716210172281205E-3</v>
      </c>
      <c r="H4" s="65">
        <v>415</v>
      </c>
      <c r="I4" s="67">
        <v>1.4200000221079001</v>
      </c>
      <c r="J4" s="67">
        <v>11.177702018489001</v>
      </c>
      <c r="K4" s="65">
        <v>96</v>
      </c>
      <c r="L4" s="65">
        <v>57</v>
      </c>
      <c r="M4" s="66">
        <v>9.54545454545455E-2</v>
      </c>
      <c r="N4" s="67">
        <v>4149.6238210597103</v>
      </c>
      <c r="O4" s="67">
        <v>98.800567168088406</v>
      </c>
      <c r="P4" s="67">
        <v>624.80000972747803</v>
      </c>
      <c r="Q4" s="77">
        <v>0.150567867515258</v>
      </c>
    </row>
    <row r="5" spans="1:17" x14ac:dyDescent="0.35">
      <c r="A5" s="76" t="s">
        <v>136</v>
      </c>
      <c r="B5" s="63">
        <v>28644</v>
      </c>
      <c r="C5" s="63" t="s">
        <v>137</v>
      </c>
      <c r="D5" s="64">
        <v>42555</v>
      </c>
      <c r="E5" s="63" t="s">
        <v>138</v>
      </c>
      <c r="F5" s="65">
        <v>63380</v>
      </c>
      <c r="G5" s="66">
        <v>8.0906148867313891E-3</v>
      </c>
      <c r="H5" s="65">
        <v>594</v>
      </c>
      <c r="I5" s="67">
        <v>1.41999999093421</v>
      </c>
      <c r="J5" s="67">
        <v>11.488673065810699</v>
      </c>
      <c r="K5" s="65">
        <v>34</v>
      </c>
      <c r="L5" s="65">
        <v>47</v>
      </c>
      <c r="M5" s="66">
        <v>7.1604938271604898E-2</v>
      </c>
      <c r="N5" s="67">
        <v>2762.9168524697998</v>
      </c>
      <c r="O5" s="67">
        <v>95.272994912751798</v>
      </c>
      <c r="P5" s="67">
        <v>575.099996328354</v>
      </c>
      <c r="Q5" s="77">
        <v>0.20814958503520101</v>
      </c>
    </row>
    <row r="6" spans="1:17" x14ac:dyDescent="0.35">
      <c r="A6" s="76" t="s">
        <v>136</v>
      </c>
      <c r="B6" s="63">
        <v>28644</v>
      </c>
      <c r="C6" s="63" t="s">
        <v>137</v>
      </c>
      <c r="D6" s="64">
        <v>42556</v>
      </c>
      <c r="E6" s="63" t="s">
        <v>138</v>
      </c>
      <c r="F6" s="65">
        <v>68629</v>
      </c>
      <c r="G6" s="66">
        <v>8.9567408473966194E-3</v>
      </c>
      <c r="H6" s="65">
        <v>327</v>
      </c>
      <c r="I6" s="67">
        <v>1.3929550740735801</v>
      </c>
      <c r="J6" s="67">
        <v>12.476337610543199</v>
      </c>
      <c r="K6" s="65">
        <v>55</v>
      </c>
      <c r="L6" s="65">
        <v>39</v>
      </c>
      <c r="M6" s="66">
        <v>4.9645390070922002E-2</v>
      </c>
      <c r="N6" s="67">
        <v>1333.95280490967</v>
      </c>
      <c r="O6" s="67">
        <v>63.521562138555801</v>
      </c>
      <c r="P6" s="67">
        <v>589.21999633312203</v>
      </c>
      <c r="Q6" s="77">
        <v>0.44170977726083899</v>
      </c>
    </row>
    <row r="7" spans="1:17" x14ac:dyDescent="0.35">
      <c r="A7" s="76" t="s">
        <v>136</v>
      </c>
      <c r="B7" s="63">
        <v>28644</v>
      </c>
      <c r="C7" s="63" t="s">
        <v>137</v>
      </c>
      <c r="D7" s="64">
        <v>42557</v>
      </c>
      <c r="E7" s="63" t="s">
        <v>138</v>
      </c>
      <c r="F7" s="65">
        <v>47953</v>
      </c>
      <c r="G7" s="66">
        <v>9.6592142392012206E-3</v>
      </c>
      <c r="H7" s="65">
        <v>538</v>
      </c>
      <c r="I7" s="67">
        <v>1.3799999799621201</v>
      </c>
      <c r="J7" s="67">
        <v>13.3297154565475</v>
      </c>
      <c r="K7" s="65">
        <v>70</v>
      </c>
      <c r="L7" s="65">
        <v>42</v>
      </c>
      <c r="M7" s="66">
        <v>5.8426966292134799E-2</v>
      </c>
      <c r="N7" s="67">
        <v>2028.95669725279</v>
      </c>
      <c r="O7" s="67">
        <v>78.036796048184399</v>
      </c>
      <c r="P7" s="67">
        <v>614.09999108314503</v>
      </c>
      <c r="Q7" s="77">
        <v>0.30266786467874601</v>
      </c>
    </row>
    <row r="8" spans="1:17" x14ac:dyDescent="0.35">
      <c r="A8" s="76" t="s">
        <v>136</v>
      </c>
      <c r="B8" s="63">
        <v>28644</v>
      </c>
      <c r="C8" s="63" t="s">
        <v>137</v>
      </c>
      <c r="D8" s="64">
        <v>42558</v>
      </c>
      <c r="E8" s="63" t="s">
        <v>138</v>
      </c>
      <c r="F8" s="65">
        <v>11584</v>
      </c>
      <c r="G8" s="66">
        <v>9.5642933049946907E-3</v>
      </c>
      <c r="H8" s="65">
        <v>352</v>
      </c>
      <c r="I8" s="67">
        <v>1.3800000116141899</v>
      </c>
      <c r="J8" s="67">
        <v>13.1987248719742</v>
      </c>
      <c r="K8" s="65">
        <v>84</v>
      </c>
      <c r="L8" s="65">
        <v>40</v>
      </c>
      <c r="M8" s="66">
        <v>8.4795321637426896E-2</v>
      </c>
      <c r="N8" s="67">
        <v>4286.4551819517701</v>
      </c>
      <c r="O8" s="67">
        <v>147.80879937764701</v>
      </c>
      <c r="P8" s="67">
        <v>471.96000397205398</v>
      </c>
      <c r="Q8" s="77">
        <v>0.110104966443894</v>
      </c>
    </row>
    <row r="9" spans="1:17" x14ac:dyDescent="0.35">
      <c r="A9" s="76" t="s">
        <v>136</v>
      </c>
      <c r="B9" s="63">
        <v>28644</v>
      </c>
      <c r="C9" s="63" t="s">
        <v>137</v>
      </c>
      <c r="D9" s="64">
        <v>42559</v>
      </c>
      <c r="E9" s="63" t="s">
        <v>138</v>
      </c>
      <c r="F9" s="65">
        <v>55098</v>
      </c>
      <c r="G9" s="66">
        <v>1.00145248834187E-2</v>
      </c>
      <c r="H9" s="65">
        <v>402</v>
      </c>
      <c r="I9" s="67">
        <v>1.38000002829476</v>
      </c>
      <c r="J9" s="67">
        <v>13.8200446224764</v>
      </c>
      <c r="K9" s="65">
        <v>57</v>
      </c>
      <c r="L9" s="65">
        <v>59</v>
      </c>
      <c r="M9" s="66">
        <v>0.101781170483461</v>
      </c>
      <c r="N9" s="67">
        <v>3998.79003830279</v>
      </c>
      <c r="O9" s="67">
        <v>99.969750957569801</v>
      </c>
      <c r="P9" s="67">
        <v>542.34001111984298</v>
      </c>
      <c r="Q9" s="77">
        <v>0.13562602835482401</v>
      </c>
    </row>
    <row r="10" spans="1:17" x14ac:dyDescent="0.35">
      <c r="A10" s="76" t="s">
        <v>136</v>
      </c>
      <c r="B10" s="63">
        <v>28644</v>
      </c>
      <c r="C10" s="63" t="s">
        <v>137</v>
      </c>
      <c r="D10" s="64">
        <v>42560</v>
      </c>
      <c r="E10" s="63" t="s">
        <v>138</v>
      </c>
      <c r="F10" s="65">
        <v>1899</v>
      </c>
      <c r="G10" s="66">
        <v>9.2178642208600291E-3</v>
      </c>
      <c r="H10" s="65">
        <v>158</v>
      </c>
      <c r="I10" s="67">
        <v>1.37999999135733</v>
      </c>
      <c r="J10" s="67">
        <v>12.720652545119799</v>
      </c>
      <c r="K10" s="65">
        <v>83</v>
      </c>
      <c r="L10" s="65">
        <v>51</v>
      </c>
      <c r="M10" s="66">
        <v>8.2500000000000004E-2</v>
      </c>
      <c r="N10" s="67">
        <v>2566.2113433371001</v>
      </c>
      <c r="O10" s="67">
        <v>77.763980101124204</v>
      </c>
      <c r="P10" s="67">
        <v>551.99999654293094</v>
      </c>
      <c r="Q10" s="77">
        <v>0.21510309272700401</v>
      </c>
    </row>
    <row r="11" spans="1:17" x14ac:dyDescent="0.35">
      <c r="A11" s="76" t="s">
        <v>136</v>
      </c>
      <c r="B11" s="63">
        <v>28644</v>
      </c>
      <c r="C11" s="63" t="s">
        <v>137</v>
      </c>
      <c r="D11" s="64">
        <v>42561</v>
      </c>
      <c r="E11" s="63" t="s">
        <v>138</v>
      </c>
      <c r="F11" s="65">
        <v>15449</v>
      </c>
      <c r="G11" s="66">
        <v>9.4737098463262004E-3</v>
      </c>
      <c r="H11" s="65">
        <v>316</v>
      </c>
      <c r="I11" s="67">
        <v>1.34956302127985</v>
      </c>
      <c r="J11" s="67">
        <v>12.7853684829367</v>
      </c>
      <c r="K11" s="65">
        <v>29</v>
      </c>
      <c r="L11" s="65">
        <v>27</v>
      </c>
      <c r="M11" s="66">
        <v>4.3701799485861198E-2</v>
      </c>
      <c r="N11" s="67">
        <v>1910.8393528414299</v>
      </c>
      <c r="O11" s="67">
        <v>112.40231487302501</v>
      </c>
      <c r="P11" s="67">
        <v>524.980015277863</v>
      </c>
      <c r="Q11" s="77">
        <v>0.27473791268596998</v>
      </c>
    </row>
    <row r="12" spans="1:17" x14ac:dyDescent="0.35">
      <c r="A12" s="76" t="s">
        <v>136</v>
      </c>
      <c r="B12" s="63">
        <v>28644</v>
      </c>
      <c r="C12" s="63" t="s">
        <v>137</v>
      </c>
      <c r="D12" s="64">
        <v>42562</v>
      </c>
      <c r="E12" s="63" t="s">
        <v>138</v>
      </c>
      <c r="F12" s="65">
        <v>2118</v>
      </c>
      <c r="G12" s="66">
        <v>9.4535183033782107E-3</v>
      </c>
      <c r="H12" s="65">
        <v>415</v>
      </c>
      <c r="I12" s="67">
        <v>1.34019279939583</v>
      </c>
      <c r="J12" s="67">
        <v>12.669537159144101</v>
      </c>
      <c r="K12" s="65">
        <v>92</v>
      </c>
      <c r="L12" s="65">
        <v>54</v>
      </c>
      <c r="M12" s="66">
        <v>7.4698795180722893E-2</v>
      </c>
      <c r="N12" s="67">
        <v>2882.1852370196302</v>
      </c>
      <c r="O12" s="67">
        <v>92.973717323213805</v>
      </c>
      <c r="P12" s="67">
        <v>556.18001174926803</v>
      </c>
      <c r="Q12" s="77">
        <v>0.192971639922906</v>
      </c>
    </row>
    <row r="13" spans="1:17" x14ac:dyDescent="0.35">
      <c r="A13" s="76" t="s">
        <v>136</v>
      </c>
      <c r="B13" s="63">
        <v>28644</v>
      </c>
      <c r="C13" s="63" t="s">
        <v>137</v>
      </c>
      <c r="D13" s="64">
        <v>42563</v>
      </c>
      <c r="E13" s="63" t="s">
        <v>138</v>
      </c>
      <c r="F13" s="65">
        <v>12114</v>
      </c>
      <c r="G13" s="66">
        <v>8.4337051418395901E-3</v>
      </c>
      <c r="H13" s="65">
        <v>552</v>
      </c>
      <c r="I13" s="67">
        <v>1.3469794747416901</v>
      </c>
      <c r="J13" s="67">
        <v>11.3600277220814</v>
      </c>
      <c r="K13" s="65">
        <v>15</v>
      </c>
      <c r="L13" s="65">
        <v>43</v>
      </c>
      <c r="M13" s="66">
        <v>6.7448680351906196E-2</v>
      </c>
      <c r="N13" s="67">
        <v>2284.0780976505098</v>
      </c>
      <c r="O13" s="67">
        <v>99.307743376109102</v>
      </c>
      <c r="P13" s="67">
        <v>459.320000886917</v>
      </c>
      <c r="Q13" s="77">
        <v>0.20109645171913801</v>
      </c>
    </row>
    <row r="14" spans="1:17" x14ac:dyDescent="0.35">
      <c r="A14" s="76" t="s">
        <v>136</v>
      </c>
      <c r="B14" s="63">
        <v>28644</v>
      </c>
      <c r="C14" s="63" t="s">
        <v>137</v>
      </c>
      <c r="D14" s="64">
        <v>42564</v>
      </c>
      <c r="E14" s="63" t="s">
        <v>138</v>
      </c>
      <c r="F14" s="65">
        <v>68729</v>
      </c>
      <c r="G14" s="66">
        <v>8.5739330521010203E-3</v>
      </c>
      <c r="H14" s="65">
        <v>247</v>
      </c>
      <c r="I14" s="67">
        <v>1.3109264891749399</v>
      </c>
      <c r="J14" s="67">
        <v>11.2397959544118</v>
      </c>
      <c r="K14" s="65">
        <v>49</v>
      </c>
      <c r="L14" s="65">
        <v>28</v>
      </c>
      <c r="M14" s="66">
        <v>4.7923322683706103E-2</v>
      </c>
      <c r="N14" s="67">
        <v>1883.3952818099001</v>
      </c>
      <c r="O14" s="67">
        <v>125.55968545399401</v>
      </c>
      <c r="P14" s="67">
        <v>410.31999111175497</v>
      </c>
      <c r="Q14" s="77">
        <v>0.21786185570001301</v>
      </c>
    </row>
    <row r="15" spans="1:17" x14ac:dyDescent="0.35">
      <c r="A15" s="76" t="s">
        <v>136</v>
      </c>
      <c r="B15" s="63">
        <v>28644</v>
      </c>
      <c r="C15" s="63" t="s">
        <v>137</v>
      </c>
      <c r="D15" s="64">
        <v>42565</v>
      </c>
      <c r="E15" s="63" t="s">
        <v>138</v>
      </c>
      <c r="F15" s="65">
        <v>16966</v>
      </c>
      <c r="G15" s="66">
        <v>1.01824479679895E-2</v>
      </c>
      <c r="H15" s="65">
        <v>525</v>
      </c>
      <c r="I15" s="67">
        <v>1.2808210730902301</v>
      </c>
      <c r="J15" s="67">
        <v>13.041893933045699</v>
      </c>
      <c r="K15" s="65">
        <v>72</v>
      </c>
      <c r="L15" s="65">
        <v>40</v>
      </c>
      <c r="M15" s="66">
        <v>9.0909090909090898E-2</v>
      </c>
      <c r="N15" s="67">
        <v>2243.74507165777</v>
      </c>
      <c r="O15" s="67">
        <v>72.378873279282999</v>
      </c>
      <c r="P15" s="67">
        <v>436.75998592376698</v>
      </c>
      <c r="Q15" s="77">
        <v>0.194656688694616</v>
      </c>
    </row>
    <row r="16" spans="1:17" x14ac:dyDescent="0.35">
      <c r="A16" s="76" t="s">
        <v>136</v>
      </c>
      <c r="B16" s="63">
        <v>28644</v>
      </c>
      <c r="C16" s="63" t="s">
        <v>137</v>
      </c>
      <c r="D16" s="64">
        <v>42566</v>
      </c>
      <c r="E16" s="63" t="s">
        <v>138</v>
      </c>
      <c r="F16" s="65">
        <v>61119</v>
      </c>
      <c r="G16" s="66">
        <v>1.1443551029667501E-2</v>
      </c>
      <c r="H16" s="65">
        <v>288</v>
      </c>
      <c r="I16" s="67">
        <v>1.28030828232282</v>
      </c>
      <c r="J16" s="67">
        <v>14.6512731624672</v>
      </c>
      <c r="K16" s="65">
        <v>41</v>
      </c>
      <c r="L16" s="65">
        <v>61</v>
      </c>
      <c r="M16" s="66">
        <v>6.8281938325991207E-2</v>
      </c>
      <c r="N16" s="67">
        <v>2420.4770514459901</v>
      </c>
      <c r="O16" s="67">
        <v>78.079904885354694</v>
      </c>
      <c r="P16" s="67">
        <v>581.259960174561</v>
      </c>
      <c r="Q16" s="77">
        <v>0.24014272716500901</v>
      </c>
    </row>
    <row r="17" spans="1:17" x14ac:dyDescent="0.35">
      <c r="A17" s="76" t="s">
        <v>136</v>
      </c>
      <c r="B17" s="63">
        <v>28644</v>
      </c>
      <c r="C17" s="63" t="s">
        <v>137</v>
      </c>
      <c r="D17" s="64">
        <v>42567</v>
      </c>
      <c r="E17" s="63" t="s">
        <v>138</v>
      </c>
      <c r="F17" s="65">
        <v>68619</v>
      </c>
      <c r="G17" s="66">
        <v>9.3939624749282795E-3</v>
      </c>
      <c r="H17" s="65">
        <v>286</v>
      </c>
      <c r="I17" s="67">
        <v>1.18659461060086</v>
      </c>
      <c r="J17" s="67">
        <v>11.146825244936601</v>
      </c>
      <c r="K17" s="65">
        <v>25</v>
      </c>
      <c r="L17" s="65">
        <v>45</v>
      </c>
      <c r="M17" s="66">
        <v>8.1081081081081099E-2</v>
      </c>
      <c r="N17" s="67">
        <v>2306.7853493846701</v>
      </c>
      <c r="O17" s="67">
        <v>76.892844979488999</v>
      </c>
      <c r="P17" s="67">
        <v>439.04000592231802</v>
      </c>
      <c r="Q17" s="77">
        <v>0.190325470048364</v>
      </c>
    </row>
    <row r="18" spans="1:17" x14ac:dyDescent="0.35">
      <c r="A18" s="76" t="s">
        <v>136</v>
      </c>
      <c r="B18" s="63">
        <v>28644</v>
      </c>
      <c r="C18" s="63" t="s">
        <v>137</v>
      </c>
      <c r="D18" s="64">
        <v>42568</v>
      </c>
      <c r="E18" s="63" t="s">
        <v>138</v>
      </c>
      <c r="F18" s="65">
        <v>50579</v>
      </c>
      <c r="G18" s="66">
        <v>9.8777789484775103E-3</v>
      </c>
      <c r="H18" s="65">
        <v>208</v>
      </c>
      <c r="I18" s="67">
        <v>1.1014399938583399</v>
      </c>
      <c r="J18" s="67">
        <v>10.879780784345099</v>
      </c>
      <c r="K18" s="65">
        <v>40</v>
      </c>
      <c r="L18" s="65">
        <v>39</v>
      </c>
      <c r="M18" s="66">
        <v>6.4000000000000001E-2</v>
      </c>
      <c r="N18" s="67">
        <v>1923.3727222264199</v>
      </c>
      <c r="O18" s="67">
        <v>80.140530092767705</v>
      </c>
      <c r="P18" s="67">
        <v>413.03999769687698</v>
      </c>
      <c r="Q18" s="77">
        <v>0.21474776725478201</v>
      </c>
    </row>
    <row r="19" spans="1:17" x14ac:dyDescent="0.35">
      <c r="A19" s="76" t="s">
        <v>136</v>
      </c>
      <c r="B19" s="63">
        <v>28644</v>
      </c>
      <c r="C19" s="63" t="s">
        <v>137</v>
      </c>
      <c r="D19" s="64">
        <v>42569</v>
      </c>
      <c r="E19" s="63" t="s">
        <v>138</v>
      </c>
      <c r="F19" s="65">
        <v>55356</v>
      </c>
      <c r="G19" s="66">
        <v>1.17876067913918E-2</v>
      </c>
      <c r="H19" s="65">
        <v>207</v>
      </c>
      <c r="I19" s="67">
        <v>1.10000004434804</v>
      </c>
      <c r="J19" s="67">
        <v>12.9663679932883</v>
      </c>
      <c r="K19" s="65">
        <v>41</v>
      </c>
      <c r="L19" s="65">
        <v>42</v>
      </c>
      <c r="M19" s="66">
        <v>6.4220183486238494E-2</v>
      </c>
      <c r="N19" s="67">
        <v>2405.4369422371201</v>
      </c>
      <c r="O19" s="67">
        <v>85.908462222754196</v>
      </c>
      <c r="P19" s="67">
        <v>479.60001933574699</v>
      </c>
      <c r="Q19" s="77">
        <v>0.199381663644737</v>
      </c>
    </row>
    <row r="20" spans="1:17" x14ac:dyDescent="0.35">
      <c r="A20" s="76" t="s">
        <v>136</v>
      </c>
      <c r="B20" s="63">
        <v>28644</v>
      </c>
      <c r="C20" s="63" t="s">
        <v>137</v>
      </c>
      <c r="D20" s="64">
        <v>42570</v>
      </c>
      <c r="E20" s="63" t="s">
        <v>138</v>
      </c>
      <c r="F20" s="65">
        <v>56100</v>
      </c>
      <c r="G20" s="66">
        <v>9.0994665829934093E-3</v>
      </c>
      <c r="H20" s="65">
        <v>150</v>
      </c>
      <c r="I20" s="67">
        <v>1.1000000200737501</v>
      </c>
      <c r="J20" s="67">
        <v>10.0094134239532</v>
      </c>
      <c r="K20" s="65">
        <v>66</v>
      </c>
      <c r="L20" s="65">
        <v>33</v>
      </c>
      <c r="M20" s="66">
        <v>6.0344827586206899E-2</v>
      </c>
      <c r="N20" s="67">
        <v>1557.2650839190401</v>
      </c>
      <c r="O20" s="67">
        <v>74.155480186621006</v>
      </c>
      <c r="P20" s="67">
        <v>382.80000698566403</v>
      </c>
      <c r="Q20" s="77">
        <v>0.24581557176014199</v>
      </c>
    </row>
    <row r="21" spans="1:17" x14ac:dyDescent="0.35">
      <c r="A21" s="76" t="s">
        <v>136</v>
      </c>
      <c r="B21" s="63">
        <v>28644</v>
      </c>
      <c r="C21" s="63" t="s">
        <v>137</v>
      </c>
      <c r="D21" s="64">
        <v>42571</v>
      </c>
      <c r="E21" s="63" t="s">
        <v>138</v>
      </c>
      <c r="F21" s="65">
        <v>1536</v>
      </c>
      <c r="G21" s="66">
        <v>1.02377960817162E-2</v>
      </c>
      <c r="H21" s="65">
        <v>478</v>
      </c>
      <c r="I21" s="67">
        <v>1.10000004443255</v>
      </c>
      <c r="J21" s="67">
        <v>11.261576144779299</v>
      </c>
      <c r="K21" s="65">
        <v>98</v>
      </c>
      <c r="L21" s="65">
        <v>45</v>
      </c>
      <c r="M21" s="66">
        <v>6.8181818181818205E-2</v>
      </c>
      <c r="N21" s="67">
        <v>2242.4151572023802</v>
      </c>
      <c r="O21" s="67">
        <v>74.747171906745905</v>
      </c>
      <c r="P21" s="67">
        <v>484.00001955032297</v>
      </c>
      <c r="Q21" s="77">
        <v>0.21583872103065799</v>
      </c>
    </row>
    <row r="22" spans="1:17" x14ac:dyDescent="0.35">
      <c r="A22" s="76" t="s">
        <v>136</v>
      </c>
      <c r="B22" s="63">
        <v>28644</v>
      </c>
      <c r="C22" s="63" t="s">
        <v>137</v>
      </c>
      <c r="D22" s="64">
        <v>42572</v>
      </c>
      <c r="E22" s="63" t="s">
        <v>138</v>
      </c>
      <c r="F22" s="65">
        <v>37408</v>
      </c>
      <c r="G22" s="66">
        <v>1.0842012799598399E-2</v>
      </c>
      <c r="H22" s="65">
        <v>325</v>
      </c>
      <c r="I22" s="67">
        <v>1.10000001639128</v>
      </c>
      <c r="J22" s="67">
        <v>11.926214257272701</v>
      </c>
      <c r="K22" s="65">
        <v>42</v>
      </c>
      <c r="L22" s="65">
        <v>43</v>
      </c>
      <c r="M22" s="66">
        <v>5.0925925925925902E-2</v>
      </c>
      <c r="N22" s="67">
        <v>1445.4576672179701</v>
      </c>
      <c r="O22" s="67">
        <v>65.702621237180395</v>
      </c>
      <c r="P22" s="67">
        <v>475.20000708103203</v>
      </c>
      <c r="Q22" s="77">
        <v>0.32875401186645298</v>
      </c>
    </row>
    <row r="23" spans="1:17" x14ac:dyDescent="0.35">
      <c r="A23" s="76" t="s">
        <v>136</v>
      </c>
      <c r="B23" s="63">
        <v>28644</v>
      </c>
      <c r="C23" s="63" t="s">
        <v>137</v>
      </c>
      <c r="D23" s="64">
        <v>42573</v>
      </c>
      <c r="E23" s="63" t="s">
        <v>138</v>
      </c>
      <c r="F23" s="65">
        <v>24357</v>
      </c>
      <c r="G23" s="66">
        <v>1.17374159127813E-2</v>
      </c>
      <c r="H23" s="65">
        <v>327</v>
      </c>
      <c r="I23" s="67">
        <v>1.1000000290248699</v>
      </c>
      <c r="J23" s="67">
        <v>12.911157844736399</v>
      </c>
      <c r="K23" s="65">
        <v>50</v>
      </c>
      <c r="L23" s="65">
        <v>54</v>
      </c>
      <c r="M23" s="66">
        <v>5.1383399209486202E-2</v>
      </c>
      <c r="N23" s="67">
        <v>2648.8460910403701</v>
      </c>
      <c r="O23" s="67">
        <v>101.878695809245</v>
      </c>
      <c r="P23" s="67">
        <v>556.60001468658402</v>
      </c>
      <c r="Q23" s="77">
        <v>0.21012923950895601</v>
      </c>
    </row>
    <row r="24" spans="1:17" x14ac:dyDescent="0.35">
      <c r="A24" s="76" t="s">
        <v>136</v>
      </c>
      <c r="B24" s="63">
        <v>28644</v>
      </c>
      <c r="C24" s="63" t="s">
        <v>137</v>
      </c>
      <c r="D24" s="64">
        <v>42574</v>
      </c>
      <c r="E24" s="63" t="s">
        <v>138</v>
      </c>
      <c r="F24" s="65">
        <v>36907</v>
      </c>
      <c r="G24" s="66">
        <v>9.7134317862166003E-3</v>
      </c>
      <c r="H24" s="65">
        <v>224</v>
      </c>
      <c r="I24" s="67">
        <v>1.1000000562063701</v>
      </c>
      <c r="J24" s="67">
        <v>10.684775510794999</v>
      </c>
      <c r="K24" s="65">
        <v>38</v>
      </c>
      <c r="L24" s="65">
        <v>46</v>
      </c>
      <c r="M24" s="66">
        <v>5.2036199095022599E-2</v>
      </c>
      <c r="N24" s="67">
        <v>1657.8355957843701</v>
      </c>
      <c r="O24" s="67">
        <v>72.079808512363996</v>
      </c>
      <c r="P24" s="67">
        <v>486.200024843216</v>
      </c>
      <c r="Q24" s="77">
        <v>0.29327396882993101</v>
      </c>
    </row>
    <row r="25" spans="1:17" x14ac:dyDescent="0.35">
      <c r="A25" s="76" t="s">
        <v>136</v>
      </c>
      <c r="B25" s="63">
        <v>28644</v>
      </c>
      <c r="C25" s="63" t="s">
        <v>137</v>
      </c>
      <c r="D25" s="64">
        <v>42575</v>
      </c>
      <c r="E25" s="63" t="s">
        <v>138</v>
      </c>
      <c r="F25" s="65">
        <v>65643</v>
      </c>
      <c r="G25" s="66">
        <v>8.5546547386077705E-3</v>
      </c>
      <c r="H25" s="65">
        <v>407</v>
      </c>
      <c r="I25" s="67">
        <v>0.96013071646098203</v>
      </c>
      <c r="J25" s="67">
        <v>8.2135867832558205</v>
      </c>
      <c r="K25" s="65">
        <v>32</v>
      </c>
      <c r="L25" s="65">
        <v>31</v>
      </c>
      <c r="M25" s="66">
        <v>4.2483660130718998E-2</v>
      </c>
      <c r="N25" s="67">
        <v>1422.6812982076999</v>
      </c>
      <c r="O25" s="67">
        <v>109.437022939054</v>
      </c>
      <c r="P25" s="67">
        <v>293.799999237061</v>
      </c>
      <c r="Q25" s="77">
        <v>0.20651146508159701</v>
      </c>
    </row>
    <row r="26" spans="1:17" x14ac:dyDescent="0.35">
      <c r="A26" s="76" t="s">
        <v>136</v>
      </c>
      <c r="B26" s="63">
        <v>28644</v>
      </c>
      <c r="C26" s="63" t="s">
        <v>137</v>
      </c>
      <c r="D26" s="64">
        <v>42576</v>
      </c>
      <c r="E26" s="63" t="s">
        <v>138</v>
      </c>
      <c r="F26" s="65">
        <v>53114</v>
      </c>
      <c r="G26" s="66">
        <v>1.19472357696966E-2</v>
      </c>
      <c r="H26" s="65">
        <v>224</v>
      </c>
      <c r="I26" s="67">
        <v>0.90164381510590896</v>
      </c>
      <c r="J26" s="67">
        <v>10.772151239358999</v>
      </c>
      <c r="K26" s="65">
        <v>62</v>
      </c>
      <c r="L26" s="65">
        <v>38</v>
      </c>
      <c r="M26" s="66">
        <v>4.65753424657534E-2</v>
      </c>
      <c r="N26" s="67">
        <v>1765.5371910699901</v>
      </c>
      <c r="O26" s="67">
        <v>103.85512888647</v>
      </c>
      <c r="P26" s="67">
        <v>329.09999251365701</v>
      </c>
      <c r="Q26" s="77">
        <v>0.18640218635904601</v>
      </c>
    </row>
    <row r="27" spans="1:17" x14ac:dyDescent="0.35">
      <c r="A27" s="76" t="s">
        <v>136</v>
      </c>
      <c r="B27" s="63">
        <v>28644</v>
      </c>
      <c r="C27" s="63" t="s">
        <v>137</v>
      </c>
      <c r="D27" s="64">
        <v>42577</v>
      </c>
      <c r="E27" s="63" t="s">
        <v>138</v>
      </c>
      <c r="F27" s="65">
        <v>1988</v>
      </c>
      <c r="G27" s="66">
        <v>1.00692766231674E-2</v>
      </c>
      <c r="H27" s="65">
        <v>312</v>
      </c>
      <c r="I27" s="67">
        <v>0.89999998092651401</v>
      </c>
      <c r="J27" s="67">
        <v>9.0623487687944397</v>
      </c>
      <c r="K27" s="65">
        <v>93</v>
      </c>
      <c r="L27" s="65">
        <v>38</v>
      </c>
      <c r="M27" s="66">
        <v>6.9333333333333302E-2</v>
      </c>
      <c r="N27" s="67">
        <v>2427.8676193518199</v>
      </c>
      <c r="O27" s="67">
        <v>93.379523821223998</v>
      </c>
      <c r="P27" s="67">
        <v>337.49999284744302</v>
      </c>
      <c r="Q27" s="77">
        <v>0.13901087116831601</v>
      </c>
    </row>
    <row r="28" spans="1:17" x14ac:dyDescent="0.35">
      <c r="A28" s="76" t="s">
        <v>136</v>
      </c>
      <c r="B28" s="63">
        <v>28644</v>
      </c>
      <c r="C28" s="63" t="s">
        <v>137</v>
      </c>
      <c r="D28" s="64">
        <v>42578</v>
      </c>
      <c r="E28" s="63" t="s">
        <v>138</v>
      </c>
      <c r="F28" s="65">
        <v>54873</v>
      </c>
      <c r="G28" s="66">
        <v>7.19332048811818E-3</v>
      </c>
      <c r="H28" s="65">
        <v>580</v>
      </c>
      <c r="I28" s="67">
        <v>0.89999996594020304</v>
      </c>
      <c r="J28" s="67">
        <v>6.4739881943033204</v>
      </c>
      <c r="K28" s="65">
        <v>71</v>
      </c>
      <c r="L28" s="65">
        <v>21</v>
      </c>
      <c r="M28" s="66">
        <v>0.05</v>
      </c>
      <c r="N28" s="67">
        <v>919.958519043264</v>
      </c>
      <c r="O28" s="67">
        <v>65.711322788804594</v>
      </c>
      <c r="P28" s="67">
        <v>251.99999046325701</v>
      </c>
      <c r="Q28" s="77">
        <v>0.27392538385897103</v>
      </c>
    </row>
    <row r="29" spans="1:17" x14ac:dyDescent="0.35">
      <c r="A29" s="76" t="s">
        <v>136</v>
      </c>
      <c r="B29" s="63">
        <v>28644</v>
      </c>
      <c r="C29" s="63" t="s">
        <v>137</v>
      </c>
      <c r="D29" s="64">
        <v>42579</v>
      </c>
      <c r="E29" s="63" t="s">
        <v>138</v>
      </c>
      <c r="F29" s="65">
        <v>60310</v>
      </c>
      <c r="G29" s="66">
        <v>9.0135800626772108E-3</v>
      </c>
      <c r="H29" s="65">
        <v>307</v>
      </c>
      <c r="I29" s="67">
        <v>0.89999995444784098</v>
      </c>
      <c r="J29" s="67">
        <v>8.1122216458214602</v>
      </c>
      <c r="K29" s="65">
        <v>74</v>
      </c>
      <c r="L29" s="65">
        <v>22</v>
      </c>
      <c r="M29" s="66">
        <v>3.3112582781456998E-2</v>
      </c>
      <c r="N29" s="67">
        <v>773.35985150577505</v>
      </c>
      <c r="O29" s="67">
        <v>77.3359851505775</v>
      </c>
      <c r="P29" s="67">
        <v>271.79998624324799</v>
      </c>
      <c r="Q29" s="77">
        <v>0.351453447853594</v>
      </c>
    </row>
    <row r="30" spans="1:17" x14ac:dyDescent="0.35">
      <c r="A30" s="76" t="s">
        <v>136</v>
      </c>
      <c r="B30" s="63">
        <v>28644</v>
      </c>
      <c r="C30" s="63" t="s">
        <v>137</v>
      </c>
      <c r="D30" s="64">
        <v>42580</v>
      </c>
      <c r="E30" s="63" t="s">
        <v>138</v>
      </c>
      <c r="F30" s="65">
        <v>15076</v>
      </c>
      <c r="G30" s="66">
        <v>9.3105336822247899E-3</v>
      </c>
      <c r="H30" s="65">
        <v>596</v>
      </c>
      <c r="I30" s="67">
        <v>0.89999996914583102</v>
      </c>
      <c r="J30" s="67">
        <v>8.3794800267335301</v>
      </c>
      <c r="K30" s="65">
        <v>59</v>
      </c>
      <c r="L30" s="65">
        <v>45</v>
      </c>
      <c r="M30" s="66">
        <v>7.1895424836601302E-2</v>
      </c>
      <c r="N30" s="67">
        <v>1541.14439551549</v>
      </c>
      <c r="O30" s="67">
        <v>70.052017977977002</v>
      </c>
      <c r="P30" s="67">
        <v>275.39999055862398</v>
      </c>
      <c r="Q30" s="77">
        <v>0.178698369445458</v>
      </c>
    </row>
    <row r="31" spans="1:17" x14ac:dyDescent="0.35">
      <c r="A31" s="76" t="s">
        <v>136</v>
      </c>
      <c r="B31" s="63">
        <v>28644</v>
      </c>
      <c r="C31" s="63" t="s">
        <v>137</v>
      </c>
      <c r="D31" s="64">
        <v>42581</v>
      </c>
      <c r="E31" s="63" t="s">
        <v>138</v>
      </c>
      <c r="F31" s="65">
        <v>23191</v>
      </c>
      <c r="G31" s="66">
        <v>8.9690551050802605E-3</v>
      </c>
      <c r="H31" s="65">
        <v>168</v>
      </c>
      <c r="I31" s="67">
        <v>0.87896676169110399</v>
      </c>
      <c r="J31" s="67">
        <v>7.88350132114146</v>
      </c>
      <c r="K31" s="65">
        <v>32</v>
      </c>
      <c r="L31" s="65">
        <v>28</v>
      </c>
      <c r="M31" s="66">
        <v>6.2730627306273101E-2</v>
      </c>
      <c r="N31" s="67">
        <v>1938.93154321354</v>
      </c>
      <c r="O31" s="67">
        <v>114.05479665962</v>
      </c>
      <c r="P31" s="67">
        <v>238.19999241828901</v>
      </c>
      <c r="Q31" s="77">
        <v>0.12285116163694</v>
      </c>
    </row>
    <row r="32" spans="1:17" x14ac:dyDescent="0.35">
      <c r="A32" s="76" t="s">
        <v>136</v>
      </c>
      <c r="B32" s="63">
        <v>28644</v>
      </c>
      <c r="C32" s="63" t="s">
        <v>137</v>
      </c>
      <c r="D32" s="64">
        <v>42582</v>
      </c>
      <c r="E32" s="63" t="s">
        <v>138</v>
      </c>
      <c r="F32" s="65">
        <v>41163</v>
      </c>
      <c r="G32" s="66">
        <v>7.7831870755682301E-3</v>
      </c>
      <c r="H32" s="65">
        <v>387</v>
      </c>
      <c r="I32" s="67">
        <v>0.870717130809191</v>
      </c>
      <c r="J32" s="67">
        <v>6.7769543189899499</v>
      </c>
      <c r="K32" s="65">
        <v>74</v>
      </c>
      <c r="L32" s="65">
        <v>22</v>
      </c>
      <c r="M32" s="66">
        <v>4.7808764940239001E-2</v>
      </c>
      <c r="N32" s="67">
        <v>862.34767431416901</v>
      </c>
      <c r="O32" s="67">
        <v>71.862306192847399</v>
      </c>
      <c r="P32" s="67">
        <v>218.54999983310699</v>
      </c>
      <c r="Q32" s="77">
        <v>0.253436063368433</v>
      </c>
    </row>
    <row r="33" spans="1:17" x14ac:dyDescent="0.35">
      <c r="A33" s="76" t="s">
        <v>136</v>
      </c>
      <c r="B33" s="63">
        <v>28644</v>
      </c>
      <c r="C33" s="63" t="s">
        <v>137</v>
      </c>
      <c r="D33" s="64">
        <v>42583</v>
      </c>
      <c r="E33" s="63" t="s">
        <v>138</v>
      </c>
      <c r="F33" s="65">
        <v>63298</v>
      </c>
      <c r="G33" s="66">
        <v>8.9197574390071904E-3</v>
      </c>
      <c r="H33" s="65">
        <v>525</v>
      </c>
      <c r="I33" s="67">
        <v>0.86999997508384497</v>
      </c>
      <c r="J33" s="67">
        <v>7.7601887496902</v>
      </c>
      <c r="K33" s="65">
        <v>55</v>
      </c>
      <c r="L33" s="65">
        <v>28</v>
      </c>
      <c r="M33" s="66">
        <v>6.3241106719367599E-2</v>
      </c>
      <c r="N33" s="67">
        <v>1438.35139780296</v>
      </c>
      <c r="O33" s="67">
        <v>89.896962362685102</v>
      </c>
      <c r="P33" s="67">
        <v>220.109993696213</v>
      </c>
      <c r="Q33" s="77">
        <v>0.153029359885508</v>
      </c>
    </row>
    <row r="34" spans="1:17" x14ac:dyDescent="0.35">
      <c r="A34" s="76" t="s">
        <v>136</v>
      </c>
      <c r="B34" s="63">
        <v>28644</v>
      </c>
      <c r="C34" s="63" t="s">
        <v>137</v>
      </c>
      <c r="D34" s="64">
        <v>42584</v>
      </c>
      <c r="E34" s="63" t="s">
        <v>138</v>
      </c>
      <c r="F34" s="65">
        <v>50291</v>
      </c>
      <c r="G34" s="66">
        <v>8.2205029013539595E-3</v>
      </c>
      <c r="H34" s="65">
        <v>204</v>
      </c>
      <c r="I34" s="67">
        <v>0.86999998466641304</v>
      </c>
      <c r="J34" s="67">
        <v>7.1518373981281496</v>
      </c>
      <c r="K34" s="65">
        <v>37</v>
      </c>
      <c r="L34" s="65">
        <v>21</v>
      </c>
      <c r="M34" s="66">
        <v>5.4901960784313697E-2</v>
      </c>
      <c r="N34" s="67">
        <v>1561.9503783653399</v>
      </c>
      <c r="O34" s="67">
        <v>111.567884168953</v>
      </c>
      <c r="P34" s="67">
        <v>221.84999608993499</v>
      </c>
      <c r="Q34" s="77">
        <v>0.14203395905708099</v>
      </c>
    </row>
    <row r="35" spans="1:17" x14ac:dyDescent="0.35">
      <c r="A35" s="76" t="s">
        <v>136</v>
      </c>
      <c r="B35" s="63">
        <v>28644</v>
      </c>
      <c r="C35" s="63" t="s">
        <v>137</v>
      </c>
      <c r="D35" s="64">
        <v>42585</v>
      </c>
      <c r="E35" s="63" t="s">
        <v>138</v>
      </c>
      <c r="F35" s="65">
        <v>41581</v>
      </c>
      <c r="G35" s="66">
        <v>8.1650482174658104E-3</v>
      </c>
      <c r="H35" s="65">
        <v>384</v>
      </c>
      <c r="I35" s="67">
        <v>0.86999997827741804</v>
      </c>
      <c r="J35" s="67">
        <v>7.10359177182933</v>
      </c>
      <c r="K35" s="65">
        <v>84</v>
      </c>
      <c r="L35" s="65">
        <v>21</v>
      </c>
      <c r="M35" s="66">
        <v>3.7037037037037E-2</v>
      </c>
      <c r="N35" s="67">
        <v>1263.93936033556</v>
      </c>
      <c r="O35" s="67">
        <v>140.43770670395199</v>
      </c>
      <c r="P35" s="67">
        <v>211.409994721413</v>
      </c>
      <c r="Q35" s="77">
        <v>0.16726276699325601</v>
      </c>
    </row>
    <row r="36" spans="1:17" x14ac:dyDescent="0.35">
      <c r="A36" s="76" t="s">
        <v>136</v>
      </c>
      <c r="B36" s="63">
        <v>28644</v>
      </c>
      <c r="C36" s="63" t="s">
        <v>137</v>
      </c>
      <c r="D36" s="64">
        <v>42586</v>
      </c>
      <c r="E36" s="63" t="s">
        <v>138</v>
      </c>
      <c r="F36" s="65">
        <v>6914</v>
      </c>
      <c r="G36" s="66">
        <v>8.8798311376373801E-3</v>
      </c>
      <c r="H36" s="65">
        <v>241</v>
      </c>
      <c r="I36" s="67">
        <v>0.86999997545461205</v>
      </c>
      <c r="J36" s="67">
        <v>7.7254528717856203</v>
      </c>
      <c r="K36" s="65">
        <v>23</v>
      </c>
      <c r="L36" s="65">
        <v>35</v>
      </c>
      <c r="M36" s="66">
        <v>8.1967213114754106E-2</v>
      </c>
      <c r="N36" s="67">
        <v>2010.1310886541601</v>
      </c>
      <c r="O36" s="67">
        <v>100.506554432708</v>
      </c>
      <c r="P36" s="67">
        <v>212.27999401092501</v>
      </c>
      <c r="Q36" s="77">
        <v>0.105605049943809</v>
      </c>
    </row>
    <row r="37" spans="1:17" x14ac:dyDescent="0.35">
      <c r="A37" s="76" t="s">
        <v>136</v>
      </c>
      <c r="B37" s="63">
        <v>28644</v>
      </c>
      <c r="C37" s="63" t="s">
        <v>137</v>
      </c>
      <c r="D37" s="64">
        <v>42587</v>
      </c>
      <c r="E37" s="63" t="s">
        <v>138</v>
      </c>
      <c r="F37" s="65">
        <v>36116</v>
      </c>
      <c r="G37" s="66">
        <v>7.8543594739405708E-3</v>
      </c>
      <c r="H37" s="65">
        <v>186</v>
      </c>
      <c r="I37" s="67">
        <v>0.86999999968580499</v>
      </c>
      <c r="J37" s="67">
        <v>6.8332927398605001</v>
      </c>
      <c r="K37" s="65">
        <v>63</v>
      </c>
      <c r="L37" s="65">
        <v>26</v>
      </c>
      <c r="M37" s="66">
        <v>6.2015503875968998E-2</v>
      </c>
      <c r="N37" s="67">
        <v>1935.4630108639401</v>
      </c>
      <c r="O37" s="67">
        <v>120.966438178996</v>
      </c>
      <c r="P37" s="67">
        <v>224.459999918938</v>
      </c>
      <c r="Q37" s="77">
        <v>0.115972249874589</v>
      </c>
    </row>
    <row r="38" spans="1:17" x14ac:dyDescent="0.35">
      <c r="A38" s="76" t="s">
        <v>136</v>
      </c>
      <c r="B38" s="63">
        <v>28644</v>
      </c>
      <c r="C38" s="63" t="s">
        <v>137</v>
      </c>
      <c r="D38" s="64">
        <v>42588</v>
      </c>
      <c r="E38" s="63" t="s">
        <v>138</v>
      </c>
      <c r="F38" s="65">
        <v>3663</v>
      </c>
      <c r="G38" s="66">
        <v>8.4971302145124602E-3</v>
      </c>
      <c r="H38" s="65">
        <v>434</v>
      </c>
      <c r="I38" s="67">
        <v>0.86999997642805005</v>
      </c>
      <c r="J38" s="67">
        <v>7.3925030863319101</v>
      </c>
      <c r="K38" s="65">
        <v>69</v>
      </c>
      <c r="L38" s="65">
        <v>28</v>
      </c>
      <c r="M38" s="66">
        <v>5.6603773584905703E-2</v>
      </c>
      <c r="N38" s="67">
        <v>1533.7557989187301</v>
      </c>
      <c r="O38" s="67">
        <v>102.250386594582</v>
      </c>
      <c r="P38" s="67">
        <v>230.549993753433</v>
      </c>
      <c r="Q38" s="77">
        <v>0.15031727600702</v>
      </c>
    </row>
    <row r="39" spans="1:17" x14ac:dyDescent="0.35">
      <c r="A39" s="76" t="s">
        <v>136</v>
      </c>
      <c r="B39" s="63">
        <v>28644</v>
      </c>
      <c r="C39" s="63" t="s">
        <v>137</v>
      </c>
      <c r="D39" s="64">
        <v>42589</v>
      </c>
      <c r="E39" s="63" t="s">
        <v>138</v>
      </c>
      <c r="F39" s="65">
        <v>38710</v>
      </c>
      <c r="G39" s="66">
        <v>1.0469174098487801E-2</v>
      </c>
      <c r="H39" s="65">
        <v>318</v>
      </c>
      <c r="I39" s="67">
        <v>0.86999998975683102</v>
      </c>
      <c r="J39" s="67">
        <v>9.1081813584468598</v>
      </c>
      <c r="K39" s="65">
        <v>88</v>
      </c>
      <c r="L39" s="65">
        <v>32</v>
      </c>
      <c r="M39" s="66">
        <v>7.7777777777777807E-2</v>
      </c>
      <c r="N39" s="67">
        <v>2144.2059817694899</v>
      </c>
      <c r="O39" s="67">
        <v>102.105046750928</v>
      </c>
      <c r="P39" s="67">
        <v>234.899997234344</v>
      </c>
      <c r="Q39" s="77">
        <v>0.109551040912821</v>
      </c>
    </row>
    <row r="40" spans="1:17" x14ac:dyDescent="0.35">
      <c r="A40" s="76" t="s">
        <v>136</v>
      </c>
      <c r="B40" s="63">
        <v>28644</v>
      </c>
      <c r="C40" s="63" t="s">
        <v>137</v>
      </c>
      <c r="D40" s="64">
        <v>42590</v>
      </c>
      <c r="E40" s="63" t="s">
        <v>138</v>
      </c>
      <c r="F40" s="65">
        <v>5369</v>
      </c>
      <c r="G40" s="66">
        <v>9.6186527088573202E-3</v>
      </c>
      <c r="H40" s="65">
        <v>286</v>
      </c>
      <c r="I40" s="67">
        <v>0.87000000561084001</v>
      </c>
      <c r="J40" s="67">
        <v>8.3682279106745892</v>
      </c>
      <c r="K40" s="65">
        <v>55</v>
      </c>
      <c r="L40" s="65">
        <v>17</v>
      </c>
      <c r="M40" s="66">
        <v>3.5335689045936397E-2</v>
      </c>
      <c r="N40" s="67">
        <v>1048.7153378411101</v>
      </c>
      <c r="O40" s="67">
        <v>104.87153378411099</v>
      </c>
      <c r="P40" s="67">
        <v>246.21000158786799</v>
      </c>
      <c r="Q40" s="77">
        <v>0.234772957640455</v>
      </c>
    </row>
    <row r="41" spans="1:17" x14ac:dyDescent="0.35">
      <c r="A41" s="76" t="s">
        <v>136</v>
      </c>
      <c r="B41" s="63">
        <v>28644</v>
      </c>
      <c r="C41" s="63" t="s">
        <v>137</v>
      </c>
      <c r="D41" s="64">
        <v>42591</v>
      </c>
      <c r="E41" s="63" t="s">
        <v>138</v>
      </c>
      <c r="F41" s="65">
        <v>9553</v>
      </c>
      <c r="G41" s="66">
        <v>7.7966864082764801E-3</v>
      </c>
      <c r="H41" s="65">
        <v>405</v>
      </c>
      <c r="I41" s="67">
        <v>0.86999997668541396</v>
      </c>
      <c r="J41" s="67">
        <v>6.7831169934240201</v>
      </c>
      <c r="K41" s="65">
        <v>24</v>
      </c>
      <c r="L41" s="65">
        <v>30</v>
      </c>
      <c r="M41" s="66">
        <v>7.69230769230769E-2</v>
      </c>
      <c r="N41" s="67">
        <v>1312.29520029067</v>
      </c>
      <c r="O41" s="67">
        <v>82.018450018166902</v>
      </c>
      <c r="P41" s="67">
        <v>180.95999515056599</v>
      </c>
      <c r="Q41" s="77">
        <v>0.137895798986755</v>
      </c>
    </row>
    <row r="42" spans="1:17" x14ac:dyDescent="0.35">
      <c r="A42" s="76" t="s">
        <v>136</v>
      </c>
      <c r="B42" s="63">
        <v>28644</v>
      </c>
      <c r="C42" s="63" t="s">
        <v>137</v>
      </c>
      <c r="D42" s="64">
        <v>42592</v>
      </c>
      <c r="E42" s="63" t="s">
        <v>138</v>
      </c>
      <c r="F42" s="65">
        <v>6097</v>
      </c>
      <c r="G42" s="66">
        <v>9.0954446022182105E-3</v>
      </c>
      <c r="H42" s="65">
        <v>356</v>
      </c>
      <c r="I42" s="67">
        <v>0.86999999571450104</v>
      </c>
      <c r="J42" s="67">
        <v>7.9130367649513298</v>
      </c>
      <c r="K42" s="65">
        <v>74</v>
      </c>
      <c r="L42" s="65">
        <v>18</v>
      </c>
      <c r="M42" s="66">
        <v>3.7974683544303799E-2</v>
      </c>
      <c r="N42" s="67">
        <v>836.86840454038395</v>
      </c>
      <c r="O42" s="67">
        <v>92.985378282264904</v>
      </c>
      <c r="P42" s="67">
        <v>206.189998984337</v>
      </c>
      <c r="Q42" s="77">
        <v>0.246382821798104</v>
      </c>
    </row>
    <row r="43" spans="1:17" x14ac:dyDescent="0.35">
      <c r="A43" s="76" t="s">
        <v>136</v>
      </c>
      <c r="B43" s="63">
        <v>28644</v>
      </c>
      <c r="C43" s="63" t="s">
        <v>137</v>
      </c>
      <c r="D43" s="64">
        <v>42593</v>
      </c>
      <c r="E43" s="63" t="s">
        <v>138</v>
      </c>
      <c r="F43" s="65">
        <v>31017</v>
      </c>
      <c r="G43" s="66">
        <v>9.9958350687213704E-3</v>
      </c>
      <c r="H43" s="65">
        <v>575</v>
      </c>
      <c r="I43" s="67">
        <v>0.86999997558693098</v>
      </c>
      <c r="J43" s="67">
        <v>8.6963762657585804</v>
      </c>
      <c r="K43" s="65">
        <v>50</v>
      </c>
      <c r="L43" s="65">
        <v>33</v>
      </c>
      <c r="M43" s="66">
        <v>0.109375</v>
      </c>
      <c r="N43" s="67">
        <v>2305.1819700190799</v>
      </c>
      <c r="O43" s="67">
        <v>109.77057000090799</v>
      </c>
      <c r="P43" s="67">
        <v>167.03999531269099</v>
      </c>
      <c r="Q43" s="77">
        <v>7.2462823970165097E-2</v>
      </c>
    </row>
    <row r="44" spans="1:17" x14ac:dyDescent="0.35">
      <c r="A44" s="76" t="s">
        <v>136</v>
      </c>
      <c r="B44" s="63">
        <v>28644</v>
      </c>
      <c r="C44" s="63" t="s">
        <v>137</v>
      </c>
      <c r="D44" s="64">
        <v>42594</v>
      </c>
      <c r="E44" s="63" t="s">
        <v>138</v>
      </c>
      <c r="F44" s="65">
        <v>52738</v>
      </c>
      <c r="G44" s="66">
        <v>1.17619047619048E-2</v>
      </c>
      <c r="H44" s="65">
        <v>559</v>
      </c>
      <c r="I44" s="67">
        <v>0.87000003324346498</v>
      </c>
      <c r="J44" s="67">
        <v>10.2328575338636</v>
      </c>
      <c r="K44" s="65">
        <v>71</v>
      </c>
      <c r="L44" s="65">
        <v>39</v>
      </c>
      <c r="M44" s="66">
        <v>8.9068825910931196E-2</v>
      </c>
      <c r="N44" s="67">
        <v>2681.9711110574999</v>
      </c>
      <c r="O44" s="67">
        <v>121.907777775341</v>
      </c>
      <c r="P44" s="67">
        <v>214.89000821113601</v>
      </c>
      <c r="Q44" s="77">
        <v>8.0123908615258893E-2</v>
      </c>
    </row>
    <row r="45" spans="1:17" x14ac:dyDescent="0.35">
      <c r="A45" s="76" t="s">
        <v>136</v>
      </c>
      <c r="B45" s="63">
        <v>28644</v>
      </c>
      <c r="C45" s="63" t="s">
        <v>137</v>
      </c>
      <c r="D45" s="64">
        <v>42595</v>
      </c>
      <c r="E45" s="63" t="s">
        <v>138</v>
      </c>
      <c r="F45" s="65">
        <v>61705</v>
      </c>
      <c r="G45" s="66">
        <v>8.4012761432116292E-3</v>
      </c>
      <c r="H45" s="65">
        <v>160</v>
      </c>
      <c r="I45" s="67">
        <v>0.869999985151653</v>
      </c>
      <c r="J45" s="67">
        <v>7.3091101198490502</v>
      </c>
      <c r="K45" s="65">
        <v>68</v>
      </c>
      <c r="L45" s="65">
        <v>29</v>
      </c>
      <c r="M45" s="66">
        <v>6.3291139240506306E-2</v>
      </c>
      <c r="N45" s="67">
        <v>1506.98398511807</v>
      </c>
      <c r="O45" s="67">
        <v>100.465599007872</v>
      </c>
      <c r="P45" s="67">
        <v>206.189996480942</v>
      </c>
      <c r="Q45" s="77">
        <v>0.136822951349935</v>
      </c>
    </row>
    <row r="46" spans="1:17" x14ac:dyDescent="0.35">
      <c r="A46" s="76" t="s">
        <v>136</v>
      </c>
      <c r="B46" s="63">
        <v>28644</v>
      </c>
      <c r="C46" s="63" t="s">
        <v>137</v>
      </c>
      <c r="D46" s="64">
        <v>42596</v>
      </c>
      <c r="E46" s="63" t="s">
        <v>138</v>
      </c>
      <c r="F46" s="65">
        <v>34132</v>
      </c>
      <c r="G46" s="66">
        <v>1.0183222289521499E-2</v>
      </c>
      <c r="H46" s="65">
        <v>444</v>
      </c>
      <c r="I46" s="67">
        <v>0.86999999856417098</v>
      </c>
      <c r="J46" s="67">
        <v>8.8594033772623408</v>
      </c>
      <c r="K46" s="65">
        <v>10</v>
      </c>
      <c r="L46" s="65">
        <v>24</v>
      </c>
      <c r="M46" s="66">
        <v>5.2044609665427503E-2</v>
      </c>
      <c r="N46" s="67">
        <v>2711.5881206619702</v>
      </c>
      <c r="O46" s="67">
        <v>193.684865761569</v>
      </c>
      <c r="P46" s="67">
        <v>234.02999961376199</v>
      </c>
      <c r="Q46" s="77">
        <v>8.6307355394605101E-2</v>
      </c>
    </row>
    <row r="47" spans="1:17" x14ac:dyDescent="0.35">
      <c r="A47" s="76" t="s">
        <v>136</v>
      </c>
      <c r="B47" s="63">
        <v>28644</v>
      </c>
      <c r="C47" s="63" t="s">
        <v>137</v>
      </c>
      <c r="D47" s="64">
        <v>42597</v>
      </c>
      <c r="E47" s="63" t="s">
        <v>138</v>
      </c>
      <c r="F47" s="65">
        <v>24058</v>
      </c>
      <c r="G47" s="66">
        <v>1.29198966408269E-2</v>
      </c>
      <c r="H47" s="65">
        <v>539</v>
      </c>
      <c r="I47" s="67">
        <v>0.86999999152289498</v>
      </c>
      <c r="J47" s="67">
        <v>11.240309967996099</v>
      </c>
      <c r="K47" s="65">
        <v>19</v>
      </c>
      <c r="L47" s="65">
        <v>36</v>
      </c>
      <c r="M47" s="66">
        <v>5.5555555555555601E-2</v>
      </c>
      <c r="N47" s="67">
        <v>2030.9536126918399</v>
      </c>
      <c r="O47" s="67">
        <v>135.39690751278999</v>
      </c>
      <c r="P47" s="67">
        <v>234.89999771118201</v>
      </c>
      <c r="Q47" s="77">
        <v>0.115659952173818</v>
      </c>
    </row>
    <row r="48" spans="1:17" x14ac:dyDescent="0.35">
      <c r="A48" s="76" t="s">
        <v>136</v>
      </c>
      <c r="B48" s="63">
        <v>28644</v>
      </c>
      <c r="C48" s="63" t="s">
        <v>137</v>
      </c>
      <c r="D48" s="64">
        <v>42598</v>
      </c>
      <c r="E48" s="63" t="s">
        <v>138</v>
      </c>
      <c r="F48" s="65">
        <v>14474</v>
      </c>
      <c r="G48" s="66">
        <v>9.8053836402952795E-3</v>
      </c>
      <c r="H48" s="65">
        <v>420</v>
      </c>
      <c r="I48" s="67">
        <v>0.87000001474025102</v>
      </c>
      <c r="J48" s="67">
        <v>8.5306839115907103</v>
      </c>
      <c r="K48" s="65">
        <v>95</v>
      </c>
      <c r="L48" s="65">
        <v>21</v>
      </c>
      <c r="M48" s="66">
        <v>4.1825095057034203E-2</v>
      </c>
      <c r="N48" s="67">
        <v>900.71565181063204</v>
      </c>
      <c r="O48" s="67">
        <v>81.883241073693796</v>
      </c>
      <c r="P48" s="67">
        <v>228.81000387668601</v>
      </c>
      <c r="Q48" s="77">
        <v>0.25403133987594101</v>
      </c>
    </row>
    <row r="49" spans="1:17" x14ac:dyDescent="0.35">
      <c r="A49" s="76" t="s">
        <v>136</v>
      </c>
      <c r="B49" s="63">
        <v>28644</v>
      </c>
      <c r="C49" s="63" t="s">
        <v>137</v>
      </c>
      <c r="D49" s="64">
        <v>42599</v>
      </c>
      <c r="E49" s="63" t="s">
        <v>138</v>
      </c>
      <c r="F49" s="65">
        <v>15521</v>
      </c>
      <c r="G49" s="66">
        <v>9.0669163970713406E-3</v>
      </c>
      <c r="H49" s="65">
        <v>526</v>
      </c>
      <c r="I49" s="67">
        <v>0.909812211990356</v>
      </c>
      <c r="J49" s="67">
        <v>8.2491912631511095</v>
      </c>
      <c r="K49" s="65">
        <v>85</v>
      </c>
      <c r="L49" s="65">
        <v>24</v>
      </c>
      <c r="M49" s="66">
        <v>5.63380281690141E-2</v>
      </c>
      <c r="N49" s="67">
        <v>1031.51986138084</v>
      </c>
      <c r="O49" s="67">
        <v>85.959988448402896</v>
      </c>
      <c r="P49" s="67">
        <v>193.79000115394601</v>
      </c>
      <c r="Q49" s="77">
        <v>0.18786841476278601</v>
      </c>
    </row>
    <row r="50" spans="1:17" x14ac:dyDescent="0.35">
      <c r="A50" s="76" t="s">
        <v>136</v>
      </c>
      <c r="B50" s="63">
        <v>28644</v>
      </c>
      <c r="C50" s="63" t="s">
        <v>137</v>
      </c>
      <c r="D50" s="64">
        <v>42600</v>
      </c>
      <c r="E50" s="63" t="s">
        <v>138</v>
      </c>
      <c r="F50" s="65">
        <v>40494</v>
      </c>
      <c r="G50" s="66">
        <v>1.0738319095117599E-2</v>
      </c>
      <c r="H50" s="65">
        <v>307</v>
      </c>
      <c r="I50" s="67">
        <v>0.94395556131998704</v>
      </c>
      <c r="J50" s="67">
        <v>10.136496029064901</v>
      </c>
      <c r="K50" s="65">
        <v>23</v>
      </c>
      <c r="L50" s="65">
        <v>26</v>
      </c>
      <c r="M50" s="66">
        <v>6.6666666666666693E-2</v>
      </c>
      <c r="N50" s="67">
        <v>1355.3199301014299</v>
      </c>
      <c r="O50" s="67">
        <v>90.354662006762098</v>
      </c>
      <c r="P50" s="67">
        <v>212.39000129699701</v>
      </c>
      <c r="Q50" s="77">
        <v>0.156708387872007</v>
      </c>
    </row>
    <row r="51" spans="1:17" x14ac:dyDescent="0.35">
      <c r="A51" s="76" t="s">
        <v>136</v>
      </c>
      <c r="B51" s="63">
        <v>28644</v>
      </c>
      <c r="C51" s="63" t="s">
        <v>137</v>
      </c>
      <c r="D51" s="64">
        <v>42601</v>
      </c>
      <c r="E51" s="63" t="s">
        <v>138</v>
      </c>
      <c r="F51" s="65">
        <v>53733</v>
      </c>
      <c r="G51" s="66">
        <v>1.06923392052438E-2</v>
      </c>
      <c r="H51" s="65">
        <v>537</v>
      </c>
      <c r="I51" s="67">
        <v>0.94938695225222403</v>
      </c>
      <c r="J51" s="67">
        <v>10.151167330513299</v>
      </c>
      <c r="K51" s="65">
        <v>49</v>
      </c>
      <c r="L51" s="65">
        <v>25</v>
      </c>
      <c r="M51" s="66">
        <v>6.1302681992337203E-2</v>
      </c>
      <c r="N51" s="67">
        <v>1895.3268238955</v>
      </c>
      <c r="O51" s="67">
        <v>118.457926493469</v>
      </c>
      <c r="P51" s="67">
        <v>247.78999453783001</v>
      </c>
      <c r="Q51" s="77">
        <v>0.130737343773008</v>
      </c>
    </row>
    <row r="52" spans="1:17" x14ac:dyDescent="0.35">
      <c r="A52" s="76" t="s">
        <v>136</v>
      </c>
      <c r="B52" s="63">
        <v>28644</v>
      </c>
      <c r="C52" s="63" t="s">
        <v>137</v>
      </c>
      <c r="D52" s="64">
        <v>42602</v>
      </c>
      <c r="E52" s="63" t="s">
        <v>138</v>
      </c>
      <c r="F52" s="65">
        <v>60755</v>
      </c>
      <c r="G52" s="66">
        <v>9.5761431922619603E-3</v>
      </c>
      <c r="H52" s="65">
        <v>325</v>
      </c>
      <c r="I52" s="67">
        <v>0.99241604100937797</v>
      </c>
      <c r="J52" s="67">
        <v>9.5035181150035193</v>
      </c>
      <c r="K52" s="65">
        <v>19</v>
      </c>
      <c r="L52" s="65">
        <v>35</v>
      </c>
      <c r="M52" s="66">
        <v>6.7114093959731502E-2</v>
      </c>
      <c r="N52" s="67">
        <v>1786.1701135163401</v>
      </c>
      <c r="O52" s="67">
        <v>89.308505675817003</v>
      </c>
      <c r="P52" s="67">
        <v>295.73998022079502</v>
      </c>
      <c r="Q52" s="77">
        <v>0.16557212439222099</v>
      </c>
    </row>
    <row r="53" spans="1:17" x14ac:dyDescent="0.35">
      <c r="A53" s="76" t="s">
        <v>136</v>
      </c>
      <c r="B53" s="63">
        <v>28644</v>
      </c>
      <c r="C53" s="63" t="s">
        <v>137</v>
      </c>
      <c r="D53" s="64">
        <v>42603</v>
      </c>
      <c r="E53" s="63" t="s">
        <v>138</v>
      </c>
      <c r="F53" s="65">
        <v>32297</v>
      </c>
      <c r="G53" s="66">
        <v>9.4915493454712195E-3</v>
      </c>
      <c r="H53" s="65">
        <v>270</v>
      </c>
      <c r="I53" s="67">
        <v>1.0264311891506199</v>
      </c>
      <c r="J53" s="67">
        <v>9.74242228155377</v>
      </c>
      <c r="K53" s="65">
        <v>55</v>
      </c>
      <c r="L53" s="65">
        <v>17</v>
      </c>
      <c r="M53" s="66">
        <v>4.08921933085502E-2</v>
      </c>
      <c r="N53" s="67">
        <v>1713.70068014151</v>
      </c>
      <c r="O53" s="67">
        <v>155.79097092195599</v>
      </c>
      <c r="P53" s="67">
        <v>276.10998988151601</v>
      </c>
      <c r="Q53" s="77">
        <v>0.16111914588183199</v>
      </c>
    </row>
    <row r="54" spans="1:17" x14ac:dyDescent="0.35">
      <c r="A54" s="76" t="s">
        <v>136</v>
      </c>
      <c r="B54" s="63">
        <v>28644</v>
      </c>
      <c r="C54" s="63" t="s">
        <v>137</v>
      </c>
      <c r="D54" s="64">
        <v>42604</v>
      </c>
      <c r="E54" s="63" t="s">
        <v>138</v>
      </c>
      <c r="F54" s="65">
        <v>6992</v>
      </c>
      <c r="G54" s="66">
        <v>8.18636180846786E-3</v>
      </c>
      <c r="H54" s="65">
        <v>311</v>
      </c>
      <c r="I54" s="67">
        <v>1.0503508618003401</v>
      </c>
      <c r="J54" s="67">
        <v>8.5985521805336393</v>
      </c>
      <c r="K54" s="65">
        <v>24</v>
      </c>
      <c r="L54" s="65">
        <v>26</v>
      </c>
      <c r="M54" s="66">
        <v>6.3157894736842093E-2</v>
      </c>
      <c r="N54" s="67">
        <v>1884.07479904709</v>
      </c>
      <c r="O54" s="67">
        <v>104.670822169283</v>
      </c>
      <c r="P54" s="67">
        <v>299.34999561309797</v>
      </c>
      <c r="Q54" s="77">
        <v>0.15888434777881499</v>
      </c>
    </row>
    <row r="55" spans="1:17" x14ac:dyDescent="0.35">
      <c r="A55" s="76" t="s">
        <v>136</v>
      </c>
      <c r="B55" s="63">
        <v>28644</v>
      </c>
      <c r="C55" s="63" t="s">
        <v>137</v>
      </c>
      <c r="D55" s="64">
        <v>42605</v>
      </c>
      <c r="E55" s="63" t="s">
        <v>138</v>
      </c>
      <c r="F55" s="65">
        <v>17961</v>
      </c>
      <c r="G55" s="66">
        <v>8.6051007046205608E-3</v>
      </c>
      <c r="H55" s="65">
        <v>457</v>
      </c>
      <c r="I55" s="67">
        <v>1.0591303680254101</v>
      </c>
      <c r="J55" s="67">
        <v>9.1139234761804602</v>
      </c>
      <c r="K55" s="65">
        <v>11</v>
      </c>
      <c r="L55" s="65">
        <v>26</v>
      </c>
      <c r="M55" s="66">
        <v>5.4347826086956499E-2</v>
      </c>
      <c r="N55" s="67">
        <v>1293.5420327565701</v>
      </c>
      <c r="O55" s="67">
        <v>86.236135517104401</v>
      </c>
      <c r="P55" s="67">
        <v>292.31998157501198</v>
      </c>
      <c r="Q55" s="77">
        <v>0.22598413825956001</v>
      </c>
    </row>
    <row r="56" spans="1:17" x14ac:dyDescent="0.35">
      <c r="A56" s="76" t="s">
        <v>136</v>
      </c>
      <c r="B56" s="63">
        <v>28644</v>
      </c>
      <c r="C56" s="63" t="s">
        <v>137</v>
      </c>
      <c r="D56" s="64">
        <v>42606</v>
      </c>
      <c r="E56" s="63" t="s">
        <v>138</v>
      </c>
      <c r="F56" s="65">
        <v>50107</v>
      </c>
      <c r="G56" s="66">
        <v>8.7303265565054494E-3</v>
      </c>
      <c r="H56" s="65">
        <v>212</v>
      </c>
      <c r="I56" s="67">
        <v>1.0599999081304701</v>
      </c>
      <c r="J56" s="67">
        <v>9.2541453478448208</v>
      </c>
      <c r="K56" s="65">
        <v>14</v>
      </c>
      <c r="L56" s="65">
        <v>45</v>
      </c>
      <c r="M56" s="66">
        <v>8.6505190311418706E-2</v>
      </c>
      <c r="N56" s="67">
        <v>2233.74724120883</v>
      </c>
      <c r="O56" s="67">
        <v>89.349889648353297</v>
      </c>
      <c r="P56" s="67">
        <v>306.33997344970697</v>
      </c>
      <c r="Q56" s="77">
        <v>0.13714173555461301</v>
      </c>
    </row>
    <row r="57" spans="1:17" x14ac:dyDescent="0.35">
      <c r="A57" s="76" t="s">
        <v>136</v>
      </c>
      <c r="B57" s="63">
        <v>28644</v>
      </c>
      <c r="C57" s="63" t="s">
        <v>137</v>
      </c>
      <c r="D57" s="64">
        <v>42607</v>
      </c>
      <c r="E57" s="63" t="s">
        <v>138</v>
      </c>
      <c r="F57" s="65">
        <v>22613</v>
      </c>
      <c r="G57" s="66">
        <v>9.5965678157458999E-3</v>
      </c>
      <c r="H57" s="65">
        <v>247</v>
      </c>
      <c r="I57" s="67">
        <v>1.05999992221009</v>
      </c>
      <c r="J57" s="67">
        <v>10.172361138174599</v>
      </c>
      <c r="K57" s="65">
        <v>15</v>
      </c>
      <c r="L57" s="65">
        <v>18</v>
      </c>
      <c r="M57" s="66">
        <v>4.7058823529411799E-2</v>
      </c>
      <c r="N57" s="67">
        <v>1501.4226643417101</v>
      </c>
      <c r="O57" s="67">
        <v>125.118555361809</v>
      </c>
      <c r="P57" s="67">
        <v>270.29998016357399</v>
      </c>
      <c r="Q57" s="77">
        <v>0.18002923932288301</v>
      </c>
    </row>
    <row r="58" spans="1:17" x14ac:dyDescent="0.35">
      <c r="A58" s="76" t="s">
        <v>136</v>
      </c>
      <c r="B58" s="63">
        <v>28644</v>
      </c>
      <c r="C58" s="63" t="s">
        <v>137</v>
      </c>
      <c r="D58" s="64">
        <v>42608</v>
      </c>
      <c r="E58" s="63" t="s">
        <v>138</v>
      </c>
      <c r="F58" s="65">
        <v>31875</v>
      </c>
      <c r="G58" s="66">
        <v>1.1104401502952201E-2</v>
      </c>
      <c r="H58" s="65">
        <v>267</v>
      </c>
      <c r="I58" s="67">
        <v>1.0599999859974101</v>
      </c>
      <c r="J58" s="67">
        <v>11.770665437639</v>
      </c>
      <c r="K58" s="65">
        <v>15</v>
      </c>
      <c r="L58" s="65">
        <v>36</v>
      </c>
      <c r="M58" s="66">
        <v>6.9486404833836904E-2</v>
      </c>
      <c r="N58" s="67">
        <v>2330.5742369374002</v>
      </c>
      <c r="O58" s="67">
        <v>101.329314649452</v>
      </c>
      <c r="P58" s="67">
        <v>350.85999536514299</v>
      </c>
      <c r="Q58" s="77">
        <v>0.15054658624657499</v>
      </c>
    </row>
    <row r="59" spans="1:17" x14ac:dyDescent="0.35">
      <c r="A59" s="76" t="s">
        <v>136</v>
      </c>
      <c r="B59" s="63">
        <v>28644</v>
      </c>
      <c r="C59" s="63" t="s">
        <v>137</v>
      </c>
      <c r="D59" s="64">
        <v>42609</v>
      </c>
      <c r="E59" s="63" t="s">
        <v>138</v>
      </c>
      <c r="F59" s="65">
        <v>65351</v>
      </c>
      <c r="G59" s="66">
        <v>1.0978356061553901E-2</v>
      </c>
      <c r="H59" s="65">
        <v>436</v>
      </c>
      <c r="I59" s="67">
        <v>1.08492873944448</v>
      </c>
      <c r="J59" s="67">
        <v>11.9107340030343</v>
      </c>
      <c r="K59" s="65">
        <v>26</v>
      </c>
      <c r="L59" s="65">
        <v>34</v>
      </c>
      <c r="M59" s="66">
        <v>4.2735042735042701E-2</v>
      </c>
      <c r="N59" s="67">
        <v>1128.55669012726</v>
      </c>
      <c r="O59" s="67">
        <v>75.237112675150598</v>
      </c>
      <c r="P59" s="67">
        <v>380.80998754501297</v>
      </c>
      <c r="Q59" s="77">
        <v>0.33743097788208798</v>
      </c>
    </row>
    <row r="60" spans="1:17" x14ac:dyDescent="0.35">
      <c r="A60" s="76" t="s">
        <v>136</v>
      </c>
      <c r="B60" s="63">
        <v>28644</v>
      </c>
      <c r="C60" s="63" t="s">
        <v>137</v>
      </c>
      <c r="D60" s="64">
        <v>42610</v>
      </c>
      <c r="E60" s="63" t="s">
        <v>138</v>
      </c>
      <c r="F60" s="65">
        <v>63253</v>
      </c>
      <c r="G60" s="66">
        <v>1.0083719772182601E-2</v>
      </c>
      <c r="H60" s="65">
        <v>575</v>
      </c>
      <c r="I60" s="67">
        <v>1.1277468763751699</v>
      </c>
      <c r="J60" s="67">
        <v>11.3718834753215</v>
      </c>
      <c r="K60" s="65">
        <v>25</v>
      </c>
      <c r="L60" s="65">
        <v>25</v>
      </c>
      <c r="M60" s="66">
        <v>3.3950617283950602E-2</v>
      </c>
      <c r="N60" s="67">
        <v>1444.4732271323701</v>
      </c>
      <c r="O60" s="67">
        <v>131.31574792112499</v>
      </c>
      <c r="P60" s="67">
        <v>365.38998794555698</v>
      </c>
      <c r="Q60" s="77">
        <v>0.25295725880011199</v>
      </c>
    </row>
    <row r="61" spans="1:17" x14ac:dyDescent="0.35">
      <c r="A61" s="76" t="s">
        <v>136</v>
      </c>
      <c r="B61" s="63">
        <v>28644</v>
      </c>
      <c r="C61" s="63" t="s">
        <v>137</v>
      </c>
      <c r="D61" s="64">
        <v>42611</v>
      </c>
      <c r="E61" s="63" t="s">
        <v>138</v>
      </c>
      <c r="F61" s="65">
        <v>2644</v>
      </c>
      <c r="G61" s="66">
        <v>1.0645976181883799E-2</v>
      </c>
      <c r="H61" s="65">
        <v>325</v>
      </c>
      <c r="I61" s="67">
        <v>1.13966098343585</v>
      </c>
      <c r="J61" s="67">
        <v>12.132803685080299</v>
      </c>
      <c r="K61" s="65">
        <v>44</v>
      </c>
      <c r="L61" s="65">
        <v>28</v>
      </c>
      <c r="M61" s="66">
        <v>4.5197740112994399E-2</v>
      </c>
      <c r="N61" s="67">
        <v>1292.11930986889</v>
      </c>
      <c r="O61" s="67">
        <v>80.757456866805597</v>
      </c>
      <c r="P61" s="67">
        <v>403.43998813629202</v>
      </c>
      <c r="Q61" s="77">
        <v>0.31223121971393503</v>
      </c>
    </row>
    <row r="62" spans="1:17" x14ac:dyDescent="0.35">
      <c r="A62" s="76" t="s">
        <v>136</v>
      </c>
      <c r="B62" s="63">
        <v>28644</v>
      </c>
      <c r="C62" s="63" t="s">
        <v>137</v>
      </c>
      <c r="D62" s="64">
        <v>42612</v>
      </c>
      <c r="E62" s="63" t="s">
        <v>138</v>
      </c>
      <c r="F62" s="65">
        <v>35697</v>
      </c>
      <c r="G62" s="66">
        <v>1.0052061163681601E-2</v>
      </c>
      <c r="H62" s="65">
        <v>518</v>
      </c>
      <c r="I62" s="67">
        <v>1.13999994764111</v>
      </c>
      <c r="J62" s="67">
        <v>11.459349200282199</v>
      </c>
      <c r="K62" s="65">
        <v>20</v>
      </c>
      <c r="L62" s="65">
        <v>29</v>
      </c>
      <c r="M62" s="66">
        <v>5.2117263843648197E-2</v>
      </c>
      <c r="N62" s="67">
        <v>1499.2670742350001</v>
      </c>
      <c r="O62" s="67">
        <v>93.704192139687507</v>
      </c>
      <c r="P62" s="67">
        <v>349.979983925819</v>
      </c>
      <c r="Q62" s="77">
        <v>0.233434049169923</v>
      </c>
    </row>
    <row r="63" spans="1:17" x14ac:dyDescent="0.35">
      <c r="A63" s="76" t="s">
        <v>136</v>
      </c>
      <c r="B63" s="63">
        <v>28644</v>
      </c>
      <c r="C63" s="63" t="s">
        <v>137</v>
      </c>
      <c r="D63" s="64">
        <v>42613</v>
      </c>
      <c r="E63" s="63" t="s">
        <v>138</v>
      </c>
      <c r="F63" s="65">
        <v>42298</v>
      </c>
      <c r="G63" s="66">
        <v>1.15343099460293E-2</v>
      </c>
      <c r="H63" s="65">
        <v>400</v>
      </c>
      <c r="I63" s="67">
        <v>1.1399999640204701</v>
      </c>
      <c r="J63" s="67">
        <v>13.1491129234743</v>
      </c>
      <c r="K63" s="65">
        <v>22</v>
      </c>
      <c r="L63" s="65">
        <v>40</v>
      </c>
      <c r="M63" s="66">
        <v>6.4171122994652399E-2</v>
      </c>
      <c r="N63" s="67">
        <v>2492.7143031799701</v>
      </c>
      <c r="O63" s="67">
        <v>103.863095965832</v>
      </c>
      <c r="P63" s="67">
        <v>426.359986543655</v>
      </c>
      <c r="Q63" s="77">
        <v>0.171042460020286</v>
      </c>
    </row>
    <row r="64" spans="1:17" x14ac:dyDescent="0.35">
      <c r="A64" s="76" t="s">
        <v>136</v>
      </c>
      <c r="B64" s="63">
        <v>28644</v>
      </c>
      <c r="C64" s="63" t="s">
        <v>137</v>
      </c>
      <c r="D64" s="64">
        <v>42614</v>
      </c>
      <c r="E64" s="63" t="s">
        <v>138</v>
      </c>
      <c r="F64" s="65">
        <v>35633</v>
      </c>
      <c r="G64" s="66">
        <v>1.02766798418972E-2</v>
      </c>
      <c r="H64" s="65">
        <v>282</v>
      </c>
      <c r="I64" s="67">
        <v>1.1400000076230199</v>
      </c>
      <c r="J64" s="67">
        <v>11.715415098102101</v>
      </c>
      <c r="K64" s="65">
        <v>65</v>
      </c>
      <c r="L64" s="65">
        <v>30</v>
      </c>
      <c r="M64" s="66">
        <v>4.6822742474916398E-2</v>
      </c>
      <c r="N64" s="67">
        <v>1331.68709762766</v>
      </c>
      <c r="O64" s="67">
        <v>95.120506973404105</v>
      </c>
      <c r="P64" s="67">
        <v>340.86000227928201</v>
      </c>
      <c r="Q64" s="77">
        <v>0.25596103085064698</v>
      </c>
    </row>
    <row r="65" spans="1:17" x14ac:dyDescent="0.35">
      <c r="A65" s="76" t="s">
        <v>136</v>
      </c>
      <c r="B65" s="63">
        <v>28644</v>
      </c>
      <c r="C65" s="63" t="s">
        <v>137</v>
      </c>
      <c r="D65" s="64">
        <v>42615</v>
      </c>
      <c r="E65" s="63" t="s">
        <v>138</v>
      </c>
      <c r="F65" s="65">
        <v>20131</v>
      </c>
      <c r="G65" s="66">
        <v>1.1281631109570501E-2</v>
      </c>
      <c r="H65" s="65">
        <v>286</v>
      </c>
      <c r="I65" s="67">
        <v>1.1399999883587799</v>
      </c>
      <c r="J65" s="67">
        <v>12.8610593335784</v>
      </c>
      <c r="K65" s="65">
        <v>81</v>
      </c>
      <c r="L65" s="65">
        <v>46</v>
      </c>
      <c r="M65" s="66">
        <v>6.7039106145251395E-2</v>
      </c>
      <c r="N65" s="67">
        <v>2000.3527217319599</v>
      </c>
      <c r="O65" s="67">
        <v>83.348030072165201</v>
      </c>
      <c r="P65" s="67">
        <v>408.11999583244301</v>
      </c>
      <c r="Q65" s="77">
        <v>0.204024016064067</v>
      </c>
    </row>
    <row r="66" spans="1:17" x14ac:dyDescent="0.35">
      <c r="A66" s="76" t="s">
        <v>136</v>
      </c>
      <c r="B66" s="63">
        <v>28644</v>
      </c>
      <c r="C66" s="63" t="s">
        <v>137</v>
      </c>
      <c r="D66" s="64">
        <v>42616</v>
      </c>
      <c r="E66" s="63" t="s">
        <v>138</v>
      </c>
      <c r="F66" s="65">
        <v>64307</v>
      </c>
      <c r="G66" s="66">
        <v>1.03021978021978E-2</v>
      </c>
      <c r="H66" s="65">
        <v>316</v>
      </c>
      <c r="I66" s="67">
        <v>1.05466667309142</v>
      </c>
      <c r="J66" s="67">
        <v>10.865384681573699</v>
      </c>
      <c r="K66" s="65">
        <v>82</v>
      </c>
      <c r="L66" s="65">
        <v>51</v>
      </c>
      <c r="M66" s="66">
        <v>0.119298245614035</v>
      </c>
      <c r="N66" s="67">
        <v>3057.5889401024201</v>
      </c>
      <c r="O66" s="67">
        <v>89.929086473600506</v>
      </c>
      <c r="P66" s="67">
        <v>300.58000183105497</v>
      </c>
      <c r="Q66" s="77">
        <v>9.8306216996254095E-2</v>
      </c>
    </row>
    <row r="67" spans="1:17" x14ac:dyDescent="0.35">
      <c r="A67" s="76" t="s">
        <v>136</v>
      </c>
      <c r="B67" s="63">
        <v>28644</v>
      </c>
      <c r="C67" s="63" t="s">
        <v>137</v>
      </c>
      <c r="D67" s="64">
        <v>42617</v>
      </c>
      <c r="E67" s="63" t="s">
        <v>138</v>
      </c>
      <c r="F67" s="65">
        <v>15585</v>
      </c>
      <c r="G67" s="66">
        <v>1.16061691852313E-2</v>
      </c>
      <c r="H67" s="65">
        <v>200</v>
      </c>
      <c r="I67" s="67">
        <v>0.98483218442673603</v>
      </c>
      <c r="J67" s="67">
        <v>11.4301289515177</v>
      </c>
      <c r="K67" s="65">
        <v>83</v>
      </c>
      <c r="L67" s="65">
        <v>35</v>
      </c>
      <c r="M67" s="66">
        <v>7.0469798657718102E-2</v>
      </c>
      <c r="N67" s="67">
        <v>1700.94360276204</v>
      </c>
      <c r="O67" s="67">
        <v>80.997314417239906</v>
      </c>
      <c r="P67" s="67">
        <v>293.47999095916703</v>
      </c>
      <c r="Q67" s="77">
        <v>0.17253951893678701</v>
      </c>
    </row>
    <row r="68" spans="1:17" x14ac:dyDescent="0.35">
      <c r="A68" s="76" t="s">
        <v>136</v>
      </c>
      <c r="B68" s="63">
        <v>28644</v>
      </c>
      <c r="C68" s="63" t="s">
        <v>137</v>
      </c>
      <c r="D68" s="64">
        <v>42618</v>
      </c>
      <c r="E68" s="63" t="s">
        <v>138</v>
      </c>
      <c r="F68" s="65">
        <v>1489</v>
      </c>
      <c r="G68" s="66">
        <v>1.11676386648468E-2</v>
      </c>
      <c r="H68" s="65">
        <v>171</v>
      </c>
      <c r="I68" s="67">
        <v>0.98118519606413701</v>
      </c>
      <c r="J68" s="67">
        <v>10.9575217329411</v>
      </c>
      <c r="K68" s="65">
        <v>62</v>
      </c>
      <c r="L68" s="65">
        <v>38</v>
      </c>
      <c r="M68" s="66">
        <v>8.5185185185185197E-2</v>
      </c>
      <c r="N68" s="67">
        <v>2672.2373999408801</v>
      </c>
      <c r="O68" s="67">
        <v>116.184234780038</v>
      </c>
      <c r="P68" s="67">
        <v>264.92000293731701</v>
      </c>
      <c r="Q68" s="77">
        <v>9.9137899553077696E-2</v>
      </c>
    </row>
    <row r="69" spans="1:17" x14ac:dyDescent="0.35">
      <c r="A69" s="76" t="s">
        <v>136</v>
      </c>
      <c r="B69" s="63">
        <v>28644</v>
      </c>
      <c r="C69" s="63" t="s">
        <v>137</v>
      </c>
      <c r="D69" s="64">
        <v>42619</v>
      </c>
      <c r="E69" s="63" t="s">
        <v>138</v>
      </c>
      <c r="F69" s="65">
        <v>16284</v>
      </c>
      <c r="G69" s="66">
        <v>1.0311095443729599E-2</v>
      </c>
      <c r="H69" s="65">
        <v>312</v>
      </c>
      <c r="I69" s="67">
        <v>1.00991449702499</v>
      </c>
      <c r="J69" s="67">
        <v>10.413324768830901</v>
      </c>
      <c r="K69" s="65">
        <v>47</v>
      </c>
      <c r="L69" s="65">
        <v>33</v>
      </c>
      <c r="M69" s="66">
        <v>7.2649572649572697E-2</v>
      </c>
      <c r="N69" s="67">
        <v>1397.5911788476201</v>
      </c>
      <c r="O69" s="67">
        <v>82.2112458145657</v>
      </c>
      <c r="P69" s="67">
        <v>236.31999230384801</v>
      </c>
      <c r="Q69" s="77">
        <v>0.16909093008064499</v>
      </c>
    </row>
    <row r="70" spans="1:17" x14ac:dyDescent="0.35">
      <c r="A70" s="76" t="s">
        <v>136</v>
      </c>
      <c r="B70" s="63">
        <v>28644</v>
      </c>
      <c r="C70" s="63" t="s">
        <v>137</v>
      </c>
      <c r="D70" s="64">
        <v>42620</v>
      </c>
      <c r="E70" s="63" t="s">
        <v>138</v>
      </c>
      <c r="F70" s="65">
        <v>62244</v>
      </c>
      <c r="G70" s="66">
        <v>9.5242435289828696E-3</v>
      </c>
      <c r="H70" s="65">
        <v>554</v>
      </c>
      <c r="I70" s="67">
        <v>1.0276076257514</v>
      </c>
      <c r="J70" s="67">
        <v>9.78718527989626</v>
      </c>
      <c r="K70" s="65">
        <v>47</v>
      </c>
      <c r="L70" s="65">
        <v>30</v>
      </c>
      <c r="M70" s="66">
        <v>9.0909090909090898E-2</v>
      </c>
      <c r="N70" s="67">
        <v>1185.02509142947</v>
      </c>
      <c r="O70" s="67">
        <v>62.369741654182597</v>
      </c>
      <c r="P70" s="67">
        <v>214.769993782043</v>
      </c>
      <c r="Q70" s="77">
        <v>0.181236663540154</v>
      </c>
    </row>
    <row r="71" spans="1:17" x14ac:dyDescent="0.35">
      <c r="A71" s="76" t="s">
        <v>136</v>
      </c>
      <c r="B71" s="63">
        <v>28644</v>
      </c>
      <c r="C71" s="63" t="s">
        <v>137</v>
      </c>
      <c r="D71" s="64">
        <v>42621</v>
      </c>
      <c r="E71" s="63" t="s">
        <v>138</v>
      </c>
      <c r="F71" s="65">
        <v>34081</v>
      </c>
      <c r="G71" s="66">
        <v>9.6914204173850996E-3</v>
      </c>
      <c r="H71" s="65">
        <v>154</v>
      </c>
      <c r="I71" s="67">
        <v>1.0296931793353301</v>
      </c>
      <c r="J71" s="67">
        <v>9.9791895018526002</v>
      </c>
      <c r="K71" s="65">
        <v>29</v>
      </c>
      <c r="L71" s="65">
        <v>21</v>
      </c>
      <c r="M71" s="66">
        <v>7.3619631901840496E-2</v>
      </c>
      <c r="N71" s="67">
        <v>1710.8651529660799</v>
      </c>
      <c r="O71" s="67">
        <v>142.57209608050701</v>
      </c>
      <c r="P71" s="67">
        <v>167.83998823165899</v>
      </c>
      <c r="Q71" s="77">
        <v>9.8102406224522695E-2</v>
      </c>
    </row>
    <row r="72" spans="1:17" x14ac:dyDescent="0.35">
      <c r="A72" s="76" t="s">
        <v>136</v>
      </c>
      <c r="B72" s="63">
        <v>28644</v>
      </c>
      <c r="C72" s="63" t="s">
        <v>137</v>
      </c>
      <c r="D72" s="64">
        <v>42622</v>
      </c>
      <c r="E72" s="63" t="s">
        <v>138</v>
      </c>
      <c r="F72" s="65">
        <v>237</v>
      </c>
      <c r="G72" s="66">
        <v>1.22374731271705E-2</v>
      </c>
      <c r="H72" s="65">
        <v>429</v>
      </c>
      <c r="I72" s="67">
        <v>1.0299999660199799</v>
      </c>
      <c r="J72" s="67">
        <v>12.6045969051561</v>
      </c>
      <c r="K72" s="65">
        <v>29</v>
      </c>
      <c r="L72" s="65">
        <v>27</v>
      </c>
      <c r="M72" s="66">
        <v>5.4054054054054099E-2</v>
      </c>
      <c r="N72" s="67">
        <v>1111.73822699174</v>
      </c>
      <c r="O72" s="67">
        <v>92.644852249311896</v>
      </c>
      <c r="P72" s="67">
        <v>228.65999245643599</v>
      </c>
      <c r="Q72" s="77">
        <v>0.20567790771679101</v>
      </c>
    </row>
    <row r="73" spans="1:17" x14ac:dyDescent="0.35">
      <c r="A73" s="76" t="s">
        <v>136</v>
      </c>
      <c r="B73" s="63">
        <v>28644</v>
      </c>
      <c r="C73" s="63" t="s">
        <v>137</v>
      </c>
      <c r="D73" s="64">
        <v>42623</v>
      </c>
      <c r="E73" s="63" t="s">
        <v>138</v>
      </c>
      <c r="F73" s="65">
        <v>14217</v>
      </c>
      <c r="G73" s="66">
        <v>1.02270293424716E-2</v>
      </c>
      <c r="H73" s="65">
        <v>405</v>
      </c>
      <c r="I73" s="67">
        <v>1.02999997263804</v>
      </c>
      <c r="J73" s="67">
        <v>10.5338399429142</v>
      </c>
      <c r="K73" s="65">
        <v>28</v>
      </c>
      <c r="L73" s="65">
        <v>38</v>
      </c>
      <c r="M73" s="66">
        <v>8.9005235602094196E-2</v>
      </c>
      <c r="N73" s="67">
        <v>2030.7786852208101</v>
      </c>
      <c r="O73" s="67">
        <v>119.457569718871</v>
      </c>
      <c r="P73" s="67">
        <v>196.729994773865</v>
      </c>
      <c r="Q73" s="77">
        <v>9.6874167631158706E-2</v>
      </c>
    </row>
    <row r="74" spans="1:17" x14ac:dyDescent="0.35">
      <c r="A74" s="76" t="s">
        <v>136</v>
      </c>
      <c r="B74" s="63">
        <v>28644</v>
      </c>
      <c r="C74" s="63" t="s">
        <v>137</v>
      </c>
      <c r="D74" s="64">
        <v>42624</v>
      </c>
      <c r="E74" s="63" t="s">
        <v>138</v>
      </c>
      <c r="F74" s="65">
        <v>64237</v>
      </c>
      <c r="G74" s="66">
        <v>1.33388912046686E-2</v>
      </c>
      <c r="H74" s="65">
        <v>298</v>
      </c>
      <c r="I74" s="67">
        <v>1.12496087700129</v>
      </c>
      <c r="J74" s="67">
        <v>15.0057307478287</v>
      </c>
      <c r="K74" s="65">
        <v>13</v>
      </c>
      <c r="L74" s="65">
        <v>21</v>
      </c>
      <c r="M74" s="66">
        <v>3.90625E-2</v>
      </c>
      <c r="N74" s="67">
        <v>466.13456900341203</v>
      </c>
      <c r="O74" s="67">
        <v>46.613456900341198</v>
      </c>
      <c r="P74" s="67">
        <v>287.98998451232899</v>
      </c>
      <c r="Q74" s="77">
        <v>0.61782584614577496</v>
      </c>
    </row>
    <row r="75" spans="1:17" x14ac:dyDescent="0.35">
      <c r="A75" s="76" t="s">
        <v>136</v>
      </c>
      <c r="B75" s="63">
        <v>28644</v>
      </c>
      <c r="C75" s="63" t="s">
        <v>137</v>
      </c>
      <c r="D75" s="64">
        <v>42625</v>
      </c>
      <c r="E75" s="63" t="s">
        <v>138</v>
      </c>
      <c r="F75" s="65">
        <v>60954</v>
      </c>
      <c r="G75" s="66">
        <v>1.4295853188685001E-2</v>
      </c>
      <c r="H75" s="65">
        <v>479</v>
      </c>
      <c r="I75" s="67">
        <v>1.15999992899861</v>
      </c>
      <c r="J75" s="67">
        <v>16.583188683849102</v>
      </c>
      <c r="K75" s="65">
        <v>16</v>
      </c>
      <c r="L75" s="65">
        <v>37</v>
      </c>
      <c r="M75" s="66">
        <v>8.1560283687943297E-2</v>
      </c>
      <c r="N75" s="67">
        <v>1783.00555604551</v>
      </c>
      <c r="O75" s="67">
        <v>77.521980697630696</v>
      </c>
      <c r="P75" s="67">
        <v>327.11997997760801</v>
      </c>
      <c r="Q75" s="77">
        <v>0.18346548549356201</v>
      </c>
    </row>
    <row r="76" spans="1:17" x14ac:dyDescent="0.35">
      <c r="A76" s="76" t="s">
        <v>136</v>
      </c>
      <c r="B76" s="63">
        <v>28644</v>
      </c>
      <c r="C76" s="63" t="s">
        <v>137</v>
      </c>
      <c r="D76" s="64">
        <v>42626</v>
      </c>
      <c r="E76" s="63" t="s">
        <v>138</v>
      </c>
      <c r="F76" s="65">
        <v>11776</v>
      </c>
      <c r="G76" s="66">
        <v>1.17875590481656E-2</v>
      </c>
      <c r="H76" s="65">
        <v>531</v>
      </c>
      <c r="I76" s="67">
        <v>1.15999997063969</v>
      </c>
      <c r="J76" s="67">
        <v>13.673568149785799</v>
      </c>
      <c r="K76" s="65">
        <v>65</v>
      </c>
      <c r="L76" s="65">
        <v>33</v>
      </c>
      <c r="M76" s="66">
        <v>6.7415730337078705E-2</v>
      </c>
      <c r="N76" s="67">
        <v>1902.76924669559</v>
      </c>
      <c r="O76" s="67">
        <v>105.70940259419901</v>
      </c>
      <c r="P76" s="67">
        <v>309.71999216079701</v>
      </c>
      <c r="Q76" s="77">
        <v>0.162773280416775</v>
      </c>
    </row>
    <row r="77" spans="1:17" x14ac:dyDescent="0.35">
      <c r="A77" s="76" t="s">
        <v>136</v>
      </c>
      <c r="B77" s="63">
        <v>28644</v>
      </c>
      <c r="C77" s="63" t="s">
        <v>137</v>
      </c>
      <c r="D77" s="64">
        <v>42627</v>
      </c>
      <c r="E77" s="63" t="s">
        <v>138</v>
      </c>
      <c r="F77" s="65">
        <v>47103</v>
      </c>
      <c r="G77" s="66">
        <v>1.48267898383372E-2</v>
      </c>
      <c r="H77" s="65">
        <v>576</v>
      </c>
      <c r="I77" s="67">
        <v>1.17838007081706</v>
      </c>
      <c r="J77" s="67">
        <v>17.4715936596895</v>
      </c>
      <c r="K77" s="65">
        <v>51</v>
      </c>
      <c r="L77" s="65">
        <v>48</v>
      </c>
      <c r="M77" s="66">
        <v>9.0342679127725894E-2</v>
      </c>
      <c r="N77" s="67">
        <v>2371.0907787145002</v>
      </c>
      <c r="O77" s="67">
        <v>81.761750990155306</v>
      </c>
      <c r="P77" s="67">
        <v>378.26000273227697</v>
      </c>
      <c r="Q77" s="77">
        <v>0.15952995394691399</v>
      </c>
    </row>
    <row r="78" spans="1:17" x14ac:dyDescent="0.35">
      <c r="A78" s="76" t="s">
        <v>136</v>
      </c>
      <c r="B78" s="63">
        <v>28644</v>
      </c>
      <c r="C78" s="63" t="s">
        <v>137</v>
      </c>
      <c r="D78" s="64">
        <v>42628</v>
      </c>
      <c r="E78" s="63" t="s">
        <v>138</v>
      </c>
      <c r="F78" s="65">
        <v>68185</v>
      </c>
      <c r="G78" s="66">
        <v>1.65273465488417E-2</v>
      </c>
      <c r="H78" s="65">
        <v>257</v>
      </c>
      <c r="I78" s="67">
        <v>1.2100000767349499</v>
      </c>
      <c r="J78" s="67">
        <v>19.9980905923235</v>
      </c>
      <c r="K78" s="65">
        <v>72</v>
      </c>
      <c r="L78" s="65">
        <v>24</v>
      </c>
      <c r="M78" s="66">
        <v>3.17919075144509E-2</v>
      </c>
      <c r="N78" s="67">
        <v>1287.9442846935899</v>
      </c>
      <c r="O78" s="67">
        <v>117.085844063054</v>
      </c>
      <c r="P78" s="67">
        <v>418.66002655029303</v>
      </c>
      <c r="Q78" s="77">
        <v>0.32506066568702102</v>
      </c>
    </row>
    <row r="79" spans="1:17" x14ac:dyDescent="0.35">
      <c r="A79" s="76" t="s">
        <v>136</v>
      </c>
      <c r="B79" s="63">
        <v>28644</v>
      </c>
      <c r="C79" s="63" t="s">
        <v>137</v>
      </c>
      <c r="D79" s="64">
        <v>42629</v>
      </c>
      <c r="E79" s="63" t="s">
        <v>138</v>
      </c>
      <c r="F79" s="65">
        <v>270</v>
      </c>
      <c r="G79" s="66">
        <v>1.21890831524016E-2</v>
      </c>
      <c r="H79" s="65">
        <v>413</v>
      </c>
      <c r="I79" s="67">
        <v>1.2100000649690601</v>
      </c>
      <c r="J79" s="67">
        <v>14.748791406319301</v>
      </c>
      <c r="K79" s="65">
        <v>48</v>
      </c>
      <c r="L79" s="65">
        <v>47</v>
      </c>
      <c r="M79" s="66">
        <v>6.25E-2</v>
      </c>
      <c r="N79" s="67">
        <v>1625.76064976007</v>
      </c>
      <c r="O79" s="67">
        <v>81.288032488003296</v>
      </c>
      <c r="P79" s="67">
        <v>387.20002079009998</v>
      </c>
      <c r="Q79" s="77">
        <v>0.23816545248972801</v>
      </c>
    </row>
    <row r="80" spans="1:17" x14ac:dyDescent="0.35">
      <c r="A80" s="76" t="s">
        <v>136</v>
      </c>
      <c r="B80" s="63">
        <v>28644</v>
      </c>
      <c r="C80" s="63" t="s">
        <v>137</v>
      </c>
      <c r="D80" s="64">
        <v>42630</v>
      </c>
      <c r="E80" s="63" t="s">
        <v>138</v>
      </c>
      <c r="F80" s="65">
        <v>56377</v>
      </c>
      <c r="G80" s="66">
        <v>1.04822416771587E-2</v>
      </c>
      <c r="H80" s="65">
        <v>506</v>
      </c>
      <c r="I80" s="67">
        <v>1.17329607595945</v>
      </c>
      <c r="J80" s="67">
        <v>12.298773027068799</v>
      </c>
      <c r="K80" s="65">
        <v>69</v>
      </c>
      <c r="L80" s="65">
        <v>27</v>
      </c>
      <c r="M80" s="66">
        <v>4.4692737430167599E-2</v>
      </c>
      <c r="N80" s="67">
        <v>1522.6210222346001</v>
      </c>
      <c r="O80" s="67">
        <v>95.163813889662705</v>
      </c>
      <c r="P80" s="67">
        <v>420.03999519348099</v>
      </c>
      <c r="Q80" s="77">
        <v>0.27586640999940298</v>
      </c>
    </row>
    <row r="81" spans="1:17" x14ac:dyDescent="0.35">
      <c r="A81" s="76" t="s">
        <v>136</v>
      </c>
      <c r="B81" s="63">
        <v>28644</v>
      </c>
      <c r="C81" s="63" t="s">
        <v>137</v>
      </c>
      <c r="D81" s="64">
        <v>42631</v>
      </c>
      <c r="E81" s="63" t="s">
        <v>138</v>
      </c>
      <c r="F81" s="65">
        <v>65575</v>
      </c>
      <c r="G81" s="66">
        <v>1.21352657004831E-2</v>
      </c>
      <c r="H81" s="65">
        <v>249</v>
      </c>
      <c r="I81" s="67">
        <v>1.1509554002694999</v>
      </c>
      <c r="J81" s="67">
        <v>13.9671495916763</v>
      </c>
      <c r="K81" s="65">
        <v>96</v>
      </c>
      <c r="L81" s="65">
        <v>22</v>
      </c>
      <c r="M81" s="66">
        <v>4.1401273885350302E-2</v>
      </c>
      <c r="N81" s="67">
        <v>2447.3057588852598</v>
      </c>
      <c r="O81" s="67">
        <v>188.25428914502001</v>
      </c>
      <c r="P81" s="67">
        <v>361.399995684624</v>
      </c>
      <c r="Q81" s="77">
        <v>0.14767259643488101</v>
      </c>
    </row>
    <row r="82" spans="1:17" x14ac:dyDescent="0.35">
      <c r="A82" s="76" t="s">
        <v>136</v>
      </c>
      <c r="B82" s="63">
        <v>28644</v>
      </c>
      <c r="C82" s="63" t="s">
        <v>137</v>
      </c>
      <c r="D82" s="64">
        <v>42632</v>
      </c>
      <c r="E82" s="63" t="s">
        <v>138</v>
      </c>
      <c r="F82" s="65">
        <v>35450</v>
      </c>
      <c r="G82" s="66">
        <v>1.1212805578667899E-2</v>
      </c>
      <c r="H82" s="65">
        <v>337</v>
      </c>
      <c r="I82" s="67">
        <v>1.1499999993260299</v>
      </c>
      <c r="J82" s="67">
        <v>12.894726407911</v>
      </c>
      <c r="K82" s="65">
        <v>49</v>
      </c>
      <c r="L82" s="65">
        <v>30</v>
      </c>
      <c r="M82" s="66">
        <v>4.9469964664311E-2</v>
      </c>
      <c r="N82" s="67">
        <v>1443.2049125619601</v>
      </c>
      <c r="O82" s="67">
        <v>103.086065182997</v>
      </c>
      <c r="P82" s="67">
        <v>325.44999980926502</v>
      </c>
      <c r="Q82" s="77">
        <v>0.22550505266194701</v>
      </c>
    </row>
    <row r="83" spans="1:17" x14ac:dyDescent="0.35">
      <c r="A83" s="76" t="s">
        <v>136</v>
      </c>
      <c r="B83" s="63">
        <v>28644</v>
      </c>
      <c r="C83" s="63" t="s">
        <v>137</v>
      </c>
      <c r="D83" s="64">
        <v>42633</v>
      </c>
      <c r="E83" s="63" t="s">
        <v>138</v>
      </c>
      <c r="F83" s="65">
        <v>14057</v>
      </c>
      <c r="G83" s="66">
        <v>1.07257278172447E-2</v>
      </c>
      <c r="H83" s="65">
        <v>488</v>
      </c>
      <c r="I83" s="67">
        <v>1.1499999869953501</v>
      </c>
      <c r="J83" s="67">
        <v>12.334586850347099</v>
      </c>
      <c r="K83" s="65">
        <v>29</v>
      </c>
      <c r="L83" s="65">
        <v>25</v>
      </c>
      <c r="M83" s="66">
        <v>5.62770562770563E-2</v>
      </c>
      <c r="N83" s="67">
        <v>951.40669267847704</v>
      </c>
      <c r="O83" s="67">
        <v>73.185130206036703</v>
      </c>
      <c r="P83" s="67">
        <v>265.64999699592602</v>
      </c>
      <c r="Q83" s="77">
        <v>0.27921812936594598</v>
      </c>
    </row>
    <row r="84" spans="1:17" x14ac:dyDescent="0.35">
      <c r="A84" s="76" t="s">
        <v>136</v>
      </c>
      <c r="B84" s="63">
        <v>28644</v>
      </c>
      <c r="C84" s="63" t="s">
        <v>137</v>
      </c>
      <c r="D84" s="64">
        <v>42634</v>
      </c>
      <c r="E84" s="63" t="s">
        <v>138</v>
      </c>
      <c r="F84" s="65">
        <v>32697</v>
      </c>
      <c r="G84" s="66">
        <v>1.4026026634259999E-2</v>
      </c>
      <c r="H84" s="65">
        <v>206</v>
      </c>
      <c r="I84" s="67">
        <v>1.14999997443671</v>
      </c>
      <c r="J84" s="67">
        <v>16.129930270847499</v>
      </c>
      <c r="K84" s="65">
        <v>10</v>
      </c>
      <c r="L84" s="65">
        <v>29</v>
      </c>
      <c r="M84" s="66">
        <v>5.0541516245487403E-2</v>
      </c>
      <c r="N84" s="67">
        <v>1195.34481811254</v>
      </c>
      <c r="O84" s="67">
        <v>85.381772722324499</v>
      </c>
      <c r="P84" s="67">
        <v>318.54999291896797</v>
      </c>
      <c r="Q84" s="77">
        <v>0.26649213523338</v>
      </c>
    </row>
    <row r="85" spans="1:17" x14ac:dyDescent="0.35">
      <c r="A85" s="76" t="s">
        <v>136</v>
      </c>
      <c r="B85" s="63">
        <v>28644</v>
      </c>
      <c r="C85" s="63" t="s">
        <v>137</v>
      </c>
      <c r="D85" s="64">
        <v>42635</v>
      </c>
      <c r="E85" s="63" t="s">
        <v>138</v>
      </c>
      <c r="F85" s="65">
        <v>47286</v>
      </c>
      <c r="G85" s="66">
        <v>1.18810786914235E-2</v>
      </c>
      <c r="H85" s="65">
        <v>256</v>
      </c>
      <c r="I85" s="67">
        <v>1.1499999384547399</v>
      </c>
      <c r="J85" s="67">
        <v>13.663239763912999</v>
      </c>
      <c r="K85" s="65">
        <v>36</v>
      </c>
      <c r="L85" s="65">
        <v>31</v>
      </c>
      <c r="M85" s="66">
        <v>6.0465116279069801E-2</v>
      </c>
      <c r="N85" s="67">
        <v>1494.4880554753599</v>
      </c>
      <c r="O85" s="67">
        <v>114.96061965195101</v>
      </c>
      <c r="P85" s="67">
        <v>247.249986767769</v>
      </c>
      <c r="Q85" s="77">
        <v>0.16544125987619501</v>
      </c>
    </row>
    <row r="86" spans="1:17" x14ac:dyDescent="0.35">
      <c r="A86" s="76" t="s">
        <v>136</v>
      </c>
      <c r="B86" s="63">
        <v>28644</v>
      </c>
      <c r="C86" s="63" t="s">
        <v>137</v>
      </c>
      <c r="D86" s="64">
        <v>42636</v>
      </c>
      <c r="E86" s="63" t="s">
        <v>138</v>
      </c>
      <c r="F86" s="65">
        <v>2961</v>
      </c>
      <c r="G86" s="66">
        <v>1.1856564488143401E-2</v>
      </c>
      <c r="H86" s="65">
        <v>488</v>
      </c>
      <c r="I86" s="67">
        <v>1.14999997421978</v>
      </c>
      <c r="J86" s="67">
        <v>13.6350488557001</v>
      </c>
      <c r="K86" s="65">
        <v>9</v>
      </c>
      <c r="L86" s="65">
        <v>56</v>
      </c>
      <c r="M86" s="66">
        <v>0.105691056910569</v>
      </c>
      <c r="N86" s="67">
        <v>2126.59842375673</v>
      </c>
      <c r="O86" s="67">
        <v>81.792247067566507</v>
      </c>
      <c r="P86" s="67">
        <v>282.89999365806602</v>
      </c>
      <c r="Q86" s="77">
        <v>0.13302934418540099</v>
      </c>
    </row>
    <row r="87" spans="1:17" x14ac:dyDescent="0.35">
      <c r="A87" s="76" t="s">
        <v>136</v>
      </c>
      <c r="B87" s="63">
        <v>28644</v>
      </c>
      <c r="C87" s="63" t="s">
        <v>137</v>
      </c>
      <c r="D87" s="64">
        <v>42637</v>
      </c>
      <c r="E87" s="63" t="s">
        <v>138</v>
      </c>
      <c r="F87" s="65">
        <v>20247</v>
      </c>
      <c r="G87" s="66">
        <v>1.1408199643493801E-2</v>
      </c>
      <c r="H87" s="65">
        <v>343</v>
      </c>
      <c r="I87" s="67">
        <v>1.1500000213272901</v>
      </c>
      <c r="J87" s="67">
        <v>13.1194298333238</v>
      </c>
      <c r="K87" s="65">
        <v>58</v>
      </c>
      <c r="L87" s="65">
        <v>26</v>
      </c>
      <c r="M87" s="66">
        <v>5.46875E-2</v>
      </c>
      <c r="N87" s="67">
        <v>1780.27167060785</v>
      </c>
      <c r="O87" s="67">
        <v>127.162262186275</v>
      </c>
      <c r="P87" s="67">
        <v>294.40000545978501</v>
      </c>
      <c r="Q87" s="77">
        <v>0.165368022375633</v>
      </c>
    </row>
    <row r="88" spans="1:17" x14ac:dyDescent="0.35">
      <c r="A88" s="76" t="s">
        <v>136</v>
      </c>
      <c r="B88" s="63">
        <v>28644</v>
      </c>
      <c r="C88" s="63" t="s">
        <v>137</v>
      </c>
      <c r="D88" s="64">
        <v>42638</v>
      </c>
      <c r="E88" s="63" t="s">
        <v>138</v>
      </c>
      <c r="F88" s="65">
        <v>61702</v>
      </c>
      <c r="G88" s="66">
        <v>1.13665066936095E-2</v>
      </c>
      <c r="H88" s="65">
        <v>592</v>
      </c>
      <c r="I88" s="67">
        <v>1.11488887310028</v>
      </c>
      <c r="J88" s="67">
        <v>12.672391838725099</v>
      </c>
      <c r="K88" s="65">
        <v>42</v>
      </c>
      <c r="L88" s="65">
        <v>29</v>
      </c>
      <c r="M88" s="66">
        <v>0.08</v>
      </c>
      <c r="N88" s="67">
        <v>2489.9903474130401</v>
      </c>
      <c r="O88" s="67">
        <v>138.33279707850201</v>
      </c>
      <c r="P88" s="67">
        <v>250.849996447563</v>
      </c>
      <c r="Q88" s="77">
        <v>0.100743360996633</v>
      </c>
    </row>
    <row r="89" spans="1:17" x14ac:dyDescent="0.35">
      <c r="A89" s="76" t="s">
        <v>136</v>
      </c>
      <c r="B89" s="63">
        <v>28644</v>
      </c>
      <c r="C89" s="63" t="s">
        <v>137</v>
      </c>
      <c r="D89" s="64">
        <v>42639</v>
      </c>
      <c r="E89" s="63" t="s">
        <v>138</v>
      </c>
      <c r="F89" s="65">
        <v>33091</v>
      </c>
      <c r="G89" s="66">
        <v>1.3146447559207301E-2</v>
      </c>
      <c r="H89" s="65">
        <v>272</v>
      </c>
      <c r="I89" s="67">
        <v>1.10147065713125</v>
      </c>
      <c r="J89" s="67">
        <v>14.4804262319816</v>
      </c>
      <c r="K89" s="65">
        <v>78</v>
      </c>
      <c r="L89" s="65">
        <v>30</v>
      </c>
      <c r="M89" s="66">
        <v>5.5147058823529403E-2</v>
      </c>
      <c r="N89" s="67">
        <v>2109.40126788628</v>
      </c>
      <c r="O89" s="67">
        <v>140.62675119241899</v>
      </c>
      <c r="P89" s="67">
        <v>299.60001873969998</v>
      </c>
      <c r="Q89" s="77">
        <v>0.14203083277745199</v>
      </c>
    </row>
    <row r="90" spans="1:17" x14ac:dyDescent="0.35">
      <c r="A90" s="76" t="s">
        <v>136</v>
      </c>
      <c r="B90" s="63">
        <v>28644</v>
      </c>
      <c r="C90" s="63" t="s">
        <v>137</v>
      </c>
      <c r="D90" s="64">
        <v>42640</v>
      </c>
      <c r="E90" s="63" t="s">
        <v>138</v>
      </c>
      <c r="F90" s="65">
        <v>48779</v>
      </c>
      <c r="G90" s="66">
        <v>1.21838371375694E-2</v>
      </c>
      <c r="H90" s="65">
        <v>160</v>
      </c>
      <c r="I90" s="67">
        <v>1.10000005452442</v>
      </c>
      <c r="J90" s="67">
        <v>13.402221515642999</v>
      </c>
      <c r="K90" s="65">
        <v>59</v>
      </c>
      <c r="L90" s="65">
        <v>21</v>
      </c>
      <c r="M90" s="66">
        <v>3.37552742616034E-2</v>
      </c>
      <c r="N90" s="67">
        <v>687.62678561339703</v>
      </c>
      <c r="O90" s="67">
        <v>85.9533482016747</v>
      </c>
      <c r="P90" s="67">
        <v>260.70001292228699</v>
      </c>
      <c r="Q90" s="77">
        <v>0.37913010894875898</v>
      </c>
    </row>
    <row r="91" spans="1:17" x14ac:dyDescent="0.35">
      <c r="A91" s="76" t="s">
        <v>136</v>
      </c>
      <c r="B91" s="63">
        <v>28644</v>
      </c>
      <c r="C91" s="63" t="s">
        <v>137</v>
      </c>
      <c r="D91" s="64">
        <v>42641</v>
      </c>
      <c r="E91" s="63" t="s">
        <v>138</v>
      </c>
      <c r="F91" s="65">
        <v>34191</v>
      </c>
      <c r="G91" s="66">
        <v>1.51987529228371E-2</v>
      </c>
      <c r="H91" s="65">
        <v>367</v>
      </c>
      <c r="I91" s="67">
        <v>1.1326007546086001</v>
      </c>
      <c r="J91" s="67">
        <v>17.214119029515</v>
      </c>
      <c r="K91" s="65">
        <v>19</v>
      </c>
      <c r="L91" s="65">
        <v>30</v>
      </c>
      <c r="M91" s="66">
        <v>6.5934065934065894E-2</v>
      </c>
      <c r="N91" s="67">
        <v>1911.36780108122</v>
      </c>
      <c r="O91" s="67">
        <v>106.187100060068</v>
      </c>
      <c r="P91" s="67">
        <v>309.20000600814802</v>
      </c>
      <c r="Q91" s="77">
        <v>0.161768972896394</v>
      </c>
    </row>
    <row r="92" spans="1:17" x14ac:dyDescent="0.35">
      <c r="A92" s="76" t="s">
        <v>136</v>
      </c>
      <c r="B92" s="63">
        <v>28644</v>
      </c>
      <c r="C92" s="63" t="s">
        <v>137</v>
      </c>
      <c r="D92" s="64">
        <v>42642</v>
      </c>
      <c r="E92" s="63" t="s">
        <v>138</v>
      </c>
      <c r="F92" s="65">
        <v>58529</v>
      </c>
      <c r="G92" s="66">
        <v>1.53605204505753E-2</v>
      </c>
      <c r="H92" s="65">
        <v>162</v>
      </c>
      <c r="I92" s="67">
        <v>1.1490195811963499</v>
      </c>
      <c r="J92" s="67">
        <v>17.649538775078</v>
      </c>
      <c r="K92" s="65">
        <v>13</v>
      </c>
      <c r="L92" s="65">
        <v>25</v>
      </c>
      <c r="M92" s="66">
        <v>5.0980392156862703E-2</v>
      </c>
      <c r="N92" s="67">
        <v>2297.42486006537</v>
      </c>
      <c r="O92" s="67">
        <v>176.72498923579801</v>
      </c>
      <c r="P92" s="67">
        <v>292.99999320507101</v>
      </c>
      <c r="Q92" s="77">
        <v>0.12753409188613599</v>
      </c>
    </row>
    <row r="93" spans="1:17" x14ac:dyDescent="0.35">
      <c r="A93" s="76" t="s">
        <v>136</v>
      </c>
      <c r="B93" s="63">
        <v>28644</v>
      </c>
      <c r="C93" s="63" t="s">
        <v>137</v>
      </c>
      <c r="D93" s="64">
        <v>42643</v>
      </c>
      <c r="E93" s="63" t="s">
        <v>138</v>
      </c>
      <c r="F93" s="65">
        <v>18254</v>
      </c>
      <c r="G93" s="66">
        <v>1.45964233929435E-2</v>
      </c>
      <c r="H93" s="65">
        <v>547</v>
      </c>
      <c r="I93" s="67">
        <v>1.1495032665745299</v>
      </c>
      <c r="J93" s="67">
        <v>16.778636370493398</v>
      </c>
      <c r="K93" s="65">
        <v>90</v>
      </c>
      <c r="L93" s="65">
        <v>32</v>
      </c>
      <c r="M93" s="66">
        <v>5.2980132450331098E-2</v>
      </c>
      <c r="N93" s="67">
        <v>1641.94377707745</v>
      </c>
      <c r="O93" s="67">
        <v>102.621486067341</v>
      </c>
      <c r="P93" s="67">
        <v>347.14998650550802</v>
      </c>
      <c r="Q93" s="77">
        <v>0.211426232342383</v>
      </c>
    </row>
    <row r="94" spans="1:17" x14ac:dyDescent="0.35">
      <c r="A94" s="76" t="s">
        <v>136</v>
      </c>
      <c r="B94" s="63">
        <v>28644</v>
      </c>
      <c r="C94" s="63" t="s">
        <v>137</v>
      </c>
      <c r="D94" s="64">
        <v>42644</v>
      </c>
      <c r="E94" s="63" t="s">
        <v>138</v>
      </c>
      <c r="F94" s="65">
        <v>67524</v>
      </c>
      <c r="G94" s="66">
        <v>1.20500247082526E-2</v>
      </c>
      <c r="H94" s="65">
        <v>190</v>
      </c>
      <c r="I94" s="67">
        <v>1.14968452280628</v>
      </c>
      <c r="J94" s="67">
        <v>13.8537269065112</v>
      </c>
      <c r="K94" s="65">
        <v>42</v>
      </c>
      <c r="L94" s="65">
        <v>37</v>
      </c>
      <c r="M94" s="66">
        <v>3.7854889589905398E-2</v>
      </c>
      <c r="N94" s="67">
        <v>1263.0346209895899</v>
      </c>
      <c r="O94" s="67">
        <v>105.25288508246599</v>
      </c>
      <c r="P94" s="67">
        <v>364.44999372959097</v>
      </c>
      <c r="Q94" s="77">
        <v>0.28855107189702001</v>
      </c>
    </row>
    <row r="95" spans="1:17" x14ac:dyDescent="0.35">
      <c r="A95" s="76" t="s">
        <v>136</v>
      </c>
      <c r="B95" s="63">
        <v>28644</v>
      </c>
      <c r="C95" s="63" t="s">
        <v>137</v>
      </c>
      <c r="D95" s="64">
        <v>42645</v>
      </c>
      <c r="E95" s="63" t="s">
        <v>138</v>
      </c>
      <c r="F95" s="65">
        <v>17620</v>
      </c>
      <c r="G95" s="66">
        <v>1.11304718893354E-2</v>
      </c>
      <c r="H95" s="65">
        <v>204</v>
      </c>
      <c r="I95" s="67">
        <v>1.14968047088708</v>
      </c>
      <c r="J95" s="67">
        <v>12.796486162926501</v>
      </c>
      <c r="K95" s="65">
        <v>21</v>
      </c>
      <c r="L95" s="65">
        <v>32</v>
      </c>
      <c r="M95" s="66">
        <v>7.0287539936102206E-2</v>
      </c>
      <c r="N95" s="67">
        <v>1733.0770131849699</v>
      </c>
      <c r="O95" s="67">
        <v>78.776227872044302</v>
      </c>
      <c r="P95" s="67">
        <v>359.84998738765699</v>
      </c>
      <c r="Q95" s="77">
        <v>0.20763646661399099</v>
      </c>
    </row>
    <row r="96" spans="1:17" x14ac:dyDescent="0.35">
      <c r="A96" s="76" t="s">
        <v>136</v>
      </c>
      <c r="B96" s="63">
        <v>28644</v>
      </c>
      <c r="C96" s="63" t="s">
        <v>137</v>
      </c>
      <c r="D96" s="64">
        <v>42646</v>
      </c>
      <c r="E96" s="63" t="s">
        <v>138</v>
      </c>
      <c r="F96" s="65">
        <v>58853</v>
      </c>
      <c r="G96" s="66">
        <v>1.0864841373315901E-2</v>
      </c>
      <c r="H96" s="65">
        <v>278</v>
      </c>
      <c r="I96" s="67">
        <v>1.1499999968210901</v>
      </c>
      <c r="J96" s="67">
        <v>12.494567544774901</v>
      </c>
      <c r="K96" s="65">
        <v>71</v>
      </c>
      <c r="L96" s="65">
        <v>19</v>
      </c>
      <c r="M96" s="66">
        <v>2.33333333333333E-2</v>
      </c>
      <c r="N96" s="67">
        <v>998.93957618775403</v>
      </c>
      <c r="O96" s="67">
        <v>142.70565374110799</v>
      </c>
      <c r="P96" s="67">
        <v>344.99999904632602</v>
      </c>
      <c r="Q96" s="77">
        <v>0.34536623362440699</v>
      </c>
    </row>
    <row r="97" spans="1:17" x14ac:dyDescent="0.35">
      <c r="A97" s="76" t="s">
        <v>136</v>
      </c>
      <c r="B97" s="63">
        <v>28644</v>
      </c>
      <c r="C97" s="63" t="s">
        <v>137</v>
      </c>
      <c r="D97" s="64">
        <v>42647</v>
      </c>
      <c r="E97" s="63" t="s">
        <v>138</v>
      </c>
      <c r="F97" s="65">
        <v>30486</v>
      </c>
      <c r="G97" s="66">
        <v>9.7101310628527702E-3</v>
      </c>
      <c r="H97" s="65">
        <v>364</v>
      </c>
      <c r="I97" s="67">
        <v>1.0545320387544299</v>
      </c>
      <c r="J97" s="67">
        <v>10.2396443062829</v>
      </c>
      <c r="K97" s="65">
        <v>34</v>
      </c>
      <c r="L97" s="65">
        <v>29</v>
      </c>
      <c r="M97" s="66">
        <v>6.4039408866995107E-2</v>
      </c>
      <c r="N97" s="67">
        <v>943.708045611579</v>
      </c>
      <c r="O97" s="67">
        <v>72.592926585506106</v>
      </c>
      <c r="P97" s="67">
        <v>214.07000386714901</v>
      </c>
      <c r="Q97" s="77">
        <v>0.22683922730405401</v>
      </c>
    </row>
    <row r="98" spans="1:17" x14ac:dyDescent="0.35">
      <c r="A98" s="76" t="s">
        <v>136</v>
      </c>
      <c r="B98" s="63">
        <v>28644</v>
      </c>
      <c r="C98" s="63" t="s">
        <v>137</v>
      </c>
      <c r="D98" s="64">
        <v>42648</v>
      </c>
      <c r="E98" s="63" t="s">
        <v>138</v>
      </c>
      <c r="F98" s="65">
        <v>49940</v>
      </c>
      <c r="G98" s="66">
        <v>1.12783983595057E-2</v>
      </c>
      <c r="H98" s="65">
        <v>494</v>
      </c>
      <c r="I98" s="67">
        <v>0.990574172809364</v>
      </c>
      <c r="J98" s="67">
        <v>11.1720901255818</v>
      </c>
      <c r="K98" s="65">
        <v>44</v>
      </c>
      <c r="L98" s="65">
        <v>28</v>
      </c>
      <c r="M98" s="66">
        <v>5.2631578947368397E-2</v>
      </c>
      <c r="N98" s="67">
        <v>667.99224497531202</v>
      </c>
      <c r="O98" s="67">
        <v>60.726567725028303</v>
      </c>
      <c r="P98" s="67">
        <v>207.03000211715701</v>
      </c>
      <c r="Q98" s="77">
        <v>0.30992875093154498</v>
      </c>
    </row>
    <row r="99" spans="1:17" x14ac:dyDescent="0.35">
      <c r="A99" s="76" t="s">
        <v>136</v>
      </c>
      <c r="B99" s="63">
        <v>28644</v>
      </c>
      <c r="C99" s="63" t="s">
        <v>137</v>
      </c>
      <c r="D99" s="64">
        <v>42649</v>
      </c>
      <c r="E99" s="63" t="s">
        <v>138</v>
      </c>
      <c r="F99" s="65">
        <v>12646</v>
      </c>
      <c r="G99" s="66">
        <v>1.1848341232227499E-2</v>
      </c>
      <c r="H99" s="65">
        <v>164</v>
      </c>
      <c r="I99" s="67">
        <v>0.98091894355980103</v>
      </c>
      <c r="J99" s="67">
        <v>11.622262364452601</v>
      </c>
      <c r="K99" s="65">
        <v>65</v>
      </c>
      <c r="L99" s="65">
        <v>30</v>
      </c>
      <c r="M99" s="66">
        <v>7.5675675675675694E-2</v>
      </c>
      <c r="N99" s="67">
        <v>1636.0734688093701</v>
      </c>
      <c r="O99" s="67">
        <v>116.86239062924101</v>
      </c>
      <c r="P99" s="67">
        <v>181.47000455856301</v>
      </c>
      <c r="Q99" s="77">
        <v>0.110918004611752</v>
      </c>
    </row>
    <row r="100" spans="1:17" x14ac:dyDescent="0.35">
      <c r="A100" s="76" t="s">
        <v>136</v>
      </c>
      <c r="B100" s="63">
        <v>28644</v>
      </c>
      <c r="C100" s="63" t="s">
        <v>137</v>
      </c>
      <c r="D100" s="64">
        <v>42650</v>
      </c>
      <c r="E100" s="63" t="s">
        <v>138</v>
      </c>
      <c r="F100" s="65">
        <v>58675</v>
      </c>
      <c r="G100" s="66">
        <v>1.25497706768812E-2</v>
      </c>
      <c r="H100" s="65">
        <v>566</v>
      </c>
      <c r="I100" s="67">
        <v>0.98068272923848698</v>
      </c>
      <c r="J100" s="67">
        <v>12.307343358721001</v>
      </c>
      <c r="K100" s="65">
        <v>69</v>
      </c>
      <c r="L100" s="65">
        <v>50</v>
      </c>
      <c r="M100" s="66">
        <v>8.4337349397590397E-2</v>
      </c>
      <c r="N100" s="67">
        <v>1693.3112415840999</v>
      </c>
      <c r="O100" s="67">
        <v>80.6338686468617</v>
      </c>
      <c r="P100" s="67">
        <v>244.18999958038299</v>
      </c>
      <c r="Q100" s="77">
        <v>0.14420857405514101</v>
      </c>
    </row>
    <row r="101" spans="1:17" x14ac:dyDescent="0.35">
      <c r="A101" s="76" t="s">
        <v>136</v>
      </c>
      <c r="B101" s="63">
        <v>28644</v>
      </c>
      <c r="C101" s="63" t="s">
        <v>137</v>
      </c>
      <c r="D101" s="64">
        <v>42651</v>
      </c>
      <c r="E101" s="63" t="s">
        <v>138</v>
      </c>
      <c r="F101" s="65">
        <v>14252</v>
      </c>
      <c r="G101" s="66">
        <v>1.04142451996839E-2</v>
      </c>
      <c r="H101" s="65">
        <v>231</v>
      </c>
      <c r="I101" s="67">
        <v>0.98075892456940195</v>
      </c>
      <c r="J101" s="67">
        <v>10.213863922244</v>
      </c>
      <c r="K101" s="65">
        <v>90</v>
      </c>
      <c r="L101" s="65">
        <v>34</v>
      </c>
      <c r="M101" s="66">
        <v>6.6964285714285698E-2</v>
      </c>
      <c r="N101" s="67">
        <v>1562.91978188141</v>
      </c>
      <c r="O101" s="67">
        <v>104.194652125427</v>
      </c>
      <c r="P101" s="67">
        <v>219.689999103546</v>
      </c>
      <c r="Q101" s="77">
        <v>0.140563835489425</v>
      </c>
    </row>
    <row r="102" spans="1:17" x14ac:dyDescent="0.35">
      <c r="A102" s="76" t="s">
        <v>136</v>
      </c>
      <c r="B102" s="63">
        <v>28644</v>
      </c>
      <c r="C102" s="63" t="s">
        <v>137</v>
      </c>
      <c r="D102" s="64">
        <v>42652</v>
      </c>
      <c r="E102" s="63" t="s">
        <v>138</v>
      </c>
      <c r="F102" s="65">
        <v>22743</v>
      </c>
      <c r="G102" s="66">
        <v>1.10709762161655E-2</v>
      </c>
      <c r="H102" s="65">
        <v>160</v>
      </c>
      <c r="I102" s="67">
        <v>0.98072033211336296</v>
      </c>
      <c r="J102" s="67">
        <v>10.857531471536999</v>
      </c>
      <c r="K102" s="65">
        <v>44</v>
      </c>
      <c r="L102" s="65">
        <v>41</v>
      </c>
      <c r="M102" s="66">
        <v>0.101694915254237</v>
      </c>
      <c r="N102" s="67">
        <v>1696.5359215518999</v>
      </c>
      <c r="O102" s="67">
        <v>70.688996731328999</v>
      </c>
      <c r="P102" s="67">
        <v>231.449998378754</v>
      </c>
      <c r="Q102" s="77">
        <v>0.13642505026774601</v>
      </c>
    </row>
    <row r="103" spans="1:17" x14ac:dyDescent="0.35">
      <c r="A103" s="76" t="s">
        <v>136</v>
      </c>
      <c r="B103" s="63">
        <v>28644</v>
      </c>
      <c r="C103" s="63" t="s">
        <v>137</v>
      </c>
      <c r="D103" s="64">
        <v>42653</v>
      </c>
      <c r="E103" s="63" t="s">
        <v>138</v>
      </c>
      <c r="F103" s="65">
        <v>60871</v>
      </c>
      <c r="G103" s="66">
        <v>1.32849039705443E-2</v>
      </c>
      <c r="H103" s="65">
        <v>376</v>
      </c>
      <c r="I103" s="67">
        <v>0.99737825465112995</v>
      </c>
      <c r="J103" s="67">
        <v>13.250074335349399</v>
      </c>
      <c r="K103" s="65">
        <v>94</v>
      </c>
      <c r="L103" s="65">
        <v>23</v>
      </c>
      <c r="M103" s="66">
        <v>5.6179775280898903E-2</v>
      </c>
      <c r="N103" s="67">
        <v>1380.3906405338701</v>
      </c>
      <c r="O103" s="67">
        <v>92.026042702257897</v>
      </c>
      <c r="P103" s="67">
        <v>266.29999399185198</v>
      </c>
      <c r="Q103" s="77">
        <v>0.192916400743532</v>
      </c>
    </row>
    <row r="104" spans="1:17" x14ac:dyDescent="0.35">
      <c r="A104" s="76" t="s">
        <v>136</v>
      </c>
      <c r="B104" s="63">
        <v>28644</v>
      </c>
      <c r="C104" s="63" t="s">
        <v>137</v>
      </c>
      <c r="D104" s="64">
        <v>42654</v>
      </c>
      <c r="E104" s="63" t="s">
        <v>138</v>
      </c>
      <c r="F104" s="65">
        <v>61029</v>
      </c>
      <c r="G104" s="66">
        <v>1.10196616369456E-2</v>
      </c>
      <c r="H104" s="65">
        <v>437</v>
      </c>
      <c r="I104" s="67">
        <v>1.0186721774057701</v>
      </c>
      <c r="J104" s="67">
        <v>11.2254227139822</v>
      </c>
      <c r="K104" s="65">
        <v>66</v>
      </c>
      <c r="L104" s="65">
        <v>25</v>
      </c>
      <c r="M104" s="66">
        <v>5.39419087136929E-2</v>
      </c>
      <c r="N104" s="67">
        <v>1341.33083738595</v>
      </c>
      <c r="O104" s="67">
        <v>103.17929518353399</v>
      </c>
      <c r="P104" s="67">
        <v>245.499994754791</v>
      </c>
      <c r="Q104" s="77">
        <v>0.183027175631952</v>
      </c>
    </row>
    <row r="105" spans="1:17" x14ac:dyDescent="0.35">
      <c r="A105" s="76" t="s">
        <v>136</v>
      </c>
      <c r="B105" s="63">
        <v>28644</v>
      </c>
      <c r="C105" s="63" t="s">
        <v>137</v>
      </c>
      <c r="D105" s="64">
        <v>42655</v>
      </c>
      <c r="E105" s="63" t="s">
        <v>138</v>
      </c>
      <c r="F105" s="65">
        <v>62103</v>
      </c>
      <c r="G105" s="66">
        <v>1.19065791482216E-2</v>
      </c>
      <c r="H105" s="65">
        <v>291</v>
      </c>
      <c r="I105" s="67">
        <v>0.99876069615029905</v>
      </c>
      <c r="J105" s="67">
        <v>11.8918232788465</v>
      </c>
      <c r="K105" s="65">
        <v>92</v>
      </c>
      <c r="L105" s="65">
        <v>15</v>
      </c>
      <c r="M105" s="66">
        <v>4.2735042735042701E-2</v>
      </c>
      <c r="N105" s="67">
        <v>835.71934624163202</v>
      </c>
      <c r="O105" s="67">
        <v>83.571934624163205</v>
      </c>
      <c r="P105" s="67">
        <v>233.71000289917001</v>
      </c>
      <c r="Q105" s="77">
        <v>0.27965130154064599</v>
      </c>
    </row>
    <row r="106" spans="1:17" x14ac:dyDescent="0.35">
      <c r="A106" s="76" t="s">
        <v>136</v>
      </c>
      <c r="B106" s="63">
        <v>28644</v>
      </c>
      <c r="C106" s="63" t="s">
        <v>137</v>
      </c>
      <c r="D106" s="64">
        <v>42656</v>
      </c>
      <c r="E106" s="63" t="s">
        <v>138</v>
      </c>
      <c r="F106" s="65">
        <v>52106</v>
      </c>
      <c r="G106" s="66">
        <v>1.18503888408838E-2</v>
      </c>
      <c r="H106" s="65">
        <v>273</v>
      </c>
      <c r="I106" s="67">
        <v>0.95911460369825396</v>
      </c>
      <c r="J106" s="67">
        <v>11.3658809967945</v>
      </c>
      <c r="K106" s="65">
        <v>69</v>
      </c>
      <c r="L106" s="65">
        <v>20</v>
      </c>
      <c r="M106" s="66">
        <v>6.7708333333333301E-2</v>
      </c>
      <c r="N106" s="67">
        <v>1506.2301375495999</v>
      </c>
      <c r="O106" s="67">
        <v>115.863856734584</v>
      </c>
      <c r="P106" s="67">
        <v>184.15000391006501</v>
      </c>
      <c r="Q106" s="77">
        <v>0.122258876196468</v>
      </c>
    </row>
    <row r="107" spans="1:17" x14ac:dyDescent="0.35">
      <c r="A107" s="76" t="s">
        <v>136</v>
      </c>
      <c r="B107" s="63">
        <v>28644</v>
      </c>
      <c r="C107" s="63" t="s">
        <v>137</v>
      </c>
      <c r="D107" s="64">
        <v>42657</v>
      </c>
      <c r="E107" s="63" t="s">
        <v>138</v>
      </c>
      <c r="F107" s="65">
        <v>3529</v>
      </c>
      <c r="G107" s="66">
        <v>1.1096534382857799E-2</v>
      </c>
      <c r="H107" s="65">
        <v>225</v>
      </c>
      <c r="I107" s="67">
        <v>0.95014777530003103</v>
      </c>
      <c r="J107" s="67">
        <v>10.543347457412599</v>
      </c>
      <c r="K107" s="65">
        <v>40</v>
      </c>
      <c r="L107" s="65">
        <v>30</v>
      </c>
      <c r="M107" s="66">
        <v>8.8669950738916301E-2</v>
      </c>
      <c r="N107" s="67">
        <v>1834.79144574054</v>
      </c>
      <c r="O107" s="67">
        <v>101.932858096697</v>
      </c>
      <c r="P107" s="67">
        <v>192.87999838590599</v>
      </c>
      <c r="Q107" s="77">
        <v>0.1051236634189</v>
      </c>
    </row>
    <row r="108" spans="1:17" x14ac:dyDescent="0.35">
      <c r="A108" s="76" t="s">
        <v>136</v>
      </c>
      <c r="B108" s="63">
        <v>28644</v>
      </c>
      <c r="C108" s="63" t="s">
        <v>137</v>
      </c>
      <c r="D108" s="64">
        <v>42658</v>
      </c>
      <c r="E108" s="63" t="s">
        <v>138</v>
      </c>
      <c r="F108" s="65">
        <v>49751</v>
      </c>
      <c r="G108" s="66">
        <v>9.0629952456418392E-3</v>
      </c>
      <c r="H108" s="65">
        <v>587</v>
      </c>
      <c r="I108" s="67">
        <v>0.95114756119055799</v>
      </c>
      <c r="J108" s="67">
        <v>8.6202458249738605</v>
      </c>
      <c r="K108" s="65">
        <v>33</v>
      </c>
      <c r="L108" s="65">
        <v>28</v>
      </c>
      <c r="M108" s="66">
        <v>4.91803278688525E-2</v>
      </c>
      <c r="N108" s="67">
        <v>695.60799930743804</v>
      </c>
      <c r="O108" s="67">
        <v>77.289777700826406</v>
      </c>
      <c r="P108" s="67">
        <v>174.06000369787199</v>
      </c>
      <c r="Q108" s="77">
        <v>0.25022714498851401</v>
      </c>
    </row>
    <row r="109" spans="1:17" x14ac:dyDescent="0.35">
      <c r="A109" s="76" t="s">
        <v>136</v>
      </c>
      <c r="B109" s="63">
        <v>28644</v>
      </c>
      <c r="C109" s="63" t="s">
        <v>137</v>
      </c>
      <c r="D109" s="64">
        <v>42659</v>
      </c>
      <c r="E109" s="63" t="s">
        <v>138</v>
      </c>
      <c r="F109" s="65">
        <v>65766</v>
      </c>
      <c r="G109" s="66">
        <v>1.2539636782934601E-2</v>
      </c>
      <c r="H109" s="65">
        <v>567</v>
      </c>
      <c r="I109" s="67">
        <v>0.95000001114446997</v>
      </c>
      <c r="J109" s="67">
        <v>11.9126550835354</v>
      </c>
      <c r="K109" s="65">
        <v>94</v>
      </c>
      <c r="L109" s="65">
        <v>38</v>
      </c>
      <c r="M109" s="66">
        <v>0.10727969348659</v>
      </c>
      <c r="N109" s="67">
        <v>2088.80772730536</v>
      </c>
      <c r="O109" s="67">
        <v>74.600275975191593</v>
      </c>
      <c r="P109" s="67">
        <v>247.95000290870701</v>
      </c>
      <c r="Q109" s="77">
        <v>0.11870408159997101</v>
      </c>
    </row>
    <row r="110" spans="1:17" x14ac:dyDescent="0.35">
      <c r="A110" s="76" t="s">
        <v>136</v>
      </c>
      <c r="B110" s="63">
        <v>28644</v>
      </c>
      <c r="C110" s="63" t="s">
        <v>137</v>
      </c>
      <c r="D110" s="64">
        <v>42660</v>
      </c>
      <c r="E110" s="63" t="s">
        <v>138</v>
      </c>
      <c r="F110" s="65">
        <v>33510</v>
      </c>
      <c r="G110" s="66">
        <v>1.23387285948862E-2</v>
      </c>
      <c r="H110" s="65">
        <v>547</v>
      </c>
      <c r="I110" s="67">
        <v>0.98102664584896004</v>
      </c>
      <c r="J110" s="67">
        <v>12.1046215274819</v>
      </c>
      <c r="K110" s="65">
        <v>22</v>
      </c>
      <c r="L110" s="65">
        <v>18</v>
      </c>
      <c r="M110" s="66">
        <v>4.1825095057034203E-2</v>
      </c>
      <c r="N110" s="67">
        <v>1249.6599168396499</v>
      </c>
      <c r="O110" s="67">
        <v>113.605446985423</v>
      </c>
      <c r="P110" s="67">
        <v>258.01000785827603</v>
      </c>
      <c r="Q110" s="77">
        <v>0.20646417827881899</v>
      </c>
    </row>
    <row r="111" spans="1:17" x14ac:dyDescent="0.35">
      <c r="A111" s="76" t="s">
        <v>136</v>
      </c>
      <c r="B111" s="63">
        <v>28644</v>
      </c>
      <c r="C111" s="63" t="s">
        <v>137</v>
      </c>
      <c r="D111" s="64">
        <v>42661</v>
      </c>
      <c r="E111" s="63" t="s">
        <v>138</v>
      </c>
      <c r="F111" s="65">
        <v>55648</v>
      </c>
      <c r="G111" s="66">
        <v>1.3471013733095699E-2</v>
      </c>
      <c r="H111" s="65">
        <v>506</v>
      </c>
      <c r="I111" s="67">
        <v>0.99000001417523698</v>
      </c>
      <c r="J111" s="67">
        <v>13.336303786719601</v>
      </c>
      <c r="K111" s="65">
        <v>94</v>
      </c>
      <c r="L111" s="65">
        <v>26</v>
      </c>
      <c r="M111" s="66">
        <v>5.83657587548638E-2</v>
      </c>
      <c r="N111" s="67">
        <v>923.56319771338894</v>
      </c>
      <c r="O111" s="67">
        <v>61.570879847559297</v>
      </c>
      <c r="P111" s="67">
        <v>254.430003643036</v>
      </c>
      <c r="Q111" s="77">
        <v>0.27548737787838301</v>
      </c>
    </row>
    <row r="112" spans="1:17" x14ac:dyDescent="0.35">
      <c r="A112" s="76" t="s">
        <v>136</v>
      </c>
      <c r="B112" s="63">
        <v>28644</v>
      </c>
      <c r="C112" s="63" t="s">
        <v>137</v>
      </c>
      <c r="D112" s="64">
        <v>42662</v>
      </c>
      <c r="E112" s="63" t="s">
        <v>138</v>
      </c>
      <c r="F112" s="65">
        <v>20610</v>
      </c>
      <c r="G112" s="66">
        <v>1.4831848232250601E-2</v>
      </c>
      <c r="H112" s="65">
        <v>556</v>
      </c>
      <c r="I112" s="67">
        <v>0.93368217141129295</v>
      </c>
      <c r="J112" s="67">
        <v>13.8482322635305</v>
      </c>
      <c r="K112" s="65">
        <v>45</v>
      </c>
      <c r="L112" s="65">
        <v>29</v>
      </c>
      <c r="M112" s="66">
        <v>6.2015503875968998E-2</v>
      </c>
      <c r="N112" s="67">
        <v>1912.3080628800601</v>
      </c>
      <c r="O112" s="67">
        <v>119.519253930004</v>
      </c>
      <c r="P112" s="67">
        <v>240.89000022411301</v>
      </c>
      <c r="Q112" s="77">
        <v>0.12596819775016599</v>
      </c>
    </row>
    <row r="113" spans="1:17" x14ac:dyDescent="0.35">
      <c r="A113" s="76" t="s">
        <v>136</v>
      </c>
      <c r="B113" s="63">
        <v>28644</v>
      </c>
      <c r="C113" s="63" t="s">
        <v>137</v>
      </c>
      <c r="D113" s="64">
        <v>42663</v>
      </c>
      <c r="E113" s="63" t="s">
        <v>138</v>
      </c>
      <c r="F113" s="65">
        <v>18492</v>
      </c>
      <c r="G113" s="66">
        <v>1.8660405338605999E-2</v>
      </c>
      <c r="H113" s="65">
        <v>329</v>
      </c>
      <c r="I113" s="67">
        <v>0.90298006313526102</v>
      </c>
      <c r="J113" s="67">
        <v>16.849973990784001</v>
      </c>
      <c r="K113" s="65">
        <v>63</v>
      </c>
      <c r="L113" s="65">
        <v>18</v>
      </c>
      <c r="M113" s="66">
        <v>2.6490066225165601E-2</v>
      </c>
      <c r="N113" s="67">
        <v>816.365333360259</v>
      </c>
      <c r="O113" s="67">
        <v>102.04566667003201</v>
      </c>
      <c r="P113" s="67">
        <v>272.69997906684898</v>
      </c>
      <c r="Q113" s="77">
        <v>0.33404159623533097</v>
      </c>
    </row>
    <row r="114" spans="1:17" x14ac:dyDescent="0.35">
      <c r="A114" s="76" t="s">
        <v>136</v>
      </c>
      <c r="B114" s="63">
        <v>28644</v>
      </c>
      <c r="C114" s="63" t="s">
        <v>137</v>
      </c>
      <c r="D114" s="64">
        <v>42664</v>
      </c>
      <c r="E114" s="63" t="s">
        <v>138</v>
      </c>
      <c r="F114" s="65">
        <v>5361</v>
      </c>
      <c r="G114" s="66">
        <v>1.44547254062514E-2</v>
      </c>
      <c r="H114" s="65">
        <v>452</v>
      </c>
      <c r="I114" s="67">
        <v>0.90028657237435605</v>
      </c>
      <c r="J114" s="67">
        <v>13.0133951906066</v>
      </c>
      <c r="K114" s="65">
        <v>55</v>
      </c>
      <c r="L114" s="65">
        <v>35</v>
      </c>
      <c r="M114" s="66">
        <v>6.6878980891719703E-2</v>
      </c>
      <c r="N114" s="67">
        <v>2219.08531580008</v>
      </c>
      <c r="O114" s="67">
        <v>105.670729323814</v>
      </c>
      <c r="P114" s="67">
        <v>282.68998372554802</v>
      </c>
      <c r="Q114" s="77">
        <v>0.12739031785428401</v>
      </c>
    </row>
    <row r="115" spans="1:17" x14ac:dyDescent="0.35">
      <c r="A115" s="76" t="s">
        <v>136</v>
      </c>
      <c r="B115" s="63">
        <v>28644</v>
      </c>
      <c r="C115" s="63" t="s">
        <v>137</v>
      </c>
      <c r="D115" s="64">
        <v>42665</v>
      </c>
      <c r="E115" s="63" t="s">
        <v>138</v>
      </c>
      <c r="F115" s="65">
        <v>41251</v>
      </c>
      <c r="G115" s="66">
        <v>1.30501742725136E-2</v>
      </c>
      <c r="H115" s="65">
        <v>511</v>
      </c>
      <c r="I115" s="67">
        <v>0.90027948936320201</v>
      </c>
      <c r="J115" s="67">
        <v>11.748804230159299</v>
      </c>
      <c r="K115" s="65">
        <v>78</v>
      </c>
      <c r="L115" s="65">
        <v>28</v>
      </c>
      <c r="M115" s="66">
        <v>5.9006211180124203E-2</v>
      </c>
      <c r="N115" s="67">
        <v>1836.9092027725501</v>
      </c>
      <c r="O115" s="67">
        <v>96.679431724871307</v>
      </c>
      <c r="P115" s="67">
        <v>289.889995574951</v>
      </c>
      <c r="Q115" s="77">
        <v>0.157814003619451</v>
      </c>
    </row>
    <row r="116" spans="1:17" x14ac:dyDescent="0.35">
      <c r="A116" s="76" t="s">
        <v>136</v>
      </c>
      <c r="B116" s="63">
        <v>28644</v>
      </c>
      <c r="C116" s="63" t="s">
        <v>137</v>
      </c>
      <c r="D116" s="64">
        <v>42666</v>
      </c>
      <c r="E116" s="63" t="s">
        <v>138</v>
      </c>
      <c r="F116" s="65">
        <v>66168</v>
      </c>
      <c r="G116" s="66">
        <v>1.54204904468181E-2</v>
      </c>
      <c r="H116" s="65">
        <v>244</v>
      </c>
      <c r="I116" s="67">
        <v>0.89999998284549199</v>
      </c>
      <c r="J116" s="67">
        <v>13.8784411376054</v>
      </c>
      <c r="K116" s="65">
        <v>79</v>
      </c>
      <c r="L116" s="65">
        <v>30</v>
      </c>
      <c r="M116" s="66">
        <v>3.1707317073170697E-2</v>
      </c>
      <c r="N116" s="67">
        <v>1059.8165890318501</v>
      </c>
      <c r="O116" s="67">
        <v>81.524353002449701</v>
      </c>
      <c r="P116" s="67">
        <v>368.99999296665197</v>
      </c>
      <c r="Q116" s="77">
        <v>0.348173445089907</v>
      </c>
    </row>
    <row r="117" spans="1:17" x14ac:dyDescent="0.35">
      <c r="A117" s="76" t="s">
        <v>136</v>
      </c>
      <c r="B117" s="63">
        <v>28644</v>
      </c>
      <c r="C117" s="63" t="s">
        <v>137</v>
      </c>
      <c r="D117" s="64">
        <v>42667</v>
      </c>
      <c r="E117" s="63" t="s">
        <v>138</v>
      </c>
      <c r="F117" s="65">
        <v>48897</v>
      </c>
      <c r="G117" s="66">
        <v>1.4504765851637E-2</v>
      </c>
      <c r="H117" s="65">
        <v>166</v>
      </c>
      <c r="I117" s="67">
        <v>0.89999999829701005</v>
      </c>
      <c r="J117" s="67">
        <v>13.0542892417718</v>
      </c>
      <c r="K117" s="65">
        <v>39</v>
      </c>
      <c r="L117" s="65">
        <v>33</v>
      </c>
      <c r="M117" s="66">
        <v>4.0476190476190499E-2</v>
      </c>
      <c r="N117" s="67">
        <v>2178.9065347875799</v>
      </c>
      <c r="O117" s="67">
        <v>128.17097263456401</v>
      </c>
      <c r="P117" s="67">
        <v>377.99999928474398</v>
      </c>
      <c r="Q117" s="77">
        <v>0.17348151159755701</v>
      </c>
    </row>
    <row r="118" spans="1:17" x14ac:dyDescent="0.35">
      <c r="A118" s="76" t="s">
        <v>136</v>
      </c>
      <c r="B118" s="63">
        <v>28644</v>
      </c>
      <c r="C118" s="63" t="s">
        <v>137</v>
      </c>
      <c r="D118" s="64">
        <v>42668</v>
      </c>
      <c r="E118" s="63" t="s">
        <v>138</v>
      </c>
      <c r="F118" s="65">
        <v>38631</v>
      </c>
      <c r="G118" s="66">
        <v>1.0916806406351599E-2</v>
      </c>
      <c r="H118" s="65">
        <v>375</v>
      </c>
      <c r="I118" s="67">
        <v>0.89329155261240001</v>
      </c>
      <c r="J118" s="67">
        <v>9.75189094429882</v>
      </c>
      <c r="K118" s="65">
        <v>51</v>
      </c>
      <c r="L118" s="65">
        <v>27</v>
      </c>
      <c r="M118" s="66">
        <v>2.5078369905956101E-2</v>
      </c>
      <c r="N118" s="67">
        <v>741.32245772716703</v>
      </c>
      <c r="O118" s="67">
        <v>92.665307215895893</v>
      </c>
      <c r="P118" s="67">
        <v>284.960005283356</v>
      </c>
      <c r="Q118" s="77">
        <v>0.38439413552507101</v>
      </c>
    </row>
    <row r="119" spans="1:17" x14ac:dyDescent="0.35">
      <c r="A119" s="76" t="s">
        <v>136</v>
      </c>
      <c r="B119" s="63">
        <v>28644</v>
      </c>
      <c r="C119" s="63" t="s">
        <v>137</v>
      </c>
      <c r="D119" s="64">
        <v>42669</v>
      </c>
      <c r="E119" s="63" t="s">
        <v>138</v>
      </c>
      <c r="F119" s="65">
        <v>64090</v>
      </c>
      <c r="G119" s="66">
        <v>1.03871199712357E-2</v>
      </c>
      <c r="H119" s="65">
        <v>154</v>
      </c>
      <c r="I119" s="67">
        <v>0.88092304651553799</v>
      </c>
      <c r="J119" s="67">
        <v>9.1502533695833108</v>
      </c>
      <c r="K119" s="65">
        <v>54</v>
      </c>
      <c r="L119" s="65">
        <v>34</v>
      </c>
      <c r="M119" s="66">
        <v>7.3076923076923095E-2</v>
      </c>
      <c r="N119" s="67">
        <v>2046.5907733657</v>
      </c>
      <c r="O119" s="67">
        <v>107.71530386135299</v>
      </c>
      <c r="P119" s="67">
        <v>229.03999209404</v>
      </c>
      <c r="Q119" s="77">
        <v>0.111912940815899</v>
      </c>
    </row>
    <row r="120" spans="1:17" x14ac:dyDescent="0.35">
      <c r="A120" s="76" t="s">
        <v>136</v>
      </c>
      <c r="B120" s="63">
        <v>28644</v>
      </c>
      <c r="C120" s="63" t="s">
        <v>137</v>
      </c>
      <c r="D120" s="64">
        <v>42670</v>
      </c>
      <c r="E120" s="63" t="s">
        <v>138</v>
      </c>
      <c r="F120" s="65">
        <v>67002</v>
      </c>
      <c r="G120" s="66">
        <v>1.28375977256574E-2</v>
      </c>
      <c r="H120" s="65">
        <v>227</v>
      </c>
      <c r="I120" s="67">
        <v>0.88006922076730199</v>
      </c>
      <c r="J120" s="67">
        <v>11.2979746269434</v>
      </c>
      <c r="K120" s="65">
        <v>51</v>
      </c>
      <c r="L120" s="65">
        <v>22</v>
      </c>
      <c r="M120" s="66">
        <v>4.4982698961937698E-2</v>
      </c>
      <c r="N120" s="67">
        <v>1129.63733423637</v>
      </c>
      <c r="O120" s="67">
        <v>86.895179556643797</v>
      </c>
      <c r="P120" s="67">
        <v>254.34000480175001</v>
      </c>
      <c r="Q120" s="77">
        <v>0.22515191123147801</v>
      </c>
    </row>
    <row r="121" spans="1:17" x14ac:dyDescent="0.35">
      <c r="A121" s="76" t="s">
        <v>136</v>
      </c>
      <c r="B121" s="63">
        <v>28644</v>
      </c>
      <c r="C121" s="63" t="s">
        <v>137</v>
      </c>
      <c r="D121" s="64">
        <v>42671</v>
      </c>
      <c r="E121" s="63" t="s">
        <v>138</v>
      </c>
      <c r="F121" s="65">
        <v>36347</v>
      </c>
      <c r="G121" s="66">
        <v>1.3848568065908199E-2</v>
      </c>
      <c r="H121" s="65">
        <v>262</v>
      </c>
      <c r="I121" s="67">
        <v>0.88005669360120298</v>
      </c>
      <c r="J121" s="67">
        <v>12.1875250231944</v>
      </c>
      <c r="K121" s="65">
        <v>17</v>
      </c>
      <c r="L121" s="65">
        <v>63</v>
      </c>
      <c r="M121" s="66">
        <v>9.3484419263456103E-2</v>
      </c>
      <c r="N121" s="67">
        <v>4240.4868839569999</v>
      </c>
      <c r="O121" s="67">
        <v>128.499602544152</v>
      </c>
      <c r="P121" s="67">
        <v>310.66001284122501</v>
      </c>
      <c r="Q121" s="77">
        <v>7.3260458372490705E-2</v>
      </c>
    </row>
    <row r="122" spans="1:17" x14ac:dyDescent="0.35">
      <c r="A122" s="76" t="s">
        <v>136</v>
      </c>
      <c r="B122" s="63">
        <v>28644</v>
      </c>
      <c r="C122" s="63" t="s">
        <v>137</v>
      </c>
      <c r="D122" s="64">
        <v>42672</v>
      </c>
      <c r="E122" s="63" t="s">
        <v>138</v>
      </c>
      <c r="F122" s="65">
        <v>9445</v>
      </c>
      <c r="G122" s="66">
        <v>1.5991145714067598E-2</v>
      </c>
      <c r="H122" s="65">
        <v>559</v>
      </c>
      <c r="I122" s="67">
        <v>0.87999996279759696</v>
      </c>
      <c r="J122" s="67">
        <v>14.0722076334705</v>
      </c>
      <c r="K122" s="65">
        <v>74</v>
      </c>
      <c r="L122" s="65">
        <v>56</v>
      </c>
      <c r="M122" s="66">
        <v>6.4439140811455894E-2</v>
      </c>
      <c r="N122" s="67">
        <v>2481.0806117996599</v>
      </c>
      <c r="O122" s="67">
        <v>91.891874511098706</v>
      </c>
      <c r="P122" s="67">
        <v>368.71998441219301</v>
      </c>
      <c r="Q122" s="77">
        <v>0.148612657992092</v>
      </c>
    </row>
    <row r="123" spans="1:17" x14ac:dyDescent="0.35">
      <c r="A123" s="76" t="s">
        <v>136</v>
      </c>
      <c r="B123" s="63">
        <v>28644</v>
      </c>
      <c r="C123" s="63" t="s">
        <v>137</v>
      </c>
      <c r="D123" s="64">
        <v>42673</v>
      </c>
      <c r="E123" s="63" t="s">
        <v>138</v>
      </c>
      <c r="F123" s="65">
        <v>59773</v>
      </c>
      <c r="G123" s="66">
        <v>1.69751870815282E-2</v>
      </c>
      <c r="H123" s="65">
        <v>515</v>
      </c>
      <c r="I123" s="67">
        <v>0.88018557947915599</v>
      </c>
      <c r="J123" s="67">
        <v>14.941314878121901</v>
      </c>
      <c r="K123" s="65">
        <v>38</v>
      </c>
      <c r="L123" s="65">
        <v>27</v>
      </c>
      <c r="M123" s="66">
        <v>4.1763341067285402E-2</v>
      </c>
      <c r="N123" s="67">
        <v>1610.80789212078</v>
      </c>
      <c r="O123" s="67">
        <v>89.489327340043403</v>
      </c>
      <c r="P123" s="67">
        <v>379.359984755516</v>
      </c>
      <c r="Q123" s="77">
        <v>0.23550914209642501</v>
      </c>
    </row>
    <row r="124" spans="1:17" x14ac:dyDescent="0.35">
      <c r="A124" s="76" t="s">
        <v>136</v>
      </c>
      <c r="B124" s="63">
        <v>28644</v>
      </c>
      <c r="C124" s="63" t="s">
        <v>137</v>
      </c>
      <c r="D124" s="64">
        <v>42674</v>
      </c>
      <c r="E124" s="63" t="s">
        <v>138</v>
      </c>
      <c r="F124" s="65">
        <v>65210</v>
      </c>
      <c r="G124" s="66">
        <v>1.49003418693156E-2</v>
      </c>
      <c r="H124" s="65">
        <v>426</v>
      </c>
      <c r="I124" s="67">
        <v>0.87999998955499603</v>
      </c>
      <c r="J124" s="67">
        <v>13.1123006893636</v>
      </c>
      <c r="K124" s="65">
        <v>38</v>
      </c>
      <c r="L124" s="65">
        <v>43</v>
      </c>
      <c r="M124" s="66">
        <v>5.1948051948052E-2</v>
      </c>
      <c r="N124" s="67">
        <v>2679.0448725118199</v>
      </c>
      <c r="O124" s="67">
        <v>111.62686968799299</v>
      </c>
      <c r="P124" s="67">
        <v>406.55999517440802</v>
      </c>
      <c r="Q124" s="77">
        <v>0.15175557503567499</v>
      </c>
    </row>
    <row r="125" spans="1:17" x14ac:dyDescent="0.35">
      <c r="A125" s="76" t="s">
        <v>136</v>
      </c>
      <c r="B125" s="63">
        <v>28644</v>
      </c>
      <c r="C125" s="63" t="s">
        <v>137</v>
      </c>
      <c r="D125" s="64">
        <v>42675</v>
      </c>
      <c r="E125" s="63" t="s">
        <v>138</v>
      </c>
      <c r="F125" s="65">
        <v>32720</v>
      </c>
      <c r="G125" s="66">
        <v>1.3364137195663799E-2</v>
      </c>
      <c r="H125" s="65">
        <v>479</v>
      </c>
      <c r="I125" s="67">
        <v>0.88000002027826096</v>
      </c>
      <c r="J125" s="67">
        <v>11.760441003185599</v>
      </c>
      <c r="K125" s="65">
        <v>69</v>
      </c>
      <c r="L125" s="65">
        <v>39</v>
      </c>
      <c r="M125" s="66">
        <v>7.1808510638297907E-2</v>
      </c>
      <c r="N125" s="67">
        <v>3065.8887577967098</v>
      </c>
      <c r="O125" s="67">
        <v>113.551435473952</v>
      </c>
      <c r="P125" s="67">
        <v>330.88000762462599</v>
      </c>
      <c r="Q125" s="77">
        <v>0.107923031056878</v>
      </c>
    </row>
    <row r="126" spans="1:17" x14ac:dyDescent="0.35">
      <c r="A126" s="76" t="s">
        <v>136</v>
      </c>
      <c r="B126" s="63">
        <v>28644</v>
      </c>
      <c r="C126" s="63" t="s">
        <v>137</v>
      </c>
      <c r="D126" s="64">
        <v>42676</v>
      </c>
      <c r="E126" s="63" t="s">
        <v>138</v>
      </c>
      <c r="F126" s="65">
        <v>7726</v>
      </c>
      <c r="G126" s="66">
        <v>1.1787453984308201E-2</v>
      </c>
      <c r="H126" s="65">
        <v>284</v>
      </c>
      <c r="I126" s="67">
        <v>0.87999998883870101</v>
      </c>
      <c r="J126" s="67">
        <v>10.3729593746279</v>
      </c>
      <c r="K126" s="65">
        <v>42</v>
      </c>
      <c r="L126" s="65">
        <v>38</v>
      </c>
      <c r="M126" s="66">
        <v>8.5173501577287106E-2</v>
      </c>
      <c r="N126" s="67">
        <v>2556.3717596351398</v>
      </c>
      <c r="O126" s="67">
        <v>94.680435542042204</v>
      </c>
      <c r="P126" s="67">
        <v>278.959996461868</v>
      </c>
      <c r="Q126" s="77">
        <v>0.10912340719242</v>
      </c>
    </row>
    <row r="127" spans="1:17" x14ac:dyDescent="0.35">
      <c r="A127" s="76" t="s">
        <v>136</v>
      </c>
      <c r="B127" s="63">
        <v>28644</v>
      </c>
      <c r="C127" s="63" t="s">
        <v>137</v>
      </c>
      <c r="D127" s="64">
        <v>42677</v>
      </c>
      <c r="E127" s="63" t="s">
        <v>138</v>
      </c>
      <c r="F127" s="65">
        <v>67273</v>
      </c>
      <c r="G127" s="66">
        <v>1.3314270395853801E-2</v>
      </c>
      <c r="H127" s="65">
        <v>229</v>
      </c>
      <c r="I127" s="67">
        <v>0.880000007499251</v>
      </c>
      <c r="J127" s="67">
        <v>11.716558048198401</v>
      </c>
      <c r="K127" s="65">
        <v>72</v>
      </c>
      <c r="L127" s="65">
        <v>25</v>
      </c>
      <c r="M127" s="66">
        <v>3.1319910514541402E-2</v>
      </c>
      <c r="N127" s="67">
        <v>1237.7640584957101</v>
      </c>
      <c r="O127" s="67">
        <v>88.411718463979597</v>
      </c>
      <c r="P127" s="67">
        <v>393.36000335216499</v>
      </c>
      <c r="Q127" s="77">
        <v>0.31779885726381901</v>
      </c>
    </row>
    <row r="128" spans="1:17" x14ac:dyDescent="0.35">
      <c r="A128" s="76" t="s">
        <v>136</v>
      </c>
      <c r="B128" s="63">
        <v>28644</v>
      </c>
      <c r="C128" s="63" t="s">
        <v>137</v>
      </c>
      <c r="D128" s="64">
        <v>42678</v>
      </c>
      <c r="E128" s="63" t="s">
        <v>138</v>
      </c>
      <c r="F128" s="65">
        <v>17366</v>
      </c>
      <c r="G128" s="66">
        <v>9.19603650826494E-3</v>
      </c>
      <c r="H128" s="65">
        <v>417</v>
      </c>
      <c r="I128" s="67">
        <v>0.88000001728534705</v>
      </c>
      <c r="J128" s="67">
        <v>8.0925122862298302</v>
      </c>
      <c r="K128" s="65">
        <v>76</v>
      </c>
      <c r="L128" s="65">
        <v>44</v>
      </c>
      <c r="M128" s="66">
        <v>3.2500000000000001E-2</v>
      </c>
      <c r="N128" s="67">
        <v>1025.02115626519</v>
      </c>
      <c r="O128" s="67">
        <v>78.847781251168399</v>
      </c>
      <c r="P128" s="67">
        <v>352.00000691413902</v>
      </c>
      <c r="Q128" s="77">
        <v>0.34340755287110503</v>
      </c>
    </row>
    <row r="129" spans="1:17" x14ac:dyDescent="0.35">
      <c r="A129" s="76" t="s">
        <v>136</v>
      </c>
      <c r="B129" s="63">
        <v>338793</v>
      </c>
      <c r="C129" s="63" t="s">
        <v>139</v>
      </c>
      <c r="D129" s="64">
        <v>42552</v>
      </c>
      <c r="E129" s="63" t="s">
        <v>138</v>
      </c>
      <c r="F129" s="65">
        <v>62348</v>
      </c>
      <c r="G129" s="66">
        <v>1.1061839091662201E-2</v>
      </c>
      <c r="H129" s="65">
        <v>432</v>
      </c>
      <c r="I129" s="67">
        <v>1.66929514476381</v>
      </c>
      <c r="J129" s="67">
        <v>18.465474287870201</v>
      </c>
      <c r="K129" s="65">
        <v>20</v>
      </c>
      <c r="L129" s="65">
        <v>88</v>
      </c>
      <c r="M129" s="66">
        <v>4.5521292217327501E-2</v>
      </c>
      <c r="N129" s="67">
        <v>3661.4228102771199</v>
      </c>
      <c r="O129" s="67">
        <v>118.11041323474601</v>
      </c>
      <c r="P129" s="67">
        <v>1136.7899935841599</v>
      </c>
      <c r="Q129" s="77">
        <v>0.31047766196062898</v>
      </c>
    </row>
    <row r="130" spans="1:17" x14ac:dyDescent="0.35">
      <c r="A130" s="76" t="s">
        <v>136</v>
      </c>
      <c r="B130" s="63">
        <v>338793</v>
      </c>
      <c r="C130" s="63" t="s">
        <v>139</v>
      </c>
      <c r="D130" s="64">
        <v>42553</v>
      </c>
      <c r="E130" s="63" t="s">
        <v>138</v>
      </c>
      <c r="F130" s="65">
        <v>33592</v>
      </c>
      <c r="G130" s="66">
        <v>7.9597425900192892E-3</v>
      </c>
      <c r="H130" s="65">
        <v>572</v>
      </c>
      <c r="I130" s="67">
        <v>1.49893219819513</v>
      </c>
      <c r="J130" s="67">
        <v>11.931114457525</v>
      </c>
      <c r="K130" s="65">
        <v>52</v>
      </c>
      <c r="L130" s="65">
        <v>99</v>
      </c>
      <c r="M130" s="66">
        <v>7.4576271186440696E-2</v>
      </c>
      <c r="N130" s="67">
        <v>5845.9244150311297</v>
      </c>
      <c r="O130" s="67">
        <v>132.86191852343501</v>
      </c>
      <c r="P130" s="67">
        <v>884.36999693512905</v>
      </c>
      <c r="Q130" s="77">
        <v>0.15127975220843201</v>
      </c>
    </row>
    <row r="131" spans="1:17" x14ac:dyDescent="0.35">
      <c r="A131" s="76" t="s">
        <v>136</v>
      </c>
      <c r="B131" s="63">
        <v>338793</v>
      </c>
      <c r="C131" s="63" t="s">
        <v>139</v>
      </c>
      <c r="D131" s="64">
        <v>42554</v>
      </c>
      <c r="E131" s="63" t="s">
        <v>138</v>
      </c>
      <c r="F131" s="65">
        <v>11442</v>
      </c>
      <c r="G131" s="66">
        <v>8.3425954443804694E-3</v>
      </c>
      <c r="H131" s="65">
        <v>324</v>
      </c>
      <c r="I131" s="67">
        <v>1.29972711516422</v>
      </c>
      <c r="J131" s="67">
        <v>10.8430975099068</v>
      </c>
      <c r="K131" s="65">
        <v>97</v>
      </c>
      <c r="L131" s="65">
        <v>61</v>
      </c>
      <c r="M131" s="66">
        <v>5.4574638844301797E-2</v>
      </c>
      <c r="N131" s="67">
        <v>3674.6477324421198</v>
      </c>
      <c r="O131" s="67">
        <v>108.077874483592</v>
      </c>
      <c r="P131" s="67">
        <v>809.72999274730705</v>
      </c>
      <c r="Q131" s="77">
        <v>0.22035581413654901</v>
      </c>
    </row>
    <row r="132" spans="1:17" x14ac:dyDescent="0.35">
      <c r="A132" s="76" t="s">
        <v>136</v>
      </c>
      <c r="B132" s="63">
        <v>338793</v>
      </c>
      <c r="C132" s="63" t="s">
        <v>139</v>
      </c>
      <c r="D132" s="64">
        <v>42555</v>
      </c>
      <c r="E132" s="63" t="s">
        <v>138</v>
      </c>
      <c r="F132" s="65">
        <v>54506</v>
      </c>
      <c r="G132" s="66">
        <v>8.1885334244630806E-3</v>
      </c>
      <c r="H132" s="65">
        <v>224</v>
      </c>
      <c r="I132" s="67">
        <v>1.3287158750033501</v>
      </c>
      <c r="J132" s="67">
        <v>10.880234354079599</v>
      </c>
      <c r="K132" s="65">
        <v>78</v>
      </c>
      <c r="L132" s="65">
        <v>70</v>
      </c>
      <c r="M132" s="66">
        <v>4.9759229534510403E-2</v>
      </c>
      <c r="N132" s="67">
        <v>4097.3291043454601</v>
      </c>
      <c r="O132" s="67">
        <v>132.171906591789</v>
      </c>
      <c r="P132" s="67">
        <v>827.78999012708698</v>
      </c>
      <c r="Q132" s="77">
        <v>0.20203160865188199</v>
      </c>
    </row>
    <row r="133" spans="1:17" x14ac:dyDescent="0.35">
      <c r="A133" s="76" t="s">
        <v>136</v>
      </c>
      <c r="B133" s="63">
        <v>338793</v>
      </c>
      <c r="C133" s="63" t="s">
        <v>139</v>
      </c>
      <c r="D133" s="64">
        <v>42556</v>
      </c>
      <c r="E133" s="63" t="s">
        <v>138</v>
      </c>
      <c r="F133" s="65">
        <v>51414</v>
      </c>
      <c r="G133" s="66">
        <v>8.4681780153855607E-3</v>
      </c>
      <c r="H133" s="65">
        <v>244</v>
      </c>
      <c r="I133" s="67">
        <v>1.29913252527455</v>
      </c>
      <c r="J133" s="67">
        <v>11.001285489602299</v>
      </c>
      <c r="K133" s="65">
        <v>32</v>
      </c>
      <c r="L133" s="65">
        <v>62</v>
      </c>
      <c r="M133" s="66">
        <v>8.91566265060241E-2</v>
      </c>
      <c r="N133" s="67">
        <v>4022.5170381809598</v>
      </c>
      <c r="O133" s="67">
        <v>108.716676707594</v>
      </c>
      <c r="P133" s="67">
        <v>539.13999798893894</v>
      </c>
      <c r="Q133" s="77">
        <v>0.13403050698642799</v>
      </c>
    </row>
    <row r="134" spans="1:17" x14ac:dyDescent="0.35">
      <c r="A134" s="76" t="s">
        <v>136</v>
      </c>
      <c r="B134" s="63">
        <v>338793</v>
      </c>
      <c r="C134" s="63" t="s">
        <v>139</v>
      </c>
      <c r="D134" s="64">
        <v>42557</v>
      </c>
      <c r="E134" s="63" t="s">
        <v>138</v>
      </c>
      <c r="F134" s="65">
        <v>20397</v>
      </c>
      <c r="G134" s="66">
        <v>9.2235655034613607E-3</v>
      </c>
      <c r="H134" s="65">
        <v>187</v>
      </c>
      <c r="I134" s="67">
        <v>1.3147702127760299</v>
      </c>
      <c r="J134" s="67">
        <v>12.126869179539501</v>
      </c>
      <c r="K134" s="65">
        <v>98</v>
      </c>
      <c r="L134" s="65">
        <v>41</v>
      </c>
      <c r="M134" s="66">
        <v>5.2516411378555797E-2</v>
      </c>
      <c r="N134" s="67">
        <v>3150.83411315079</v>
      </c>
      <c r="O134" s="67">
        <v>131.28475471461601</v>
      </c>
      <c r="P134" s="67">
        <v>600.84998723864601</v>
      </c>
      <c r="Q134" s="77">
        <v>0.19069553193259201</v>
      </c>
    </row>
    <row r="135" spans="1:17" x14ac:dyDescent="0.35">
      <c r="A135" s="76" t="s">
        <v>136</v>
      </c>
      <c r="B135" s="63">
        <v>338793</v>
      </c>
      <c r="C135" s="63" t="s">
        <v>139</v>
      </c>
      <c r="D135" s="64">
        <v>42558</v>
      </c>
      <c r="E135" s="63" t="s">
        <v>138</v>
      </c>
      <c r="F135" s="65">
        <v>56452</v>
      </c>
      <c r="G135" s="66">
        <v>1.08055292122884E-2</v>
      </c>
      <c r="H135" s="65">
        <v>295</v>
      </c>
      <c r="I135" s="67">
        <v>1.35127656938548</v>
      </c>
      <c r="J135" s="67">
        <v>14.6012584443757</v>
      </c>
      <c r="K135" s="65">
        <v>62</v>
      </c>
      <c r="L135" s="65">
        <v>54</v>
      </c>
      <c r="M135" s="66">
        <v>7.9787234042553196E-2</v>
      </c>
      <c r="N135" s="67">
        <v>4194.6149092885398</v>
      </c>
      <c r="O135" s="67">
        <v>139.820496976285</v>
      </c>
      <c r="P135" s="67">
        <v>508.07999008894001</v>
      </c>
      <c r="Q135" s="77">
        <v>0.121126730600192</v>
      </c>
    </row>
    <row r="136" spans="1:17" x14ac:dyDescent="0.35">
      <c r="A136" s="76" t="s">
        <v>136</v>
      </c>
      <c r="B136" s="63">
        <v>338793</v>
      </c>
      <c r="C136" s="63" t="s">
        <v>139</v>
      </c>
      <c r="D136" s="64">
        <v>42559</v>
      </c>
      <c r="E136" s="63" t="s">
        <v>138</v>
      </c>
      <c r="F136" s="65">
        <v>67591</v>
      </c>
      <c r="G136" s="66">
        <v>9.7159050317910094E-3</v>
      </c>
      <c r="H136" s="65">
        <v>184</v>
      </c>
      <c r="I136" s="67">
        <v>1.26419117155613</v>
      </c>
      <c r="J136" s="67">
        <v>12.2827613648679</v>
      </c>
      <c r="K136" s="65">
        <v>78</v>
      </c>
      <c r="L136" s="65">
        <v>68</v>
      </c>
      <c r="M136" s="66">
        <v>6.6176470588235295E-2</v>
      </c>
      <c r="N136" s="67">
        <v>2415.89592943464</v>
      </c>
      <c r="O136" s="67">
        <v>89.477627016097898</v>
      </c>
      <c r="P136" s="67">
        <v>515.78999799489998</v>
      </c>
      <c r="Q136" s="77">
        <v>0.21349843414637601</v>
      </c>
    </row>
    <row r="137" spans="1:17" x14ac:dyDescent="0.35">
      <c r="A137" s="76" t="s">
        <v>136</v>
      </c>
      <c r="B137" s="63">
        <v>338793</v>
      </c>
      <c r="C137" s="63" t="s">
        <v>139</v>
      </c>
      <c r="D137" s="64">
        <v>42560</v>
      </c>
      <c r="E137" s="63" t="s">
        <v>138</v>
      </c>
      <c r="F137" s="65">
        <v>54030</v>
      </c>
      <c r="G137" s="66">
        <v>8.7630413570517207E-3</v>
      </c>
      <c r="H137" s="65">
        <v>432</v>
      </c>
      <c r="I137" s="67">
        <v>1.29423981151948</v>
      </c>
      <c r="J137" s="67">
        <v>11.341476994288101</v>
      </c>
      <c r="K137" s="65">
        <v>73</v>
      </c>
      <c r="L137" s="65">
        <v>80</v>
      </c>
      <c r="M137" s="66">
        <v>8.56531049250535E-2</v>
      </c>
      <c r="N137" s="67">
        <v>5632.94146423445</v>
      </c>
      <c r="O137" s="67">
        <v>140.82353660586099</v>
      </c>
      <c r="P137" s="67">
        <v>604.409991979599</v>
      </c>
      <c r="Q137" s="77">
        <v>0.107299178558345</v>
      </c>
    </row>
    <row r="138" spans="1:17" x14ac:dyDescent="0.35">
      <c r="A138" s="76" t="s">
        <v>136</v>
      </c>
      <c r="B138" s="63">
        <v>338793</v>
      </c>
      <c r="C138" s="63" t="s">
        <v>139</v>
      </c>
      <c r="D138" s="64">
        <v>42561</v>
      </c>
      <c r="E138" s="63" t="s">
        <v>138</v>
      </c>
      <c r="F138" s="65">
        <v>16158</v>
      </c>
      <c r="G138" s="66">
        <v>8.8822675240915003E-3</v>
      </c>
      <c r="H138" s="65">
        <v>252</v>
      </c>
      <c r="I138" s="67">
        <v>1.49823776412668</v>
      </c>
      <c r="J138" s="67">
        <v>13.307748635669901</v>
      </c>
      <c r="K138" s="65">
        <v>50</v>
      </c>
      <c r="L138" s="65">
        <v>47</v>
      </c>
      <c r="M138" s="66">
        <v>5.9447983014862003E-2</v>
      </c>
      <c r="N138" s="67">
        <v>2626.9339830937802</v>
      </c>
      <c r="O138" s="67">
        <v>93.819070824777995</v>
      </c>
      <c r="P138" s="67">
        <v>705.669986903667</v>
      </c>
      <c r="Q138" s="77">
        <v>0.26862874797964598</v>
      </c>
    </row>
    <row r="139" spans="1:17" x14ac:dyDescent="0.35">
      <c r="A139" s="76" t="s">
        <v>136</v>
      </c>
      <c r="B139" s="63">
        <v>338793</v>
      </c>
      <c r="C139" s="63" t="s">
        <v>139</v>
      </c>
      <c r="D139" s="64">
        <v>42562</v>
      </c>
      <c r="E139" s="63" t="s">
        <v>138</v>
      </c>
      <c r="F139" s="65">
        <v>21742</v>
      </c>
      <c r="G139" s="66">
        <v>8.5605234460196297E-3</v>
      </c>
      <c r="H139" s="65">
        <v>432</v>
      </c>
      <c r="I139" s="67">
        <v>1.50250528509197</v>
      </c>
      <c r="J139" s="67">
        <v>12.862231720798199</v>
      </c>
      <c r="K139" s="65">
        <v>65</v>
      </c>
      <c r="L139" s="65">
        <v>52</v>
      </c>
      <c r="M139" s="66">
        <v>5.9447983014862003E-2</v>
      </c>
      <c r="N139" s="67">
        <v>2159.82366735495</v>
      </c>
      <c r="O139" s="67">
        <v>77.136559548391006</v>
      </c>
      <c r="P139" s="67">
        <v>707.67998927831695</v>
      </c>
      <c r="Q139" s="77">
        <v>0.32765637305242801</v>
      </c>
    </row>
    <row r="140" spans="1:17" x14ac:dyDescent="0.35">
      <c r="A140" s="76" t="s">
        <v>136</v>
      </c>
      <c r="B140" s="63">
        <v>338793</v>
      </c>
      <c r="C140" s="63" t="s">
        <v>139</v>
      </c>
      <c r="D140" s="64">
        <v>42563</v>
      </c>
      <c r="E140" s="63" t="s">
        <v>138</v>
      </c>
      <c r="F140" s="65">
        <v>39593</v>
      </c>
      <c r="G140" s="66">
        <v>8.0029471170335702E-3</v>
      </c>
      <c r="H140" s="65">
        <v>262</v>
      </c>
      <c r="I140" s="67">
        <v>1.5764127017959699</v>
      </c>
      <c r="J140" s="67">
        <v>12.6159474870932</v>
      </c>
      <c r="K140" s="65">
        <v>16</v>
      </c>
      <c r="L140" s="65">
        <v>58</v>
      </c>
      <c r="M140" s="66">
        <v>4.9206349206349198E-2</v>
      </c>
      <c r="N140" s="67">
        <v>4333.4773335113496</v>
      </c>
      <c r="O140" s="67">
        <v>139.789591403592</v>
      </c>
      <c r="P140" s="67">
        <v>993.14000213146198</v>
      </c>
      <c r="Q140" s="77">
        <v>0.229178538549488</v>
      </c>
    </row>
    <row r="141" spans="1:17" x14ac:dyDescent="0.35">
      <c r="A141" s="76" t="s">
        <v>136</v>
      </c>
      <c r="B141" s="63">
        <v>338793</v>
      </c>
      <c r="C141" s="63" t="s">
        <v>139</v>
      </c>
      <c r="D141" s="64">
        <v>42564</v>
      </c>
      <c r="E141" s="63" t="s">
        <v>138</v>
      </c>
      <c r="F141" s="65">
        <v>11000</v>
      </c>
      <c r="G141" s="66">
        <v>7.9277988041117093E-3</v>
      </c>
      <c r="H141" s="65">
        <v>417</v>
      </c>
      <c r="I141" s="67">
        <v>1.53271184251302</v>
      </c>
      <c r="J141" s="67">
        <v>12.151031112122499</v>
      </c>
      <c r="K141" s="65">
        <v>59</v>
      </c>
      <c r="L141" s="65">
        <v>43</v>
      </c>
      <c r="M141" s="66">
        <v>2.82485875706215E-2</v>
      </c>
      <c r="N141" s="67">
        <v>2570.9223032141899</v>
      </c>
      <c r="O141" s="67">
        <v>128.54611516071</v>
      </c>
      <c r="P141" s="67">
        <v>1085.1599844992199</v>
      </c>
      <c r="Q141" s="77">
        <v>0.42208976255040398</v>
      </c>
    </row>
    <row r="142" spans="1:17" x14ac:dyDescent="0.35">
      <c r="A142" s="76" t="s">
        <v>136</v>
      </c>
      <c r="B142" s="63">
        <v>338793</v>
      </c>
      <c r="C142" s="63" t="s">
        <v>139</v>
      </c>
      <c r="D142" s="64">
        <v>42565</v>
      </c>
      <c r="E142" s="63" t="s">
        <v>138</v>
      </c>
      <c r="F142" s="65">
        <v>5183</v>
      </c>
      <c r="G142" s="66">
        <v>1.05287185779097E-2</v>
      </c>
      <c r="H142" s="65">
        <v>528</v>
      </c>
      <c r="I142" s="67">
        <v>1.46562326475372</v>
      </c>
      <c r="J142" s="67">
        <v>15.4311348958291</v>
      </c>
      <c r="K142" s="65">
        <v>74</v>
      </c>
      <c r="L142" s="65">
        <v>56</v>
      </c>
      <c r="M142" s="66">
        <v>4.4715447154471497E-2</v>
      </c>
      <c r="N142" s="67">
        <v>5863.4281974539899</v>
      </c>
      <c r="O142" s="67">
        <v>177.679642347091</v>
      </c>
      <c r="P142" s="67">
        <v>1081.6299693882499</v>
      </c>
      <c r="Q142" s="77">
        <v>0.18447057471564299</v>
      </c>
    </row>
    <row r="143" spans="1:17" x14ac:dyDescent="0.35">
      <c r="A143" s="76" t="s">
        <v>136</v>
      </c>
      <c r="B143" s="63">
        <v>338793</v>
      </c>
      <c r="C143" s="63" t="s">
        <v>139</v>
      </c>
      <c r="D143" s="64">
        <v>42566</v>
      </c>
      <c r="E143" s="63" t="s">
        <v>138</v>
      </c>
      <c r="F143" s="65">
        <v>8385</v>
      </c>
      <c r="G143" s="66">
        <v>9.4512381223675907E-3</v>
      </c>
      <c r="H143" s="65">
        <v>542</v>
      </c>
      <c r="I143" s="67">
        <v>1.53876207610121</v>
      </c>
      <c r="J143" s="67">
        <v>14.5432067949013</v>
      </c>
      <c r="K143" s="65">
        <v>62</v>
      </c>
      <c r="L143" s="65">
        <v>83</v>
      </c>
      <c r="M143" s="66">
        <v>4.6286329386437002E-2</v>
      </c>
      <c r="N143" s="67">
        <v>5142.4064837368496</v>
      </c>
      <c r="O143" s="67">
        <v>119.59084845899601</v>
      </c>
      <c r="P143" s="67">
        <v>1429.50996869802</v>
      </c>
      <c r="Q143" s="77">
        <v>0.27798463097363701</v>
      </c>
    </row>
    <row r="144" spans="1:17" x14ac:dyDescent="0.35">
      <c r="A144" s="76" t="s">
        <v>136</v>
      </c>
      <c r="B144" s="63">
        <v>338793</v>
      </c>
      <c r="C144" s="63" t="s">
        <v>139</v>
      </c>
      <c r="D144" s="64">
        <v>42567</v>
      </c>
      <c r="E144" s="63" t="s">
        <v>138</v>
      </c>
      <c r="F144" s="65">
        <v>50785</v>
      </c>
      <c r="G144" s="66">
        <v>7.7870516580193999E-3</v>
      </c>
      <c r="H144" s="65">
        <v>367</v>
      </c>
      <c r="I144" s="67">
        <v>1.34062572495272</v>
      </c>
      <c r="J144" s="67">
        <v>10.4395217742765</v>
      </c>
      <c r="K144" s="65">
        <v>74</v>
      </c>
      <c r="L144" s="65">
        <v>85</v>
      </c>
      <c r="M144" s="66">
        <v>5.2143684820393998E-2</v>
      </c>
      <c r="N144" s="67">
        <v>4651.2231464898696</v>
      </c>
      <c r="O144" s="67">
        <v>103.360514366442</v>
      </c>
      <c r="P144" s="67">
        <v>1156.96000063419</v>
      </c>
      <c r="Q144" s="77">
        <v>0.24874317232173901</v>
      </c>
    </row>
    <row r="145" spans="1:17" x14ac:dyDescent="0.35">
      <c r="A145" s="76" t="s">
        <v>136</v>
      </c>
      <c r="B145" s="63">
        <v>338793</v>
      </c>
      <c r="C145" s="63" t="s">
        <v>139</v>
      </c>
      <c r="D145" s="64">
        <v>42568</v>
      </c>
      <c r="E145" s="63" t="s">
        <v>138</v>
      </c>
      <c r="F145" s="65">
        <v>21458</v>
      </c>
      <c r="G145" s="66">
        <v>7.4271134142964504E-3</v>
      </c>
      <c r="H145" s="65">
        <v>532</v>
      </c>
      <c r="I145" s="67">
        <v>1.17886821193479</v>
      </c>
      <c r="J145" s="67">
        <v>8.7555879105485701</v>
      </c>
      <c r="K145" s="65">
        <v>67</v>
      </c>
      <c r="L145" s="65">
        <v>61</v>
      </c>
      <c r="M145" s="66">
        <v>5.0599201065246298E-2</v>
      </c>
      <c r="N145" s="67">
        <v>4331.4893367904797</v>
      </c>
      <c r="O145" s="67">
        <v>113.986561494486</v>
      </c>
      <c r="P145" s="67">
        <v>885.33002716302894</v>
      </c>
      <c r="Q145" s="77">
        <v>0.20439390665083201</v>
      </c>
    </row>
    <row r="146" spans="1:17" x14ac:dyDescent="0.35">
      <c r="A146" s="76" t="s">
        <v>136</v>
      </c>
      <c r="B146" s="63">
        <v>338793</v>
      </c>
      <c r="C146" s="63" t="s">
        <v>139</v>
      </c>
      <c r="D146" s="64">
        <v>42569</v>
      </c>
      <c r="E146" s="63" t="s">
        <v>138</v>
      </c>
      <c r="F146" s="65">
        <v>60222</v>
      </c>
      <c r="G146" s="66">
        <v>8.5190333139039606E-3</v>
      </c>
      <c r="H146" s="65">
        <v>246</v>
      </c>
      <c r="I146" s="67">
        <v>1.1425395139346</v>
      </c>
      <c r="J146" s="67">
        <v>9.7333321816604901</v>
      </c>
      <c r="K146" s="65">
        <v>67</v>
      </c>
      <c r="L146" s="65">
        <v>76</v>
      </c>
      <c r="M146" s="66">
        <v>6.4473684210526294E-2</v>
      </c>
      <c r="N146" s="67">
        <v>5554.6719919317302</v>
      </c>
      <c r="O146" s="67">
        <v>113.36065289656599</v>
      </c>
      <c r="P146" s="67">
        <v>868.33003059029602</v>
      </c>
      <c r="Q146" s="77">
        <v>0.15632426754479201</v>
      </c>
    </row>
    <row r="147" spans="1:17" x14ac:dyDescent="0.35">
      <c r="A147" s="76" t="s">
        <v>136</v>
      </c>
      <c r="B147" s="63">
        <v>338793</v>
      </c>
      <c r="C147" s="63" t="s">
        <v>139</v>
      </c>
      <c r="D147" s="64">
        <v>42570</v>
      </c>
      <c r="E147" s="63" t="s">
        <v>138</v>
      </c>
      <c r="F147" s="65">
        <v>48828</v>
      </c>
      <c r="G147" s="66">
        <v>8.0223189479533205E-3</v>
      </c>
      <c r="H147" s="65">
        <v>504</v>
      </c>
      <c r="I147" s="67">
        <v>1.1324098486490899</v>
      </c>
      <c r="J147" s="67">
        <v>9.0845529856665692</v>
      </c>
      <c r="K147" s="65">
        <v>52</v>
      </c>
      <c r="L147" s="65">
        <v>68</v>
      </c>
      <c r="M147" s="66">
        <v>4.9062049062049098E-2</v>
      </c>
      <c r="N147" s="67">
        <v>4117.8580482041698</v>
      </c>
      <c r="O147" s="67">
        <v>121.113472006005</v>
      </c>
      <c r="P147" s="67">
        <v>784.76002511382103</v>
      </c>
      <c r="Q147" s="77">
        <v>0.19057481242124399</v>
      </c>
    </row>
    <row r="148" spans="1:17" x14ac:dyDescent="0.35">
      <c r="A148" s="76" t="s">
        <v>136</v>
      </c>
      <c r="B148" s="63">
        <v>338793</v>
      </c>
      <c r="C148" s="63" t="s">
        <v>139</v>
      </c>
      <c r="D148" s="64">
        <v>42571</v>
      </c>
      <c r="E148" s="63" t="s">
        <v>138</v>
      </c>
      <c r="F148" s="65">
        <v>35746</v>
      </c>
      <c r="G148" s="66">
        <v>8.0021700800217005E-3</v>
      </c>
      <c r="H148" s="65">
        <v>484</v>
      </c>
      <c r="I148" s="67">
        <v>0.98956857550493205</v>
      </c>
      <c r="J148" s="67">
        <v>7.9186960470352599</v>
      </c>
      <c r="K148" s="65">
        <v>13</v>
      </c>
      <c r="L148" s="65">
        <v>98</v>
      </c>
      <c r="M148" s="66">
        <v>8.0123266563944501E-2</v>
      </c>
      <c r="N148" s="67">
        <v>5844.4550484792398</v>
      </c>
      <c r="O148" s="67">
        <v>112.393366316908</v>
      </c>
      <c r="P148" s="67">
        <v>642.23000550270103</v>
      </c>
      <c r="Q148" s="77">
        <v>0.109887063922207</v>
      </c>
    </row>
    <row r="149" spans="1:17" x14ac:dyDescent="0.35">
      <c r="A149" s="76" t="s">
        <v>136</v>
      </c>
      <c r="B149" s="63">
        <v>338793</v>
      </c>
      <c r="C149" s="63" t="s">
        <v>139</v>
      </c>
      <c r="D149" s="64">
        <v>42572</v>
      </c>
      <c r="E149" s="63" t="s">
        <v>138</v>
      </c>
      <c r="F149" s="65">
        <v>53285</v>
      </c>
      <c r="G149" s="66">
        <v>8.6805555555555594E-3</v>
      </c>
      <c r="H149" s="65">
        <v>471</v>
      </c>
      <c r="I149" s="67">
        <v>0.96703278959774597</v>
      </c>
      <c r="J149" s="67">
        <v>8.3943818541471007</v>
      </c>
      <c r="K149" s="65">
        <v>56</v>
      </c>
      <c r="L149" s="65">
        <v>69</v>
      </c>
      <c r="M149" s="66">
        <v>5.5737704918032802E-2</v>
      </c>
      <c r="N149" s="67">
        <v>3970.56793422602</v>
      </c>
      <c r="O149" s="67">
        <v>116.781409830177</v>
      </c>
      <c r="P149" s="67">
        <v>589.89000165462505</v>
      </c>
      <c r="Q149" s="77">
        <v>0.14856564890120999</v>
      </c>
    </row>
    <row r="150" spans="1:17" x14ac:dyDescent="0.35">
      <c r="A150" s="76" t="s">
        <v>136</v>
      </c>
      <c r="B150" s="63">
        <v>338793</v>
      </c>
      <c r="C150" s="63" t="s">
        <v>139</v>
      </c>
      <c r="D150" s="64">
        <v>42573</v>
      </c>
      <c r="E150" s="63" t="s">
        <v>138</v>
      </c>
      <c r="F150" s="65">
        <v>45208</v>
      </c>
      <c r="G150" s="66">
        <v>8.5310470693094505E-3</v>
      </c>
      <c r="H150" s="65">
        <v>162</v>
      </c>
      <c r="I150" s="67">
        <v>1.0104477597310999</v>
      </c>
      <c r="J150" s="67">
        <v>8.6201773993442696</v>
      </c>
      <c r="K150" s="65">
        <v>65</v>
      </c>
      <c r="L150" s="65">
        <v>84</v>
      </c>
      <c r="M150" s="66">
        <v>7.9601990049751201E-2</v>
      </c>
      <c r="N150" s="67">
        <v>6592.83426393438</v>
      </c>
      <c r="O150" s="67">
        <v>137.350713831966</v>
      </c>
      <c r="P150" s="67">
        <v>609.29999911785103</v>
      </c>
      <c r="Q150" s="77">
        <v>9.2418522099210504E-2</v>
      </c>
    </row>
    <row r="151" spans="1:17" x14ac:dyDescent="0.35">
      <c r="A151" s="76" t="s">
        <v>136</v>
      </c>
      <c r="B151" s="63">
        <v>338793</v>
      </c>
      <c r="C151" s="63" t="s">
        <v>139</v>
      </c>
      <c r="D151" s="64">
        <v>42574</v>
      </c>
      <c r="E151" s="63" t="s">
        <v>138</v>
      </c>
      <c r="F151" s="65">
        <v>30455</v>
      </c>
      <c r="G151" s="66">
        <v>7.1869375160709698E-3</v>
      </c>
      <c r="H151" s="65">
        <v>213</v>
      </c>
      <c r="I151" s="67">
        <v>0.98404293911188401</v>
      </c>
      <c r="J151" s="67">
        <v>7.0722551165279404</v>
      </c>
      <c r="K151" s="65">
        <v>61</v>
      </c>
      <c r="L151" s="65">
        <v>72</v>
      </c>
      <c r="M151" s="66">
        <v>7.3345259391771001E-2</v>
      </c>
      <c r="N151" s="67">
        <v>5139.0363277936804</v>
      </c>
      <c r="O151" s="67">
        <v>125.342349458383</v>
      </c>
      <c r="P151" s="67">
        <v>550.08000296354305</v>
      </c>
      <c r="Q151" s="77">
        <v>0.107039524120217</v>
      </c>
    </row>
    <row r="152" spans="1:17" x14ac:dyDescent="0.35">
      <c r="A152" s="76" t="s">
        <v>136</v>
      </c>
      <c r="B152" s="63">
        <v>338793</v>
      </c>
      <c r="C152" s="63" t="s">
        <v>139</v>
      </c>
      <c r="D152" s="64">
        <v>42575</v>
      </c>
      <c r="E152" s="63" t="s">
        <v>138</v>
      </c>
      <c r="F152" s="65">
        <v>49118</v>
      </c>
      <c r="G152" s="66">
        <v>7.8810013159645708E-3</v>
      </c>
      <c r="H152" s="65">
        <v>217</v>
      </c>
      <c r="I152" s="67">
        <v>0.91868667631614498</v>
      </c>
      <c r="J152" s="67">
        <v>7.2401709050066598</v>
      </c>
      <c r="K152" s="65">
        <v>51</v>
      </c>
      <c r="L152" s="65">
        <v>78</v>
      </c>
      <c r="M152" s="66">
        <v>8.8180112570356503E-2</v>
      </c>
      <c r="N152" s="67">
        <v>5306.5952515682502</v>
      </c>
      <c r="O152" s="67">
        <v>112.906281948261</v>
      </c>
      <c r="P152" s="67">
        <v>489.659998476505</v>
      </c>
      <c r="Q152" s="77">
        <v>9.2273854564618799E-2</v>
      </c>
    </row>
    <row r="153" spans="1:17" x14ac:dyDescent="0.35">
      <c r="A153" s="76" t="s">
        <v>136</v>
      </c>
      <c r="B153" s="63">
        <v>338793</v>
      </c>
      <c r="C153" s="63" t="s">
        <v>139</v>
      </c>
      <c r="D153" s="64">
        <v>42576</v>
      </c>
      <c r="E153" s="63" t="s">
        <v>138</v>
      </c>
      <c r="F153" s="65">
        <v>39344</v>
      </c>
      <c r="G153" s="66">
        <v>7.5150534455664299E-3</v>
      </c>
      <c r="H153" s="65">
        <v>396</v>
      </c>
      <c r="I153" s="67">
        <v>0.89612836879726299</v>
      </c>
      <c r="J153" s="67">
        <v>6.7344525855996897</v>
      </c>
      <c r="K153" s="65">
        <v>68</v>
      </c>
      <c r="L153" s="65">
        <v>78</v>
      </c>
      <c r="M153" s="66">
        <v>7.2463768115942004E-2</v>
      </c>
      <c r="N153" s="67">
        <v>2641.8445998337002</v>
      </c>
      <c r="O153" s="67">
        <v>75.481274280962893</v>
      </c>
      <c r="P153" s="67">
        <v>432.83000212907803</v>
      </c>
      <c r="Q153" s="77">
        <v>0.16383628399502501</v>
      </c>
    </row>
    <row r="154" spans="1:17" x14ac:dyDescent="0.35">
      <c r="A154" s="76" t="s">
        <v>136</v>
      </c>
      <c r="B154" s="63">
        <v>338793</v>
      </c>
      <c r="C154" s="63" t="s">
        <v>139</v>
      </c>
      <c r="D154" s="64">
        <v>42577</v>
      </c>
      <c r="E154" s="63" t="s">
        <v>138</v>
      </c>
      <c r="F154" s="65">
        <v>52307</v>
      </c>
      <c r="G154" s="66">
        <v>7.7242040028142403E-3</v>
      </c>
      <c r="H154" s="65">
        <v>246</v>
      </c>
      <c r="I154" s="67">
        <v>1.0232945351117799</v>
      </c>
      <c r="J154" s="67">
        <v>7.9041357441683502</v>
      </c>
      <c r="K154" s="65">
        <v>93</v>
      </c>
      <c r="L154" s="65">
        <v>58</v>
      </c>
      <c r="M154" s="66">
        <v>5.6201550387596902E-2</v>
      </c>
      <c r="N154" s="67">
        <v>2556.4439938261899</v>
      </c>
      <c r="O154" s="67">
        <v>88.153241166420301</v>
      </c>
      <c r="P154" s="67">
        <v>528.01998011767898</v>
      </c>
      <c r="Q154" s="77">
        <v>0.20654470874106601</v>
      </c>
    </row>
    <row r="155" spans="1:17" x14ac:dyDescent="0.35">
      <c r="A155" s="76" t="s">
        <v>136</v>
      </c>
      <c r="B155" s="63">
        <v>338793</v>
      </c>
      <c r="C155" s="63" t="s">
        <v>139</v>
      </c>
      <c r="D155" s="64">
        <v>42578</v>
      </c>
      <c r="E155" s="63" t="s">
        <v>138</v>
      </c>
      <c r="F155" s="65">
        <v>17029</v>
      </c>
      <c r="G155" s="66">
        <v>8.3227599540813303E-3</v>
      </c>
      <c r="H155" s="65">
        <v>509</v>
      </c>
      <c r="I155" s="67">
        <v>1.05281302370739</v>
      </c>
      <c r="J155" s="67">
        <v>8.7623100728471801</v>
      </c>
      <c r="K155" s="65">
        <v>71</v>
      </c>
      <c r="L155" s="65">
        <v>54</v>
      </c>
      <c r="M155" s="66">
        <v>6.17059891107078E-2</v>
      </c>
      <c r="N155" s="67">
        <v>4192.4540196327298</v>
      </c>
      <c r="O155" s="67">
        <v>123.307471165669</v>
      </c>
      <c r="P155" s="67">
        <v>580.099976062775</v>
      </c>
      <c r="Q155" s="77">
        <v>0.13836764180268599</v>
      </c>
    </row>
    <row r="156" spans="1:17" x14ac:dyDescent="0.35">
      <c r="A156" s="76" t="s">
        <v>136</v>
      </c>
      <c r="B156" s="63">
        <v>338793</v>
      </c>
      <c r="C156" s="63" t="s">
        <v>139</v>
      </c>
      <c r="D156" s="64">
        <v>42579</v>
      </c>
      <c r="E156" s="63" t="s">
        <v>138</v>
      </c>
      <c r="F156" s="65">
        <v>26981</v>
      </c>
      <c r="G156" s="66">
        <v>8.1934585019571397E-3</v>
      </c>
      <c r="H156" s="65">
        <v>521</v>
      </c>
      <c r="I156" s="67">
        <v>1.0136639252606701</v>
      </c>
      <c r="J156" s="67">
        <v>8.3054133065542608</v>
      </c>
      <c r="K156" s="65">
        <v>28</v>
      </c>
      <c r="L156" s="65">
        <v>35</v>
      </c>
      <c r="M156" s="66">
        <v>3.8461538461538498E-2</v>
      </c>
      <c r="N156" s="67">
        <v>2095.8164171233202</v>
      </c>
      <c r="O156" s="67">
        <v>110.30612721701701</v>
      </c>
      <c r="P156" s="67">
        <v>500.74997907877002</v>
      </c>
      <c r="Q156" s="77">
        <v>0.23892835984465199</v>
      </c>
    </row>
    <row r="157" spans="1:17" x14ac:dyDescent="0.35">
      <c r="A157" s="76" t="s">
        <v>136</v>
      </c>
      <c r="B157" s="63">
        <v>338793</v>
      </c>
      <c r="C157" s="63" t="s">
        <v>139</v>
      </c>
      <c r="D157" s="64">
        <v>42580</v>
      </c>
      <c r="E157" s="63" t="s">
        <v>138</v>
      </c>
      <c r="F157" s="65">
        <v>12425</v>
      </c>
      <c r="G157" s="66">
        <v>8.4342489580256606E-3</v>
      </c>
      <c r="H157" s="65">
        <v>549</v>
      </c>
      <c r="I157" s="67">
        <v>1.0248637822989399</v>
      </c>
      <c r="J157" s="67">
        <v>8.6439562879730403</v>
      </c>
      <c r="K157" s="65">
        <v>29</v>
      </c>
      <c r="L157" s="65">
        <v>52</v>
      </c>
      <c r="M157" s="66">
        <v>4.0856031128404698E-2</v>
      </c>
      <c r="N157" s="67">
        <v>2929.5963136005398</v>
      </c>
      <c r="O157" s="67">
        <v>139.50458636193099</v>
      </c>
      <c r="P157" s="67">
        <v>526.77998410165299</v>
      </c>
      <c r="Q157" s="77">
        <v>0.179813164583836</v>
      </c>
    </row>
    <row r="158" spans="1:17" x14ac:dyDescent="0.35">
      <c r="A158" s="76" t="s">
        <v>136</v>
      </c>
      <c r="B158" s="63">
        <v>338793</v>
      </c>
      <c r="C158" s="63" t="s">
        <v>139</v>
      </c>
      <c r="D158" s="64">
        <v>42581</v>
      </c>
      <c r="E158" s="63" t="s">
        <v>138</v>
      </c>
      <c r="F158" s="65">
        <v>30009</v>
      </c>
      <c r="G158" s="66">
        <v>7.7873977112648202E-3</v>
      </c>
      <c r="H158" s="65">
        <v>598</v>
      </c>
      <c r="I158" s="67">
        <v>0.96087397913622696</v>
      </c>
      <c r="J158" s="67">
        <v>7.4827078259393698</v>
      </c>
      <c r="K158" s="65">
        <v>60</v>
      </c>
      <c r="L158" s="65">
        <v>66</v>
      </c>
      <c r="M158" s="66">
        <v>6.9105691056910598E-2</v>
      </c>
      <c r="N158" s="67">
        <v>3201.87571549727</v>
      </c>
      <c r="O158" s="67">
        <v>94.172815161684298</v>
      </c>
      <c r="P158" s="67">
        <v>472.74999773502401</v>
      </c>
      <c r="Q158" s="77">
        <v>0.14764782887945499</v>
      </c>
    </row>
    <row r="159" spans="1:17" x14ac:dyDescent="0.35">
      <c r="A159" s="76" t="s">
        <v>136</v>
      </c>
      <c r="B159" s="63">
        <v>338793</v>
      </c>
      <c r="C159" s="63" t="s">
        <v>139</v>
      </c>
      <c r="D159" s="64">
        <v>42582</v>
      </c>
      <c r="E159" s="63" t="s">
        <v>138</v>
      </c>
      <c r="F159" s="65">
        <v>40662</v>
      </c>
      <c r="G159" s="66">
        <v>7.7087572862415098E-3</v>
      </c>
      <c r="H159" s="65">
        <v>164</v>
      </c>
      <c r="I159" s="67">
        <v>0.95651007071970795</v>
      </c>
      <c r="J159" s="67">
        <v>7.3735039770239297</v>
      </c>
      <c r="K159" s="65">
        <v>10</v>
      </c>
      <c r="L159" s="65">
        <v>47</v>
      </c>
      <c r="M159" s="66">
        <v>4.6979865771812103E-2</v>
      </c>
      <c r="N159" s="67">
        <v>2009.09585546361</v>
      </c>
      <c r="O159" s="67">
        <v>95.671231212552897</v>
      </c>
      <c r="P159" s="67">
        <v>427.56000161170999</v>
      </c>
      <c r="Q159" s="77">
        <v>0.21281214654292699</v>
      </c>
    </row>
    <row r="160" spans="1:17" x14ac:dyDescent="0.35">
      <c r="A160" s="76" t="s">
        <v>136</v>
      </c>
      <c r="B160" s="63">
        <v>338793</v>
      </c>
      <c r="C160" s="63" t="s">
        <v>139</v>
      </c>
      <c r="D160" s="64">
        <v>42583</v>
      </c>
      <c r="E160" s="63" t="s">
        <v>138</v>
      </c>
      <c r="F160" s="65">
        <v>13270</v>
      </c>
      <c r="G160" s="66">
        <v>8.3262799440977902E-3</v>
      </c>
      <c r="H160" s="65">
        <v>546</v>
      </c>
      <c r="I160" s="67">
        <v>0.94664302774777698</v>
      </c>
      <c r="J160" s="67">
        <v>7.8820148561563199</v>
      </c>
      <c r="K160" s="65">
        <v>69</v>
      </c>
      <c r="L160" s="65">
        <v>34</v>
      </c>
      <c r="M160" s="66">
        <v>3.54609929078014E-2</v>
      </c>
      <c r="N160" s="67">
        <v>1753.6644031927899</v>
      </c>
      <c r="O160" s="67">
        <v>116.910960212853</v>
      </c>
      <c r="P160" s="67">
        <v>400.430000737309</v>
      </c>
      <c r="Q160" s="77">
        <v>0.22833901401446599</v>
      </c>
    </row>
    <row r="161" spans="1:17" x14ac:dyDescent="0.35">
      <c r="A161" s="76" t="s">
        <v>136</v>
      </c>
      <c r="B161" s="63">
        <v>338793</v>
      </c>
      <c r="C161" s="63" t="s">
        <v>139</v>
      </c>
      <c r="D161" s="64">
        <v>42584</v>
      </c>
      <c r="E161" s="63" t="s">
        <v>138</v>
      </c>
      <c r="F161" s="65">
        <v>66976</v>
      </c>
      <c r="G161" s="66">
        <v>6.89122068353015E-3</v>
      </c>
      <c r="H161" s="65">
        <v>308</v>
      </c>
      <c r="I161" s="67">
        <v>0.941575165153403</v>
      </c>
      <c r="J161" s="67">
        <v>6.4886022532034504</v>
      </c>
      <c r="K161" s="65">
        <v>95</v>
      </c>
      <c r="L161" s="65">
        <v>55</v>
      </c>
      <c r="M161" s="66">
        <v>6.4439140811455894E-2</v>
      </c>
      <c r="N161" s="67">
        <v>2675.5906615016302</v>
      </c>
      <c r="O161" s="67">
        <v>99.095950425986501</v>
      </c>
      <c r="P161" s="67">
        <v>394.51999419927603</v>
      </c>
      <c r="Q161" s="77">
        <v>0.14745155149325301</v>
      </c>
    </row>
    <row r="162" spans="1:17" x14ac:dyDescent="0.35">
      <c r="A162" s="76" t="s">
        <v>136</v>
      </c>
      <c r="B162" s="63">
        <v>338793</v>
      </c>
      <c r="C162" s="63" t="s">
        <v>139</v>
      </c>
      <c r="D162" s="64">
        <v>42585</v>
      </c>
      <c r="E162" s="63" t="s">
        <v>138</v>
      </c>
      <c r="F162" s="65">
        <v>68536</v>
      </c>
      <c r="G162" s="66">
        <v>8.5559413306880196E-3</v>
      </c>
      <c r="H162" s="65">
        <v>515</v>
      </c>
      <c r="I162" s="67">
        <v>0.93202897702685095</v>
      </c>
      <c r="J162" s="67">
        <v>7.9743852459428997</v>
      </c>
      <c r="K162" s="65">
        <v>92</v>
      </c>
      <c r="L162" s="65">
        <v>44</v>
      </c>
      <c r="M162" s="66">
        <v>4.1407867494824002E-2</v>
      </c>
      <c r="N162" s="67">
        <v>1693.30915719769</v>
      </c>
      <c r="O162" s="67">
        <v>84.665457859884597</v>
      </c>
      <c r="P162" s="67">
        <v>450.16999590396898</v>
      </c>
      <c r="Q162" s="77">
        <v>0.26585221841531198</v>
      </c>
    </row>
    <row r="163" spans="1:17" x14ac:dyDescent="0.35">
      <c r="A163" s="76" t="s">
        <v>136</v>
      </c>
      <c r="B163" s="63">
        <v>338793</v>
      </c>
      <c r="C163" s="63" t="s">
        <v>139</v>
      </c>
      <c r="D163" s="64">
        <v>42586</v>
      </c>
      <c r="E163" s="63" t="s">
        <v>138</v>
      </c>
      <c r="F163" s="65">
        <v>11103</v>
      </c>
      <c r="G163" s="66">
        <v>7.7079190668497997E-3</v>
      </c>
      <c r="H163" s="65">
        <v>456</v>
      </c>
      <c r="I163" s="67">
        <v>0.94531914231149405</v>
      </c>
      <c r="J163" s="67">
        <v>7.2864434412808698</v>
      </c>
      <c r="K163" s="65">
        <v>74</v>
      </c>
      <c r="L163" s="65">
        <v>40</v>
      </c>
      <c r="M163" s="66">
        <v>5.0531914893616997E-2</v>
      </c>
      <c r="N163" s="67">
        <v>2122.4780081880399</v>
      </c>
      <c r="O163" s="67">
        <v>111.709368852002</v>
      </c>
      <c r="P163" s="67">
        <v>355.43999750912201</v>
      </c>
      <c r="Q163" s="77">
        <v>0.16746463150049901</v>
      </c>
    </row>
    <row r="164" spans="1:17" x14ac:dyDescent="0.35">
      <c r="A164" s="76" t="s">
        <v>136</v>
      </c>
      <c r="B164" s="63">
        <v>338793</v>
      </c>
      <c r="C164" s="63" t="s">
        <v>139</v>
      </c>
      <c r="D164" s="64">
        <v>42587</v>
      </c>
      <c r="E164" s="63" t="s">
        <v>138</v>
      </c>
      <c r="F164" s="65">
        <v>39403</v>
      </c>
      <c r="G164" s="66">
        <v>1.03439262108369E-2</v>
      </c>
      <c r="H164" s="65">
        <v>251</v>
      </c>
      <c r="I164" s="67">
        <v>0.90911552205090096</v>
      </c>
      <c r="J164" s="67">
        <v>9.4038238772209404</v>
      </c>
      <c r="K164" s="65">
        <v>49</v>
      </c>
      <c r="L164" s="65">
        <v>68</v>
      </c>
      <c r="M164" s="66">
        <v>5.7761732851985603E-2</v>
      </c>
      <c r="N164" s="67">
        <v>3115.9251244813499</v>
      </c>
      <c r="O164" s="67">
        <v>97.372660140042299</v>
      </c>
      <c r="P164" s="67">
        <v>503.64999921619898</v>
      </c>
      <c r="Q164" s="77">
        <v>0.161637388286097</v>
      </c>
    </row>
    <row r="165" spans="1:17" x14ac:dyDescent="0.35">
      <c r="A165" s="76" t="s">
        <v>136</v>
      </c>
      <c r="B165" s="63">
        <v>338793</v>
      </c>
      <c r="C165" s="63" t="s">
        <v>139</v>
      </c>
      <c r="D165" s="64">
        <v>42588</v>
      </c>
      <c r="E165" s="63" t="s">
        <v>138</v>
      </c>
      <c r="F165" s="65">
        <v>7067</v>
      </c>
      <c r="G165" s="66">
        <v>7.5349998513806696E-3</v>
      </c>
      <c r="H165" s="65">
        <v>153</v>
      </c>
      <c r="I165" s="67">
        <v>0.95067060904860301</v>
      </c>
      <c r="J165" s="67">
        <v>7.1633028978931996</v>
      </c>
      <c r="K165" s="65">
        <v>67</v>
      </c>
      <c r="L165" s="65">
        <v>66</v>
      </c>
      <c r="M165" s="66">
        <v>5.52268244575937E-2</v>
      </c>
      <c r="N165" s="67">
        <v>3194.4731527987301</v>
      </c>
      <c r="O165" s="67">
        <v>114.08832688566901</v>
      </c>
      <c r="P165" s="67">
        <v>481.98999878764198</v>
      </c>
      <c r="Q165" s="77">
        <v>0.150882469732251</v>
      </c>
    </row>
    <row r="166" spans="1:17" x14ac:dyDescent="0.35">
      <c r="A166" s="76" t="s">
        <v>136</v>
      </c>
      <c r="B166" s="63">
        <v>338793</v>
      </c>
      <c r="C166" s="63" t="s">
        <v>139</v>
      </c>
      <c r="D166" s="64">
        <v>42589</v>
      </c>
      <c r="E166" s="63" t="s">
        <v>138</v>
      </c>
      <c r="F166" s="65">
        <v>35886</v>
      </c>
      <c r="G166" s="66">
        <v>7.4382210125877599E-3</v>
      </c>
      <c r="H166" s="65">
        <v>410</v>
      </c>
      <c r="I166" s="67">
        <v>0.92274427627699296</v>
      </c>
      <c r="J166" s="67">
        <v>6.8635758650486096</v>
      </c>
      <c r="K166" s="65">
        <v>84</v>
      </c>
      <c r="L166" s="65">
        <v>52</v>
      </c>
      <c r="M166" s="66">
        <v>6.2370062370062401E-2</v>
      </c>
      <c r="N166" s="67">
        <v>2932.2296990507898</v>
      </c>
      <c r="O166" s="67">
        <v>97.740989968359699</v>
      </c>
      <c r="P166" s="67">
        <v>443.83999688923399</v>
      </c>
      <c r="Q166" s="77">
        <v>0.151366039649933</v>
      </c>
    </row>
    <row r="167" spans="1:17" x14ac:dyDescent="0.35">
      <c r="A167" s="76" t="s">
        <v>136</v>
      </c>
      <c r="B167" s="63">
        <v>338793</v>
      </c>
      <c r="C167" s="63" t="s">
        <v>139</v>
      </c>
      <c r="D167" s="64">
        <v>42590</v>
      </c>
      <c r="E167" s="63" t="s">
        <v>138</v>
      </c>
      <c r="F167" s="65">
        <v>29993</v>
      </c>
      <c r="G167" s="66">
        <v>7.5952821321366801E-3</v>
      </c>
      <c r="H167" s="65">
        <v>173</v>
      </c>
      <c r="I167" s="67">
        <v>0.92099800818932498</v>
      </c>
      <c r="J167" s="67">
        <v>6.9952397153338604</v>
      </c>
      <c r="K167" s="65">
        <v>25</v>
      </c>
      <c r="L167" s="65">
        <v>71</v>
      </c>
      <c r="M167" s="66">
        <v>7.3852295409181604E-2</v>
      </c>
      <c r="N167" s="67">
        <v>3675.9703791250499</v>
      </c>
      <c r="O167" s="67">
        <v>99.350550787163399</v>
      </c>
      <c r="P167" s="67">
        <v>461.42000210285198</v>
      </c>
      <c r="Q167" s="77">
        <v>0.125523318882858</v>
      </c>
    </row>
    <row r="168" spans="1:17" x14ac:dyDescent="0.35">
      <c r="A168" s="76" t="s">
        <v>136</v>
      </c>
      <c r="B168" s="63">
        <v>338793</v>
      </c>
      <c r="C168" s="63" t="s">
        <v>139</v>
      </c>
      <c r="D168" s="64">
        <v>42591</v>
      </c>
      <c r="E168" s="63" t="s">
        <v>138</v>
      </c>
      <c r="F168" s="65">
        <v>56551</v>
      </c>
      <c r="G168" s="66">
        <v>7.5319612830762103E-3</v>
      </c>
      <c r="H168" s="65">
        <v>165</v>
      </c>
      <c r="I168" s="67">
        <v>0.96094297565389097</v>
      </c>
      <c r="J168" s="67">
        <v>7.2377852878691504</v>
      </c>
      <c r="K168" s="65">
        <v>99</v>
      </c>
      <c r="L168" s="65">
        <v>56</v>
      </c>
      <c r="M168" s="66">
        <v>5.2631578947368397E-2</v>
      </c>
      <c r="N168" s="67">
        <v>2082.55732299994</v>
      </c>
      <c r="O168" s="67">
        <v>86.773221791664199</v>
      </c>
      <c r="P168" s="67">
        <v>438.189996898174</v>
      </c>
      <c r="Q168" s="77">
        <v>0.210409572912479</v>
      </c>
    </row>
    <row r="169" spans="1:17" x14ac:dyDescent="0.35">
      <c r="A169" s="76" t="s">
        <v>136</v>
      </c>
      <c r="B169" s="63">
        <v>338793</v>
      </c>
      <c r="C169" s="63" t="s">
        <v>139</v>
      </c>
      <c r="D169" s="64">
        <v>42592</v>
      </c>
      <c r="E169" s="63" t="s">
        <v>138</v>
      </c>
      <c r="F169" s="65">
        <v>29466</v>
      </c>
      <c r="G169" s="66">
        <v>7.6294904727217004E-3</v>
      </c>
      <c r="H169" s="65">
        <v>473</v>
      </c>
      <c r="I169" s="67">
        <v>0.91241203986070896</v>
      </c>
      <c r="J169" s="67">
        <v>6.96123896531385</v>
      </c>
      <c r="K169" s="65">
        <v>27</v>
      </c>
      <c r="L169" s="65">
        <v>51</v>
      </c>
      <c r="M169" s="66">
        <v>5.7788944723618098E-2</v>
      </c>
      <c r="N169" s="67">
        <v>2272.41765755911</v>
      </c>
      <c r="O169" s="67">
        <v>98.800767719961499</v>
      </c>
      <c r="P169" s="67">
        <v>363.13999186456198</v>
      </c>
      <c r="Q169" s="77">
        <v>0.15980336654073701</v>
      </c>
    </row>
    <row r="170" spans="1:17" x14ac:dyDescent="0.35">
      <c r="A170" s="76" t="s">
        <v>136</v>
      </c>
      <c r="B170" s="63">
        <v>338793</v>
      </c>
      <c r="C170" s="63" t="s">
        <v>139</v>
      </c>
      <c r="D170" s="64">
        <v>42593</v>
      </c>
      <c r="E170" s="63" t="s">
        <v>138</v>
      </c>
      <c r="F170" s="65">
        <v>20918</v>
      </c>
      <c r="G170" s="66">
        <v>7.4120271534457499E-3</v>
      </c>
      <c r="H170" s="65">
        <v>305</v>
      </c>
      <c r="I170" s="67">
        <v>0.94388349489293799</v>
      </c>
      <c r="J170" s="67">
        <v>6.99609009383573</v>
      </c>
      <c r="K170" s="65">
        <v>38</v>
      </c>
      <c r="L170" s="65">
        <v>33</v>
      </c>
      <c r="M170" s="66">
        <v>3.2362459546925598E-2</v>
      </c>
      <c r="N170" s="67">
        <v>1154.8542840704099</v>
      </c>
      <c r="O170" s="67">
        <v>115.485428407041</v>
      </c>
      <c r="P170" s="67">
        <v>291.65999992191797</v>
      </c>
      <c r="Q170" s="77">
        <v>0.252551342576253</v>
      </c>
    </row>
    <row r="171" spans="1:17" x14ac:dyDescent="0.35">
      <c r="A171" s="76" t="s">
        <v>136</v>
      </c>
      <c r="B171" s="63">
        <v>338793</v>
      </c>
      <c r="C171" s="63" t="s">
        <v>139</v>
      </c>
      <c r="D171" s="64">
        <v>42594</v>
      </c>
      <c r="E171" s="63" t="s">
        <v>138</v>
      </c>
      <c r="F171" s="65">
        <v>28851</v>
      </c>
      <c r="G171" s="66">
        <v>8.0538714512628905E-3</v>
      </c>
      <c r="H171" s="65">
        <v>353</v>
      </c>
      <c r="I171" s="67">
        <v>0.93616667663057596</v>
      </c>
      <c r="J171" s="67">
        <v>7.5397660705386604</v>
      </c>
      <c r="K171" s="65">
        <v>80</v>
      </c>
      <c r="L171" s="65">
        <v>66</v>
      </c>
      <c r="M171" s="66">
        <v>8.3333333333333301E-2</v>
      </c>
      <c r="N171" s="67">
        <v>3346.87012765999</v>
      </c>
      <c r="O171" s="67">
        <v>111.562337588666</v>
      </c>
      <c r="P171" s="67">
        <v>337.02000358700798</v>
      </c>
      <c r="Q171" s="77">
        <v>0.100697066432823</v>
      </c>
    </row>
    <row r="172" spans="1:17" x14ac:dyDescent="0.35">
      <c r="A172" s="76" t="s">
        <v>136</v>
      </c>
      <c r="B172" s="63">
        <v>338793</v>
      </c>
      <c r="C172" s="63" t="s">
        <v>139</v>
      </c>
      <c r="D172" s="64">
        <v>42595</v>
      </c>
      <c r="E172" s="63" t="s">
        <v>138</v>
      </c>
      <c r="F172" s="65">
        <v>24025</v>
      </c>
      <c r="G172" s="66">
        <v>6.9487992135993104E-3</v>
      </c>
      <c r="H172" s="65">
        <v>244</v>
      </c>
      <c r="I172" s="67">
        <v>0.93643902798251399</v>
      </c>
      <c r="J172" s="67">
        <v>6.5071267812286004</v>
      </c>
      <c r="K172" s="65">
        <v>52</v>
      </c>
      <c r="L172" s="65">
        <v>51</v>
      </c>
      <c r="M172" s="66">
        <v>6.3414634146341506E-2</v>
      </c>
      <c r="N172" s="67">
        <v>3038.6704752251599</v>
      </c>
      <c r="O172" s="67">
        <v>116.871941354814</v>
      </c>
      <c r="P172" s="67">
        <v>383.940001472831</v>
      </c>
      <c r="Q172" s="77">
        <v>0.12635131206333999</v>
      </c>
    </row>
    <row r="173" spans="1:17" x14ac:dyDescent="0.35">
      <c r="A173" s="76" t="s">
        <v>136</v>
      </c>
      <c r="B173" s="63">
        <v>338793</v>
      </c>
      <c r="C173" s="63" t="s">
        <v>139</v>
      </c>
      <c r="D173" s="64">
        <v>42596</v>
      </c>
      <c r="E173" s="63" t="s">
        <v>138</v>
      </c>
      <c r="F173" s="65">
        <v>31846</v>
      </c>
      <c r="G173" s="66">
        <v>6.8488494612691598E-3</v>
      </c>
      <c r="H173" s="65">
        <v>414</v>
      </c>
      <c r="I173" s="67">
        <v>0.95575681047758998</v>
      </c>
      <c r="J173" s="67">
        <v>6.5458345165437803</v>
      </c>
      <c r="K173" s="65">
        <v>19</v>
      </c>
      <c r="L173" s="65">
        <v>35</v>
      </c>
      <c r="M173" s="66">
        <v>6.4516129032258104E-2</v>
      </c>
      <c r="N173" s="67">
        <v>2891.01571209535</v>
      </c>
      <c r="O173" s="67">
        <v>111.192912003667</v>
      </c>
      <c r="P173" s="67">
        <v>385.16999462246901</v>
      </c>
      <c r="Q173" s="77">
        <v>0.13322999007269501</v>
      </c>
    </row>
    <row r="174" spans="1:17" x14ac:dyDescent="0.35">
      <c r="A174" s="76" t="s">
        <v>136</v>
      </c>
      <c r="B174" s="63">
        <v>338793</v>
      </c>
      <c r="C174" s="63" t="s">
        <v>139</v>
      </c>
      <c r="D174" s="64">
        <v>42597</v>
      </c>
      <c r="E174" s="63" t="s">
        <v>138</v>
      </c>
      <c r="F174" s="65">
        <v>3080</v>
      </c>
      <c r="G174" s="66">
        <v>7.8443204103183003E-3</v>
      </c>
      <c r="H174" s="65">
        <v>580</v>
      </c>
      <c r="I174" s="67">
        <v>0.97302884995364203</v>
      </c>
      <c r="J174" s="67">
        <v>7.6327500675198996</v>
      </c>
      <c r="K174" s="65">
        <v>54</v>
      </c>
      <c r="L174" s="65">
        <v>44</v>
      </c>
      <c r="M174" s="66">
        <v>5.7692307692307702E-2</v>
      </c>
      <c r="N174" s="67">
        <v>2966.45971305783</v>
      </c>
      <c r="O174" s="67">
        <v>123.602488044076</v>
      </c>
      <c r="P174" s="67">
        <v>404.78000158071501</v>
      </c>
      <c r="Q174" s="77">
        <v>0.13645221601997401</v>
      </c>
    </row>
    <row r="175" spans="1:17" x14ac:dyDescent="0.35">
      <c r="A175" s="76" t="s">
        <v>136</v>
      </c>
      <c r="B175" s="63">
        <v>338793</v>
      </c>
      <c r="C175" s="63" t="s">
        <v>139</v>
      </c>
      <c r="D175" s="64">
        <v>42598</v>
      </c>
      <c r="E175" s="63" t="s">
        <v>138</v>
      </c>
      <c r="F175" s="65">
        <v>48897</v>
      </c>
      <c r="G175" s="66">
        <v>7.9139454475605098E-3</v>
      </c>
      <c r="H175" s="65">
        <v>516</v>
      </c>
      <c r="I175" s="67">
        <v>0.95155339254048299</v>
      </c>
      <c r="J175" s="67">
        <v>7.5305416390065103</v>
      </c>
      <c r="K175" s="65">
        <v>67</v>
      </c>
      <c r="L175" s="65">
        <v>45</v>
      </c>
      <c r="M175" s="66">
        <v>4.85436893203883E-2</v>
      </c>
      <c r="N175" s="67">
        <v>2021.6416679470501</v>
      </c>
      <c r="O175" s="67">
        <v>101.08208339735199</v>
      </c>
      <c r="P175" s="67">
        <v>392.03999772667902</v>
      </c>
      <c r="Q175" s="77">
        <v>0.193921605367776</v>
      </c>
    </row>
    <row r="176" spans="1:17" x14ac:dyDescent="0.35">
      <c r="A176" s="76" t="s">
        <v>136</v>
      </c>
      <c r="B176" s="63">
        <v>338793</v>
      </c>
      <c r="C176" s="63" t="s">
        <v>139</v>
      </c>
      <c r="D176" s="64">
        <v>42599</v>
      </c>
      <c r="E176" s="63" t="s">
        <v>138</v>
      </c>
      <c r="F176" s="65">
        <v>46720</v>
      </c>
      <c r="G176" s="66">
        <v>8.1614864998712407E-3</v>
      </c>
      <c r="H176" s="65">
        <v>162</v>
      </c>
      <c r="I176" s="67">
        <v>0.93650484501013498</v>
      </c>
      <c r="J176" s="67">
        <v>7.6432716496142197</v>
      </c>
      <c r="K176" s="65">
        <v>95</v>
      </c>
      <c r="L176" s="65">
        <v>49</v>
      </c>
      <c r="M176" s="66">
        <v>7.2815533980582506E-2</v>
      </c>
      <c r="N176" s="67">
        <v>2335.9630674838099</v>
      </c>
      <c r="O176" s="67">
        <v>77.865435582793694</v>
      </c>
      <c r="P176" s="67">
        <v>385.83999614417598</v>
      </c>
      <c r="Q176" s="77">
        <v>0.16517384264974</v>
      </c>
    </row>
    <row r="177" spans="1:17" x14ac:dyDescent="0.35">
      <c r="A177" s="76" t="s">
        <v>136</v>
      </c>
      <c r="B177" s="63">
        <v>338793</v>
      </c>
      <c r="C177" s="63" t="s">
        <v>139</v>
      </c>
      <c r="D177" s="64">
        <v>42600</v>
      </c>
      <c r="E177" s="63" t="s">
        <v>138</v>
      </c>
      <c r="F177" s="65">
        <v>20618</v>
      </c>
      <c r="G177" s="66">
        <v>9.0135547349831403E-3</v>
      </c>
      <c r="H177" s="65">
        <v>348</v>
      </c>
      <c r="I177" s="67">
        <v>0.99083965345648395</v>
      </c>
      <c r="J177" s="67">
        <v>8.9309874500217497</v>
      </c>
      <c r="K177" s="65">
        <v>90</v>
      </c>
      <c r="L177" s="65">
        <v>26</v>
      </c>
      <c r="M177" s="66">
        <v>4.3256997455470701E-2</v>
      </c>
      <c r="N177" s="67">
        <v>1413.0453595541201</v>
      </c>
      <c r="O177" s="67">
        <v>83.120315267889197</v>
      </c>
      <c r="P177" s="67">
        <v>389.39998380839802</v>
      </c>
      <c r="Q177" s="77">
        <v>0.27557500626255399</v>
      </c>
    </row>
    <row r="178" spans="1:17" x14ac:dyDescent="0.35">
      <c r="A178" s="76" t="s">
        <v>136</v>
      </c>
      <c r="B178" s="63">
        <v>338793</v>
      </c>
      <c r="C178" s="63" t="s">
        <v>139</v>
      </c>
      <c r="D178" s="64">
        <v>42601</v>
      </c>
      <c r="E178" s="63" t="s">
        <v>138</v>
      </c>
      <c r="F178" s="65">
        <v>19813</v>
      </c>
      <c r="G178" s="66">
        <v>9.2491634394856592E-3</v>
      </c>
      <c r="H178" s="65">
        <v>304</v>
      </c>
      <c r="I178" s="67">
        <v>1.018617842407</v>
      </c>
      <c r="J178" s="67">
        <v>9.4213629067986204</v>
      </c>
      <c r="K178" s="65">
        <v>21</v>
      </c>
      <c r="L178" s="65">
        <v>37</v>
      </c>
      <c r="M178" s="66">
        <v>3.4552845528455299E-2</v>
      </c>
      <c r="N178" s="67">
        <v>3044.7491071700701</v>
      </c>
      <c r="O178" s="67">
        <v>179.102888657063</v>
      </c>
      <c r="P178" s="67">
        <v>501.15997846424602</v>
      </c>
      <c r="Q178" s="77">
        <v>0.164598119852984</v>
      </c>
    </row>
    <row r="179" spans="1:17" x14ac:dyDescent="0.35">
      <c r="A179" s="76" t="s">
        <v>136</v>
      </c>
      <c r="B179" s="63">
        <v>338793</v>
      </c>
      <c r="C179" s="63" t="s">
        <v>139</v>
      </c>
      <c r="D179" s="64">
        <v>42602</v>
      </c>
      <c r="E179" s="63" t="s">
        <v>138</v>
      </c>
      <c r="F179" s="65">
        <v>45903</v>
      </c>
      <c r="G179" s="66">
        <v>7.2871966918935799E-3</v>
      </c>
      <c r="H179" s="65">
        <v>373</v>
      </c>
      <c r="I179" s="67">
        <v>0.94719484011289601</v>
      </c>
      <c r="J179" s="67">
        <v>6.9023951054493704</v>
      </c>
      <c r="K179" s="65">
        <v>58</v>
      </c>
      <c r="L179" s="65">
        <v>70</v>
      </c>
      <c r="M179" s="66">
        <v>7.7087794432548207E-2</v>
      </c>
      <c r="N179" s="67">
        <v>3670.1586608702501</v>
      </c>
      <c r="O179" s="67">
        <v>101.94885169084</v>
      </c>
      <c r="P179" s="67">
        <v>442.339990332723</v>
      </c>
      <c r="Q179" s="77">
        <v>0.120523397271288</v>
      </c>
    </row>
    <row r="180" spans="1:17" x14ac:dyDescent="0.35">
      <c r="A180" s="76" t="s">
        <v>136</v>
      </c>
      <c r="B180" s="63">
        <v>338793</v>
      </c>
      <c r="C180" s="63" t="s">
        <v>139</v>
      </c>
      <c r="D180" s="64">
        <v>42603</v>
      </c>
      <c r="E180" s="63" t="s">
        <v>138</v>
      </c>
      <c r="F180" s="65">
        <v>50920</v>
      </c>
      <c r="G180" s="66">
        <v>7.6228847703464896E-3</v>
      </c>
      <c r="H180" s="65">
        <v>399</v>
      </c>
      <c r="I180" s="67">
        <v>0.90970400971287702</v>
      </c>
      <c r="J180" s="67">
        <v>6.9345688411634301</v>
      </c>
      <c r="K180" s="65">
        <v>31</v>
      </c>
      <c r="L180" s="65">
        <v>38</v>
      </c>
      <c r="M180" s="66">
        <v>2.7484143763213498E-2</v>
      </c>
      <c r="N180" s="67">
        <v>1591.78306078331</v>
      </c>
      <c r="O180" s="67">
        <v>122.44485082948501</v>
      </c>
      <c r="P180" s="67">
        <v>430.289996594191</v>
      </c>
      <c r="Q180" s="77">
        <v>0.2703194971697</v>
      </c>
    </row>
    <row r="181" spans="1:17" x14ac:dyDescent="0.35">
      <c r="A181" s="76" t="s">
        <v>136</v>
      </c>
      <c r="B181" s="63">
        <v>338793</v>
      </c>
      <c r="C181" s="63" t="s">
        <v>139</v>
      </c>
      <c r="D181" s="64">
        <v>42604</v>
      </c>
      <c r="E181" s="63" t="s">
        <v>138</v>
      </c>
      <c r="F181" s="65">
        <v>7813</v>
      </c>
      <c r="G181" s="66">
        <v>8.6755155806890107E-3</v>
      </c>
      <c r="H181" s="65">
        <v>270</v>
      </c>
      <c r="I181" s="67">
        <v>0.90588006377220198</v>
      </c>
      <c r="J181" s="67">
        <v>7.8589766074912903</v>
      </c>
      <c r="K181" s="65">
        <v>67</v>
      </c>
      <c r="L181" s="65">
        <v>51</v>
      </c>
      <c r="M181" s="66">
        <v>5.2224371373307502E-2</v>
      </c>
      <c r="N181" s="67">
        <v>3863.7696884689399</v>
      </c>
      <c r="O181" s="67">
        <v>143.10258105440499</v>
      </c>
      <c r="P181" s="67">
        <v>468.33999297022802</v>
      </c>
      <c r="Q181" s="77">
        <v>0.121213227167226</v>
      </c>
    </row>
    <row r="182" spans="1:17" x14ac:dyDescent="0.35">
      <c r="A182" s="76" t="s">
        <v>136</v>
      </c>
      <c r="B182" s="63">
        <v>338793</v>
      </c>
      <c r="C182" s="63" t="s">
        <v>139</v>
      </c>
      <c r="D182" s="64">
        <v>42605</v>
      </c>
      <c r="E182" s="63" t="s">
        <v>138</v>
      </c>
      <c r="F182" s="65">
        <v>28403</v>
      </c>
      <c r="G182" s="66">
        <v>9.3359907689080004E-3</v>
      </c>
      <c r="H182" s="65">
        <v>283</v>
      </c>
      <c r="I182" s="67">
        <v>0.86453182267004203</v>
      </c>
      <c r="J182" s="67">
        <v>8.0712611158747194</v>
      </c>
      <c r="K182" s="65">
        <v>85</v>
      </c>
      <c r="L182" s="65">
        <v>55</v>
      </c>
      <c r="M182" s="66">
        <v>6.9288389513108603E-2</v>
      </c>
      <c r="N182" s="67">
        <v>4594.3266927301702</v>
      </c>
      <c r="O182" s="67">
        <v>124.17099169541</v>
      </c>
      <c r="P182" s="67">
        <v>461.659993305802</v>
      </c>
      <c r="Q182" s="77">
        <v>0.100484798792456</v>
      </c>
    </row>
    <row r="183" spans="1:17" x14ac:dyDescent="0.35">
      <c r="A183" s="76" t="s">
        <v>136</v>
      </c>
      <c r="B183" s="63">
        <v>338793</v>
      </c>
      <c r="C183" s="63" t="s">
        <v>139</v>
      </c>
      <c r="D183" s="64">
        <v>42606</v>
      </c>
      <c r="E183" s="63" t="s">
        <v>138</v>
      </c>
      <c r="F183" s="65">
        <v>30407</v>
      </c>
      <c r="G183" s="66">
        <v>8.0837443250481797E-3</v>
      </c>
      <c r="H183" s="65">
        <v>252</v>
      </c>
      <c r="I183" s="67">
        <v>0.87610098605204101</v>
      </c>
      <c r="J183" s="67">
        <v>7.0821763741673003</v>
      </c>
      <c r="K183" s="65">
        <v>73</v>
      </c>
      <c r="L183" s="65">
        <v>82</v>
      </c>
      <c r="M183" s="66">
        <v>6.2626262626262599E-2</v>
      </c>
      <c r="N183" s="67">
        <v>4240.9898750040702</v>
      </c>
      <c r="O183" s="67">
        <v>136.806125000131</v>
      </c>
      <c r="P183" s="67">
        <v>433.66998809576</v>
      </c>
      <c r="Q183" s="77">
        <v>0.102256784589787</v>
      </c>
    </row>
    <row r="184" spans="1:17" x14ac:dyDescent="0.35">
      <c r="A184" s="76" t="s">
        <v>136</v>
      </c>
      <c r="B184" s="63">
        <v>338793</v>
      </c>
      <c r="C184" s="63" t="s">
        <v>139</v>
      </c>
      <c r="D184" s="64">
        <v>42607</v>
      </c>
      <c r="E184" s="63" t="s">
        <v>138</v>
      </c>
      <c r="F184" s="65">
        <v>7426</v>
      </c>
      <c r="G184" s="66">
        <v>9.3863737947768294E-3</v>
      </c>
      <c r="H184" s="65">
        <v>450</v>
      </c>
      <c r="I184" s="67">
        <v>0.87324260594217695</v>
      </c>
      <c r="J184" s="67">
        <v>8.1965815128982804</v>
      </c>
      <c r="K184" s="65">
        <v>81</v>
      </c>
      <c r="L184" s="65">
        <v>29</v>
      </c>
      <c r="M184" s="66">
        <v>3.8548752834467098E-2</v>
      </c>
      <c r="N184" s="67">
        <v>2344.8007973047502</v>
      </c>
      <c r="O184" s="67">
        <v>137.92945866498499</v>
      </c>
      <c r="P184" s="67">
        <v>385.09998922049999</v>
      </c>
      <c r="Q184" s="77">
        <v>0.16423569527234699</v>
      </c>
    </row>
    <row r="185" spans="1:17" x14ac:dyDescent="0.35">
      <c r="A185" s="76" t="s">
        <v>136</v>
      </c>
      <c r="B185" s="63">
        <v>338793</v>
      </c>
      <c r="C185" s="63" t="s">
        <v>139</v>
      </c>
      <c r="D185" s="64">
        <v>42608</v>
      </c>
      <c r="E185" s="63" t="s">
        <v>138</v>
      </c>
      <c r="F185" s="65">
        <v>49978</v>
      </c>
      <c r="G185" s="66">
        <v>8.4140512839151697E-3</v>
      </c>
      <c r="H185" s="65">
        <v>253</v>
      </c>
      <c r="I185" s="67">
        <v>0.89637146680967905</v>
      </c>
      <c r="J185" s="67">
        <v>7.5421154911748998</v>
      </c>
      <c r="K185" s="65">
        <v>73</v>
      </c>
      <c r="L185" s="65">
        <v>59</v>
      </c>
      <c r="M185" s="66">
        <v>5.3995680345572401E-2</v>
      </c>
      <c r="N185" s="67">
        <v>3379.4188848917502</v>
      </c>
      <c r="O185" s="67">
        <v>135.17675539567</v>
      </c>
      <c r="P185" s="67">
        <v>415.01998913288099</v>
      </c>
      <c r="Q185" s="77">
        <v>0.122808093127578</v>
      </c>
    </row>
    <row r="186" spans="1:17" x14ac:dyDescent="0.35">
      <c r="A186" s="76" t="s">
        <v>136</v>
      </c>
      <c r="B186" s="63">
        <v>338793</v>
      </c>
      <c r="C186" s="63" t="s">
        <v>139</v>
      </c>
      <c r="D186" s="64">
        <v>42609</v>
      </c>
      <c r="E186" s="63" t="s">
        <v>138</v>
      </c>
      <c r="F186" s="65">
        <v>35105</v>
      </c>
      <c r="G186" s="66">
        <v>7.5147096444103398E-3</v>
      </c>
      <c r="H186" s="65">
        <v>281</v>
      </c>
      <c r="I186" s="67">
        <v>0.93593616212936204</v>
      </c>
      <c r="J186" s="67">
        <v>7.0332885041059097</v>
      </c>
      <c r="K186" s="65">
        <v>25</v>
      </c>
      <c r="L186" s="65">
        <v>58</v>
      </c>
      <c r="M186" s="66">
        <v>6.1702127659574502E-2</v>
      </c>
      <c r="N186" s="67">
        <v>3291.3864347560202</v>
      </c>
      <c r="O186" s="67">
        <v>113.49608395710401</v>
      </c>
      <c r="P186" s="67">
        <v>439.8899962008</v>
      </c>
      <c r="Q186" s="77">
        <v>0.133648845226953</v>
      </c>
    </row>
    <row r="187" spans="1:17" x14ac:dyDescent="0.35">
      <c r="A187" s="76" t="s">
        <v>136</v>
      </c>
      <c r="B187" s="63">
        <v>338793</v>
      </c>
      <c r="C187" s="63" t="s">
        <v>139</v>
      </c>
      <c r="D187" s="64">
        <v>42610</v>
      </c>
      <c r="E187" s="63" t="s">
        <v>138</v>
      </c>
      <c r="F187" s="65">
        <v>51244</v>
      </c>
      <c r="G187" s="66">
        <v>7.4446044176001702E-3</v>
      </c>
      <c r="H187" s="65">
        <v>436</v>
      </c>
      <c r="I187" s="67">
        <v>0.95507075939819497</v>
      </c>
      <c r="J187" s="67">
        <v>7.1101239945365498</v>
      </c>
      <c r="K187" s="65">
        <v>10</v>
      </c>
      <c r="L187" s="65">
        <v>38</v>
      </c>
      <c r="M187" s="66">
        <v>6.6037735849056603E-2</v>
      </c>
      <c r="N187" s="67">
        <v>2815.5716239717399</v>
      </c>
      <c r="O187" s="67">
        <v>100.556129427562</v>
      </c>
      <c r="P187" s="67">
        <v>404.95000198483501</v>
      </c>
      <c r="Q187" s="77">
        <v>0.14382514674359401</v>
      </c>
    </row>
    <row r="188" spans="1:17" x14ac:dyDescent="0.35">
      <c r="A188" s="76" t="s">
        <v>136</v>
      </c>
      <c r="B188" s="63">
        <v>338793</v>
      </c>
      <c r="C188" s="63" t="s">
        <v>139</v>
      </c>
      <c r="D188" s="64">
        <v>42611</v>
      </c>
      <c r="E188" s="63" t="s">
        <v>138</v>
      </c>
      <c r="F188" s="65">
        <v>15928</v>
      </c>
      <c r="G188" s="66">
        <v>7.9888630503219295E-3</v>
      </c>
      <c r="H188" s="65">
        <v>495</v>
      </c>
      <c r="I188" s="67">
        <v>0.93887129968935901</v>
      </c>
      <c r="J188" s="67">
        <v>7.5005142350960403</v>
      </c>
      <c r="K188" s="65">
        <v>65</v>
      </c>
      <c r="L188" s="65">
        <v>38</v>
      </c>
      <c r="M188" s="66">
        <v>4.15841584158416E-2</v>
      </c>
      <c r="N188" s="67">
        <v>2792.4211240262898</v>
      </c>
      <c r="O188" s="67">
        <v>132.97243447744199</v>
      </c>
      <c r="P188" s="67">
        <v>474.13000634312601</v>
      </c>
      <c r="Q188" s="77">
        <v>0.169791727423798</v>
      </c>
    </row>
    <row r="189" spans="1:17" x14ac:dyDescent="0.35">
      <c r="A189" s="76" t="s">
        <v>136</v>
      </c>
      <c r="B189" s="63">
        <v>338793</v>
      </c>
      <c r="C189" s="63" t="s">
        <v>139</v>
      </c>
      <c r="D189" s="64">
        <v>42612</v>
      </c>
      <c r="E189" s="63" t="s">
        <v>138</v>
      </c>
      <c r="F189" s="65">
        <v>65337</v>
      </c>
      <c r="G189" s="66">
        <v>8.32621690862511E-3</v>
      </c>
      <c r="H189" s="65">
        <v>518</v>
      </c>
      <c r="I189" s="67">
        <v>0.94266272140795404</v>
      </c>
      <c r="J189" s="67">
        <v>7.8488142901174696</v>
      </c>
      <c r="K189" s="65">
        <v>84</v>
      </c>
      <c r="L189" s="65">
        <v>52</v>
      </c>
      <c r="M189" s="66">
        <v>5.9171597633136098E-2</v>
      </c>
      <c r="N189" s="67">
        <v>3913.0022764658202</v>
      </c>
      <c r="O189" s="67">
        <v>130.43340921552701</v>
      </c>
      <c r="P189" s="67">
        <v>477.92999975383299</v>
      </c>
      <c r="Q189" s="77">
        <v>0.122138952647248</v>
      </c>
    </row>
    <row r="190" spans="1:17" x14ac:dyDescent="0.35">
      <c r="A190" s="76" t="s">
        <v>136</v>
      </c>
      <c r="B190" s="63">
        <v>338793</v>
      </c>
      <c r="C190" s="63" t="s">
        <v>139</v>
      </c>
      <c r="D190" s="64">
        <v>42613</v>
      </c>
      <c r="E190" s="63" t="s">
        <v>138</v>
      </c>
      <c r="F190" s="65">
        <v>58856</v>
      </c>
      <c r="G190" s="66">
        <v>8.6450427146795607E-3</v>
      </c>
      <c r="H190" s="65">
        <v>202</v>
      </c>
      <c r="I190" s="67">
        <v>0.94064961898866595</v>
      </c>
      <c r="J190" s="67">
        <v>8.1319561357040708</v>
      </c>
      <c r="K190" s="65">
        <v>87</v>
      </c>
      <c r="L190" s="65">
        <v>72</v>
      </c>
      <c r="M190" s="66">
        <v>8.4645669291338599E-2</v>
      </c>
      <c r="N190" s="67">
        <v>6298.5901142692001</v>
      </c>
      <c r="O190" s="67">
        <v>146.47883986672599</v>
      </c>
      <c r="P190" s="67">
        <v>477.85000644624199</v>
      </c>
      <c r="Q190" s="77">
        <v>7.5866185571226902E-2</v>
      </c>
    </row>
    <row r="191" spans="1:17" x14ac:dyDescent="0.35">
      <c r="A191" s="76" t="s">
        <v>136</v>
      </c>
      <c r="B191" s="63">
        <v>338793</v>
      </c>
      <c r="C191" s="63" t="s">
        <v>139</v>
      </c>
      <c r="D191" s="64">
        <v>42614</v>
      </c>
      <c r="E191" s="63" t="s">
        <v>138</v>
      </c>
      <c r="F191" s="65">
        <v>14637</v>
      </c>
      <c r="G191" s="66">
        <v>9.1727678195741794E-3</v>
      </c>
      <c r="H191" s="65">
        <v>420</v>
      </c>
      <c r="I191" s="67">
        <v>0.89394496606850804</v>
      </c>
      <c r="J191" s="67">
        <v>8.1999496172235506</v>
      </c>
      <c r="K191" s="65">
        <v>74</v>
      </c>
      <c r="L191" s="65">
        <v>43</v>
      </c>
      <c r="M191" s="66">
        <v>5.9633027522935797E-2</v>
      </c>
      <c r="N191" s="67">
        <v>3125.7912023261601</v>
      </c>
      <c r="O191" s="67">
        <v>120.222738551006</v>
      </c>
      <c r="P191" s="67">
        <v>389.76000520587002</v>
      </c>
      <c r="Q191" s="77">
        <v>0.124691631646995</v>
      </c>
    </row>
    <row r="192" spans="1:17" x14ac:dyDescent="0.35">
      <c r="A192" s="76" t="s">
        <v>136</v>
      </c>
      <c r="B192" s="63">
        <v>338793</v>
      </c>
      <c r="C192" s="63" t="s">
        <v>139</v>
      </c>
      <c r="D192" s="64">
        <v>42615</v>
      </c>
      <c r="E192" s="63" t="s">
        <v>138</v>
      </c>
      <c r="F192" s="65">
        <v>38944</v>
      </c>
      <c r="G192" s="66">
        <v>8.9406088128858308E-3</v>
      </c>
      <c r="H192" s="65">
        <v>507</v>
      </c>
      <c r="I192" s="67">
        <v>0.91511906857883196</v>
      </c>
      <c r="J192" s="67">
        <v>8.1817216093757708</v>
      </c>
      <c r="K192" s="65">
        <v>94</v>
      </c>
      <c r="L192" s="65">
        <v>72</v>
      </c>
      <c r="M192" s="66">
        <v>7.3412698412698402E-2</v>
      </c>
      <c r="N192" s="67">
        <v>4713.3344964319203</v>
      </c>
      <c r="O192" s="67">
        <v>127.38741882248399</v>
      </c>
      <c r="P192" s="67">
        <v>461.22001056373102</v>
      </c>
      <c r="Q192" s="77">
        <v>9.7854292096791196E-2</v>
      </c>
    </row>
    <row r="193" spans="1:17" x14ac:dyDescent="0.35">
      <c r="A193" s="76" t="s">
        <v>136</v>
      </c>
      <c r="B193" s="63">
        <v>338793</v>
      </c>
      <c r="C193" s="63" t="s">
        <v>139</v>
      </c>
      <c r="D193" s="64">
        <v>42616</v>
      </c>
      <c r="E193" s="63" t="s">
        <v>138</v>
      </c>
      <c r="F193" s="65">
        <v>25014</v>
      </c>
      <c r="G193" s="66">
        <v>7.6328654786311304E-3</v>
      </c>
      <c r="H193" s="65">
        <v>242</v>
      </c>
      <c r="I193" s="67">
        <v>0.99479337830927805</v>
      </c>
      <c r="J193" s="67">
        <v>7.5931240356677199</v>
      </c>
      <c r="K193" s="65">
        <v>15</v>
      </c>
      <c r="L193" s="65">
        <v>58</v>
      </c>
      <c r="M193" s="66">
        <v>7.0247933884297495E-2</v>
      </c>
      <c r="N193" s="67">
        <v>4038.8725140136999</v>
      </c>
      <c r="O193" s="67">
        <v>118.79036805922701</v>
      </c>
      <c r="P193" s="67">
        <v>481.47999510169001</v>
      </c>
      <c r="Q193" s="77">
        <v>0.119211486233125</v>
      </c>
    </row>
    <row r="194" spans="1:17" x14ac:dyDescent="0.35">
      <c r="A194" s="76" t="s">
        <v>136</v>
      </c>
      <c r="B194" s="63">
        <v>338793</v>
      </c>
      <c r="C194" s="63" t="s">
        <v>139</v>
      </c>
      <c r="D194" s="64">
        <v>42617</v>
      </c>
      <c r="E194" s="63" t="s">
        <v>138</v>
      </c>
      <c r="F194" s="65">
        <v>18983</v>
      </c>
      <c r="G194" s="66">
        <v>7.9041827075080392E-3</v>
      </c>
      <c r="H194" s="65">
        <v>349</v>
      </c>
      <c r="I194" s="67">
        <v>1.0067294075909801</v>
      </c>
      <c r="J194" s="67">
        <v>7.9573731746204297</v>
      </c>
      <c r="K194" s="65">
        <v>14</v>
      </c>
      <c r="L194" s="65">
        <v>44</v>
      </c>
      <c r="M194" s="66">
        <v>0.08</v>
      </c>
      <c r="N194" s="67">
        <v>2559.22038105811</v>
      </c>
      <c r="O194" s="67">
        <v>75.271187678179601</v>
      </c>
      <c r="P194" s="67">
        <v>427.859998226166</v>
      </c>
      <c r="Q194" s="77">
        <v>0.16718372571308901</v>
      </c>
    </row>
    <row r="195" spans="1:17" x14ac:dyDescent="0.35">
      <c r="A195" s="76" t="s">
        <v>136</v>
      </c>
      <c r="B195" s="63">
        <v>338793</v>
      </c>
      <c r="C195" s="63" t="s">
        <v>139</v>
      </c>
      <c r="D195" s="64">
        <v>42618</v>
      </c>
      <c r="E195" s="63" t="s">
        <v>138</v>
      </c>
      <c r="F195" s="65">
        <v>22424</v>
      </c>
      <c r="G195" s="66">
        <v>7.6622706844470603E-3</v>
      </c>
      <c r="H195" s="65">
        <v>154</v>
      </c>
      <c r="I195" s="67">
        <v>0.98694710662731799</v>
      </c>
      <c r="J195" s="67">
        <v>7.5622558822103496</v>
      </c>
      <c r="K195" s="65">
        <v>18</v>
      </c>
      <c r="L195" s="65">
        <v>40</v>
      </c>
      <c r="M195" s="66">
        <v>6.4903846153846201E-2</v>
      </c>
      <c r="N195" s="67">
        <v>3520.8131077113198</v>
      </c>
      <c r="O195" s="67">
        <v>130.40048547078999</v>
      </c>
      <c r="P195" s="67">
        <v>410.569996356964</v>
      </c>
      <c r="Q195" s="77">
        <v>0.116612266484049</v>
      </c>
    </row>
    <row r="196" spans="1:17" x14ac:dyDescent="0.35">
      <c r="A196" s="76" t="s">
        <v>136</v>
      </c>
      <c r="B196" s="63">
        <v>338793</v>
      </c>
      <c r="C196" s="63" t="s">
        <v>139</v>
      </c>
      <c r="D196" s="64">
        <v>42619</v>
      </c>
      <c r="E196" s="63" t="s">
        <v>138</v>
      </c>
      <c r="F196" s="65">
        <v>29805</v>
      </c>
      <c r="G196" s="66">
        <v>6.4100418410041804E-3</v>
      </c>
      <c r="H196" s="65">
        <v>516</v>
      </c>
      <c r="I196" s="67">
        <v>1.17430808509921</v>
      </c>
      <c r="J196" s="67">
        <v>7.5273639597154602</v>
      </c>
      <c r="K196" s="65">
        <v>9</v>
      </c>
      <c r="L196" s="65">
        <v>40</v>
      </c>
      <c r="M196" s="66">
        <v>6.26631853785901E-2</v>
      </c>
      <c r="N196" s="67">
        <v>3661.61040627291</v>
      </c>
      <c r="O196" s="67">
        <v>152.567100261371</v>
      </c>
      <c r="P196" s="67">
        <v>449.75999659299902</v>
      </c>
      <c r="Q196" s="77">
        <v>0.12283119903266899</v>
      </c>
    </row>
    <row r="197" spans="1:17" x14ac:dyDescent="0.35">
      <c r="A197" s="76" t="s">
        <v>136</v>
      </c>
      <c r="B197" s="63">
        <v>338793</v>
      </c>
      <c r="C197" s="63" t="s">
        <v>139</v>
      </c>
      <c r="D197" s="64">
        <v>42620</v>
      </c>
      <c r="E197" s="63" t="s">
        <v>138</v>
      </c>
      <c r="F197" s="65">
        <v>11255</v>
      </c>
      <c r="G197" s="66">
        <v>7.4748525841137701E-3</v>
      </c>
      <c r="H197" s="65">
        <v>281</v>
      </c>
      <c r="I197" s="67">
        <v>1.2651740139709</v>
      </c>
      <c r="J197" s="67">
        <v>9.4569892476839694</v>
      </c>
      <c r="K197" s="65">
        <v>89</v>
      </c>
      <c r="L197" s="65">
        <v>37</v>
      </c>
      <c r="M197" s="66">
        <v>5.5684454756380501E-2</v>
      </c>
      <c r="N197" s="67">
        <v>2972.0433799769899</v>
      </c>
      <c r="O197" s="67">
        <v>123.835140832375</v>
      </c>
      <c r="P197" s="67">
        <v>545.29000002145801</v>
      </c>
      <c r="Q197" s="77">
        <v>0.18347309588249699</v>
      </c>
    </row>
    <row r="198" spans="1:17" x14ac:dyDescent="0.35">
      <c r="A198" s="76" t="s">
        <v>136</v>
      </c>
      <c r="B198" s="63">
        <v>338793</v>
      </c>
      <c r="C198" s="63" t="s">
        <v>139</v>
      </c>
      <c r="D198" s="64">
        <v>42621</v>
      </c>
      <c r="E198" s="63" t="s">
        <v>138</v>
      </c>
      <c r="F198" s="65">
        <v>35588</v>
      </c>
      <c r="G198" s="66">
        <v>7.7871660196391903E-3</v>
      </c>
      <c r="H198" s="65">
        <v>592</v>
      </c>
      <c r="I198" s="67">
        <v>1.21739002083404</v>
      </c>
      <c r="J198" s="67">
        <v>9.4800182028866509</v>
      </c>
      <c r="K198" s="65">
        <v>50</v>
      </c>
      <c r="L198" s="65">
        <v>38</v>
      </c>
      <c r="M198" s="66">
        <v>5.5718475073313803E-2</v>
      </c>
      <c r="N198" s="67">
        <v>2652.21799720437</v>
      </c>
      <c r="O198" s="67">
        <v>139.590420905493</v>
      </c>
      <c r="P198" s="67">
        <v>415.12999710440602</v>
      </c>
      <c r="Q198" s="77">
        <v>0.156521823448142</v>
      </c>
    </row>
    <row r="199" spans="1:17" x14ac:dyDescent="0.35">
      <c r="A199" s="76" t="s">
        <v>136</v>
      </c>
      <c r="B199" s="63">
        <v>338793</v>
      </c>
      <c r="C199" s="63" t="s">
        <v>139</v>
      </c>
      <c r="D199" s="64">
        <v>42622</v>
      </c>
      <c r="E199" s="63" t="s">
        <v>138</v>
      </c>
      <c r="F199" s="65">
        <v>39864</v>
      </c>
      <c r="G199" s="66">
        <v>7.8909888756303198E-3</v>
      </c>
      <c r="H199" s="65">
        <v>157</v>
      </c>
      <c r="I199" s="67">
        <v>1.20217071916999</v>
      </c>
      <c r="J199" s="67">
        <v>9.4863157715788802</v>
      </c>
      <c r="K199" s="65">
        <v>88</v>
      </c>
      <c r="L199" s="65">
        <v>51</v>
      </c>
      <c r="M199" s="66">
        <v>7.0731707317073206E-2</v>
      </c>
      <c r="N199" s="67">
        <v>3613.36980991782</v>
      </c>
      <c r="O199" s="67">
        <v>124.59895896268399</v>
      </c>
      <c r="P199" s="67">
        <v>492.88999485969498</v>
      </c>
      <c r="Q199" s="77">
        <v>0.136407293133084</v>
      </c>
    </row>
    <row r="200" spans="1:17" x14ac:dyDescent="0.35">
      <c r="A200" s="76" t="s">
        <v>136</v>
      </c>
      <c r="B200" s="63">
        <v>338793</v>
      </c>
      <c r="C200" s="63" t="s">
        <v>139</v>
      </c>
      <c r="D200" s="64">
        <v>42623</v>
      </c>
      <c r="E200" s="63" t="s">
        <v>138</v>
      </c>
      <c r="F200" s="65">
        <v>35708</v>
      </c>
      <c r="G200" s="66">
        <v>6.8115057684939497E-3</v>
      </c>
      <c r="H200" s="65">
        <v>314</v>
      </c>
      <c r="I200" s="67">
        <v>1.2232708336164599</v>
      </c>
      <c r="J200" s="67">
        <v>8.3323163396088908</v>
      </c>
      <c r="K200" s="65">
        <v>78</v>
      </c>
      <c r="L200" s="65">
        <v>60</v>
      </c>
      <c r="M200" s="66">
        <v>5.2083333333333301E-2</v>
      </c>
      <c r="N200" s="67">
        <v>3001.6315869631499</v>
      </c>
      <c r="O200" s="67">
        <v>120.06526347852601</v>
      </c>
      <c r="P200" s="67">
        <v>587.17000013589904</v>
      </c>
      <c r="Q200" s="77">
        <v>0.19561694469305499</v>
      </c>
    </row>
    <row r="201" spans="1:17" x14ac:dyDescent="0.35">
      <c r="A201" s="76" t="s">
        <v>136</v>
      </c>
      <c r="B201" s="63">
        <v>338793</v>
      </c>
      <c r="C201" s="63" t="s">
        <v>139</v>
      </c>
      <c r="D201" s="64">
        <v>42624</v>
      </c>
      <c r="E201" s="63" t="s">
        <v>138</v>
      </c>
      <c r="F201" s="65">
        <v>34896</v>
      </c>
      <c r="G201" s="66">
        <v>8.4111451408082506E-3</v>
      </c>
      <c r="H201" s="65">
        <v>239</v>
      </c>
      <c r="I201" s="67">
        <v>1.34682060304374</v>
      </c>
      <c r="J201" s="67">
        <v>11.3283035708318</v>
      </c>
      <c r="K201" s="65">
        <v>39</v>
      </c>
      <c r="L201" s="65">
        <v>57</v>
      </c>
      <c r="M201" s="66">
        <v>6.92717584369449E-2</v>
      </c>
      <c r="N201" s="67">
        <v>4749.5810844057396</v>
      </c>
      <c r="O201" s="67">
        <v>121.784130369378</v>
      </c>
      <c r="P201" s="67">
        <v>758.25999951362598</v>
      </c>
      <c r="Q201" s="77">
        <v>0.159647763884528</v>
      </c>
    </row>
    <row r="202" spans="1:17" x14ac:dyDescent="0.35">
      <c r="A202" s="76" t="s">
        <v>136</v>
      </c>
      <c r="B202" s="63">
        <v>338793</v>
      </c>
      <c r="C202" s="63" t="s">
        <v>139</v>
      </c>
      <c r="D202" s="64">
        <v>42625</v>
      </c>
      <c r="E202" s="63" t="s">
        <v>138</v>
      </c>
      <c r="F202" s="65">
        <v>19594</v>
      </c>
      <c r="G202" s="66">
        <v>7.2208181742439001E-3</v>
      </c>
      <c r="H202" s="65">
        <v>563</v>
      </c>
      <c r="I202" s="67">
        <v>1.3485192318375301</v>
      </c>
      <c r="J202" s="67">
        <v>9.7374121775698494</v>
      </c>
      <c r="K202" s="65">
        <v>31</v>
      </c>
      <c r="L202" s="65">
        <v>40</v>
      </c>
      <c r="M202" s="66">
        <v>0.05</v>
      </c>
      <c r="N202" s="67">
        <v>3067.1575946439498</v>
      </c>
      <c r="O202" s="67">
        <v>117.967599793998</v>
      </c>
      <c r="P202" s="67">
        <v>701.23000055551495</v>
      </c>
      <c r="Q202" s="77">
        <v>0.22862535716457599</v>
      </c>
    </row>
    <row r="203" spans="1:17" x14ac:dyDescent="0.35">
      <c r="A203" s="76" t="s">
        <v>136</v>
      </c>
      <c r="B203" s="63">
        <v>338793</v>
      </c>
      <c r="C203" s="63" t="s">
        <v>139</v>
      </c>
      <c r="D203" s="64">
        <v>42626</v>
      </c>
      <c r="E203" s="63" t="s">
        <v>138</v>
      </c>
      <c r="F203" s="65">
        <v>36981</v>
      </c>
      <c r="G203" s="66">
        <v>6.9480632273753703E-3</v>
      </c>
      <c r="H203" s="65">
        <v>150</v>
      </c>
      <c r="I203" s="67">
        <v>1.34334615182418</v>
      </c>
      <c r="J203" s="67">
        <v>9.3336539991258007</v>
      </c>
      <c r="K203" s="65">
        <v>72</v>
      </c>
      <c r="L203" s="65">
        <v>57</v>
      </c>
      <c r="M203" s="66">
        <v>5.7692307692307702E-2</v>
      </c>
      <c r="N203" s="67">
        <v>4314.7102841751403</v>
      </c>
      <c r="O203" s="67">
        <v>143.823676139171</v>
      </c>
      <c r="P203" s="67">
        <v>698.53999894857395</v>
      </c>
      <c r="Q203" s="77">
        <v>0.16189731243614999</v>
      </c>
    </row>
    <row r="204" spans="1:17" x14ac:dyDescent="0.35">
      <c r="A204" s="76" t="s">
        <v>136</v>
      </c>
      <c r="B204" s="63">
        <v>338793</v>
      </c>
      <c r="C204" s="63" t="s">
        <v>139</v>
      </c>
      <c r="D204" s="64">
        <v>42627</v>
      </c>
      <c r="E204" s="63" t="s">
        <v>138</v>
      </c>
      <c r="F204" s="65">
        <v>28009</v>
      </c>
      <c r="G204" s="66">
        <v>7.5035130083630098E-3</v>
      </c>
      <c r="H204" s="65">
        <v>188</v>
      </c>
      <c r="I204" s="67">
        <v>1.3057090892575001</v>
      </c>
      <c r="J204" s="67">
        <v>9.7974051363814691</v>
      </c>
      <c r="K204" s="65">
        <v>55</v>
      </c>
      <c r="L204" s="65">
        <v>91</v>
      </c>
      <c r="M204" s="66">
        <v>8.1818181818181804E-2</v>
      </c>
      <c r="N204" s="67">
        <v>5614.6926301235699</v>
      </c>
      <c r="O204" s="67">
        <v>124.770947336079</v>
      </c>
      <c r="P204" s="67">
        <v>718.13999909162499</v>
      </c>
      <c r="Q204" s="77">
        <v>0.12790370664971201</v>
      </c>
    </row>
    <row r="205" spans="1:17" x14ac:dyDescent="0.35">
      <c r="A205" s="76" t="s">
        <v>136</v>
      </c>
      <c r="B205" s="63">
        <v>338793</v>
      </c>
      <c r="C205" s="63" t="s">
        <v>139</v>
      </c>
      <c r="D205" s="64">
        <v>42628</v>
      </c>
      <c r="E205" s="63" t="s">
        <v>138</v>
      </c>
      <c r="F205" s="65">
        <v>51947</v>
      </c>
      <c r="G205" s="66">
        <v>8.6658377604460993E-3</v>
      </c>
      <c r="H205" s="65">
        <v>381</v>
      </c>
      <c r="I205" s="67">
        <v>1.33578262173611</v>
      </c>
      <c r="J205" s="67">
        <v>11.575675483188499</v>
      </c>
      <c r="K205" s="65">
        <v>52</v>
      </c>
      <c r="L205" s="65">
        <v>55</v>
      </c>
      <c r="M205" s="66">
        <v>7.8260869565217397E-2</v>
      </c>
      <c r="N205" s="67">
        <v>4052.7823993438301</v>
      </c>
      <c r="O205" s="67">
        <v>112.577288870662</v>
      </c>
      <c r="P205" s="67">
        <v>614.460005998611</v>
      </c>
      <c r="Q205" s="77">
        <v>0.15161435908774601</v>
      </c>
    </row>
    <row r="206" spans="1:17" x14ac:dyDescent="0.35">
      <c r="A206" s="76" t="s">
        <v>136</v>
      </c>
      <c r="B206" s="63">
        <v>338793</v>
      </c>
      <c r="C206" s="63" t="s">
        <v>139</v>
      </c>
      <c r="D206" s="64">
        <v>42629</v>
      </c>
      <c r="E206" s="63" t="s">
        <v>138</v>
      </c>
      <c r="F206" s="65">
        <v>748</v>
      </c>
      <c r="G206" s="66">
        <v>6.81586349726438E-3</v>
      </c>
      <c r="H206" s="65">
        <v>250</v>
      </c>
      <c r="I206" s="67">
        <v>1.36573696514917</v>
      </c>
      <c r="J206" s="67">
        <v>9.3086767276248494</v>
      </c>
      <c r="K206" s="65">
        <v>39</v>
      </c>
      <c r="L206" s="65">
        <v>98</v>
      </c>
      <c r="M206" s="66">
        <v>9.7505668934240397E-2</v>
      </c>
      <c r="N206" s="67">
        <v>4418.9523033641999</v>
      </c>
      <c r="O206" s="67">
        <v>102.766332636377</v>
      </c>
      <c r="P206" s="67">
        <v>602.29000163078297</v>
      </c>
      <c r="Q206" s="77">
        <v>0.13629701347359</v>
      </c>
    </row>
    <row r="207" spans="1:17" x14ac:dyDescent="0.35">
      <c r="A207" s="76" t="s">
        <v>136</v>
      </c>
      <c r="B207" s="63">
        <v>338793</v>
      </c>
      <c r="C207" s="63" t="s">
        <v>139</v>
      </c>
      <c r="D207" s="64">
        <v>42630</v>
      </c>
      <c r="E207" s="63" t="s">
        <v>138</v>
      </c>
      <c r="F207" s="65">
        <v>15201</v>
      </c>
      <c r="G207" s="66">
        <v>6.1711729085509297E-3</v>
      </c>
      <c r="H207" s="65">
        <v>263</v>
      </c>
      <c r="I207" s="67">
        <v>1.4588958301891899</v>
      </c>
      <c r="J207" s="67">
        <v>9.0030984236614398</v>
      </c>
      <c r="K207" s="65">
        <v>42</v>
      </c>
      <c r="L207" s="65">
        <v>48</v>
      </c>
      <c r="M207" s="66">
        <v>4.7916666666666698E-2</v>
      </c>
      <c r="N207" s="67">
        <v>2385.4396721496501</v>
      </c>
      <c r="O207" s="67">
        <v>103.714768354333</v>
      </c>
      <c r="P207" s="67">
        <v>700.26999849081005</v>
      </c>
      <c r="Q207" s="77">
        <v>0.293560137641108</v>
      </c>
    </row>
    <row r="208" spans="1:17" x14ac:dyDescent="0.35">
      <c r="A208" s="76" t="s">
        <v>136</v>
      </c>
      <c r="B208" s="63">
        <v>338793</v>
      </c>
      <c r="C208" s="63" t="s">
        <v>139</v>
      </c>
      <c r="D208" s="64">
        <v>42631</v>
      </c>
      <c r="E208" s="63" t="s">
        <v>138</v>
      </c>
      <c r="F208" s="65">
        <v>26839</v>
      </c>
      <c r="G208" s="66">
        <v>5.9372216927331498E-3</v>
      </c>
      <c r="H208" s="65">
        <v>383</v>
      </c>
      <c r="I208" s="67">
        <v>1.4924210611142601</v>
      </c>
      <c r="J208" s="67">
        <v>8.8608346987394206</v>
      </c>
      <c r="K208" s="65">
        <v>42</v>
      </c>
      <c r="L208" s="65">
        <v>45</v>
      </c>
      <c r="M208" s="66">
        <v>6.5789473684210495E-2</v>
      </c>
      <c r="N208" s="67">
        <v>4220.9631400676499</v>
      </c>
      <c r="O208" s="67">
        <v>168.838525602706</v>
      </c>
      <c r="P208" s="67">
        <v>567.12000322341896</v>
      </c>
      <c r="Q208" s="77">
        <v>0.13435796153726401</v>
      </c>
    </row>
    <row r="209" spans="1:17" x14ac:dyDescent="0.35">
      <c r="A209" s="76" t="s">
        <v>136</v>
      </c>
      <c r="B209" s="63">
        <v>338793</v>
      </c>
      <c r="C209" s="63" t="s">
        <v>139</v>
      </c>
      <c r="D209" s="64">
        <v>42632</v>
      </c>
      <c r="E209" s="63" t="s">
        <v>138</v>
      </c>
      <c r="F209" s="65">
        <v>7510</v>
      </c>
      <c r="G209" s="66">
        <v>6.8918961348865002E-3</v>
      </c>
      <c r="H209" s="65">
        <v>173</v>
      </c>
      <c r="I209" s="67">
        <v>1.44699316524427</v>
      </c>
      <c r="J209" s="67">
        <v>9.9725266027541899</v>
      </c>
      <c r="K209" s="65">
        <v>40</v>
      </c>
      <c r="L209" s="65">
        <v>48</v>
      </c>
      <c r="M209" s="66">
        <v>6.6059225512528505E-2</v>
      </c>
      <c r="N209" s="67">
        <v>3384.9545990267402</v>
      </c>
      <c r="O209" s="67">
        <v>116.722572380233</v>
      </c>
      <c r="P209" s="67">
        <v>635.22999954223599</v>
      </c>
      <c r="Q209" s="77">
        <v>0.18766278275191101</v>
      </c>
    </row>
    <row r="210" spans="1:17" x14ac:dyDescent="0.35">
      <c r="A210" s="76" t="s">
        <v>136</v>
      </c>
      <c r="B210" s="63">
        <v>338793</v>
      </c>
      <c r="C210" s="63" t="s">
        <v>139</v>
      </c>
      <c r="D210" s="64">
        <v>42633</v>
      </c>
      <c r="E210" s="63" t="s">
        <v>138</v>
      </c>
      <c r="F210" s="65">
        <v>62758</v>
      </c>
      <c r="G210" s="66">
        <v>7.6097804391217598E-3</v>
      </c>
      <c r="H210" s="65">
        <v>360</v>
      </c>
      <c r="I210" s="67">
        <v>1.4637978200704</v>
      </c>
      <c r="J210" s="67">
        <v>11.1391800180008</v>
      </c>
      <c r="K210" s="65">
        <v>54</v>
      </c>
      <c r="L210" s="65">
        <v>50</v>
      </c>
      <c r="M210" s="66">
        <v>7.10382513661202E-2</v>
      </c>
      <c r="N210" s="67">
        <v>2995.1494637279102</v>
      </c>
      <c r="O210" s="67">
        <v>115.198056297227</v>
      </c>
      <c r="P210" s="67">
        <v>535.75000214576698</v>
      </c>
      <c r="Q210" s="77">
        <v>0.17887254330171101</v>
      </c>
    </row>
    <row r="211" spans="1:17" x14ac:dyDescent="0.35">
      <c r="A211" s="76" t="s">
        <v>136</v>
      </c>
      <c r="B211" s="63">
        <v>338793</v>
      </c>
      <c r="C211" s="63" t="s">
        <v>139</v>
      </c>
      <c r="D211" s="64">
        <v>42634</v>
      </c>
      <c r="E211" s="63" t="s">
        <v>138</v>
      </c>
      <c r="F211" s="65">
        <v>38417</v>
      </c>
      <c r="G211" s="66">
        <v>7.5900868131335199E-3</v>
      </c>
      <c r="H211" s="65">
        <v>559</v>
      </c>
      <c r="I211" s="67">
        <v>1.4635143771339101</v>
      </c>
      <c r="J211" s="67">
        <v>11.108201174715401</v>
      </c>
      <c r="K211" s="65">
        <v>53</v>
      </c>
      <c r="L211" s="65">
        <v>44</v>
      </c>
      <c r="M211" s="66">
        <v>7.6677316293929695E-2</v>
      </c>
      <c r="N211" s="67">
        <v>2318.5907409813299</v>
      </c>
      <c r="O211" s="67">
        <v>96.607947540888802</v>
      </c>
      <c r="P211" s="67">
        <v>458.080000042915</v>
      </c>
      <c r="Q211" s="77">
        <v>0.197568286608889</v>
      </c>
    </row>
    <row r="212" spans="1:17" x14ac:dyDescent="0.35">
      <c r="A212" s="76" t="s">
        <v>136</v>
      </c>
      <c r="B212" s="63">
        <v>338793</v>
      </c>
      <c r="C212" s="63" t="s">
        <v>139</v>
      </c>
      <c r="D212" s="64">
        <v>42635</v>
      </c>
      <c r="E212" s="63" t="s">
        <v>138</v>
      </c>
      <c r="F212" s="65">
        <v>52188</v>
      </c>
      <c r="G212" s="66">
        <v>9.5762429095762394E-3</v>
      </c>
      <c r="H212" s="65">
        <v>241</v>
      </c>
      <c r="I212" s="67">
        <v>1.4600348497516999</v>
      </c>
      <c r="J212" s="67">
        <v>13.9816483776689</v>
      </c>
      <c r="K212" s="65">
        <v>70</v>
      </c>
      <c r="L212" s="65">
        <v>40</v>
      </c>
      <c r="M212" s="66">
        <v>9.0592334494773497E-2</v>
      </c>
      <c r="N212" s="67">
        <v>2522.57692276648</v>
      </c>
      <c r="O212" s="67">
        <v>97.022189337172406</v>
      </c>
      <c r="P212" s="67">
        <v>419.03000187873801</v>
      </c>
      <c r="Q212" s="77">
        <v>0.16611188269303301</v>
      </c>
    </row>
    <row r="213" spans="1:17" x14ac:dyDescent="0.35">
      <c r="A213" s="76" t="s">
        <v>136</v>
      </c>
      <c r="B213" s="63">
        <v>338793</v>
      </c>
      <c r="C213" s="63" t="s">
        <v>139</v>
      </c>
      <c r="D213" s="64">
        <v>42636</v>
      </c>
      <c r="E213" s="63" t="s">
        <v>138</v>
      </c>
      <c r="F213" s="65">
        <v>66870</v>
      </c>
      <c r="G213" s="66">
        <v>8.9619681184887699E-3</v>
      </c>
      <c r="H213" s="65">
        <v>314</v>
      </c>
      <c r="I213" s="67">
        <v>1.5100840263340001</v>
      </c>
      <c r="J213" s="67">
        <v>13.5333249002444</v>
      </c>
      <c r="K213" s="65">
        <v>89</v>
      </c>
      <c r="L213" s="65">
        <v>68</v>
      </c>
      <c r="M213" s="66">
        <v>0.112044817927171</v>
      </c>
      <c r="N213" s="67">
        <v>5692.2567949396798</v>
      </c>
      <c r="O213" s="67">
        <v>142.30641987349199</v>
      </c>
      <c r="P213" s="67">
        <v>539.09999740123703</v>
      </c>
      <c r="Q213" s="77">
        <v>9.4707603121575307E-2</v>
      </c>
    </row>
    <row r="214" spans="1:17" x14ac:dyDescent="0.35">
      <c r="A214" s="76" t="s">
        <v>136</v>
      </c>
      <c r="B214" s="63">
        <v>338793</v>
      </c>
      <c r="C214" s="63" t="s">
        <v>139</v>
      </c>
      <c r="D214" s="64">
        <v>42637</v>
      </c>
      <c r="E214" s="63" t="s">
        <v>138</v>
      </c>
      <c r="F214" s="65">
        <v>65130</v>
      </c>
      <c r="G214" s="66">
        <v>7.3351688770255802E-3</v>
      </c>
      <c r="H214" s="65">
        <v>538</v>
      </c>
      <c r="I214" s="67">
        <v>1.4342406854930101</v>
      </c>
      <c r="J214" s="67">
        <v>10.5203976383922</v>
      </c>
      <c r="K214" s="65">
        <v>96</v>
      </c>
      <c r="L214" s="65">
        <v>64</v>
      </c>
      <c r="M214" s="66">
        <v>7.4498567335243598E-2</v>
      </c>
      <c r="N214" s="67">
        <v>2747.6849561436102</v>
      </c>
      <c r="O214" s="67">
        <v>105.68019062090799</v>
      </c>
      <c r="P214" s="67">
        <v>500.549999237061</v>
      </c>
      <c r="Q214" s="77">
        <v>0.18217153976036099</v>
      </c>
    </row>
    <row r="215" spans="1:17" x14ac:dyDescent="0.35">
      <c r="A215" s="76" t="s">
        <v>136</v>
      </c>
      <c r="B215" s="63">
        <v>338793</v>
      </c>
      <c r="C215" s="63" t="s">
        <v>139</v>
      </c>
      <c r="D215" s="64">
        <v>42638</v>
      </c>
      <c r="E215" s="63" t="s">
        <v>138</v>
      </c>
      <c r="F215" s="65">
        <v>21498</v>
      </c>
      <c r="G215" s="66">
        <v>7.4051218759642098E-3</v>
      </c>
      <c r="H215" s="65">
        <v>398</v>
      </c>
      <c r="I215" s="67">
        <v>1.73666669446088</v>
      </c>
      <c r="J215" s="67">
        <v>12.8602285304107</v>
      </c>
      <c r="K215" s="65">
        <v>57</v>
      </c>
      <c r="L215" s="65">
        <v>45</v>
      </c>
      <c r="M215" s="66">
        <v>6.5476190476190493E-2</v>
      </c>
      <c r="N215" s="67">
        <v>2551.4595999962899</v>
      </c>
      <c r="O215" s="67">
        <v>115.97543636346801</v>
      </c>
      <c r="P215" s="67">
        <v>583.52000933885597</v>
      </c>
      <c r="Q215" s="77">
        <v>0.228700469856432</v>
      </c>
    </row>
    <row r="216" spans="1:17" x14ac:dyDescent="0.35">
      <c r="A216" s="76" t="s">
        <v>136</v>
      </c>
      <c r="B216" s="63">
        <v>338793</v>
      </c>
      <c r="C216" s="63" t="s">
        <v>139</v>
      </c>
      <c r="D216" s="64">
        <v>42639</v>
      </c>
      <c r="E216" s="63" t="s">
        <v>138</v>
      </c>
      <c r="F216" s="65">
        <v>44409</v>
      </c>
      <c r="G216" s="66">
        <v>7.6891671203048401E-3</v>
      </c>
      <c r="H216" s="65">
        <v>387</v>
      </c>
      <c r="I216" s="67">
        <v>1.77442480188555</v>
      </c>
      <c r="J216" s="67">
        <v>13.643848844111799</v>
      </c>
      <c r="K216" s="65">
        <v>52</v>
      </c>
      <c r="L216" s="65">
        <v>47</v>
      </c>
      <c r="M216" s="66">
        <v>6.7846607669616504E-2</v>
      </c>
      <c r="N216" s="67">
        <v>3859.4232638768099</v>
      </c>
      <c r="O216" s="67">
        <v>167.801011472905</v>
      </c>
      <c r="P216" s="67">
        <v>601.53000783920299</v>
      </c>
      <c r="Q216" s="77">
        <v>0.15586007719582501</v>
      </c>
    </row>
    <row r="217" spans="1:17" x14ac:dyDescent="0.35">
      <c r="A217" s="76" t="s">
        <v>136</v>
      </c>
      <c r="B217" s="63">
        <v>338793</v>
      </c>
      <c r="C217" s="63" t="s">
        <v>139</v>
      </c>
      <c r="D217" s="64">
        <v>42640</v>
      </c>
      <c r="E217" s="63" t="s">
        <v>138</v>
      </c>
      <c r="F217" s="65">
        <v>28703</v>
      </c>
      <c r="G217" s="66">
        <v>8.4126234338799295E-3</v>
      </c>
      <c r="H217" s="65">
        <v>434</v>
      </c>
      <c r="I217" s="67">
        <v>1.79558825205992</v>
      </c>
      <c r="J217" s="67">
        <v>15.105607806878799</v>
      </c>
      <c r="K217" s="65">
        <v>32</v>
      </c>
      <c r="L217" s="65">
        <v>44</v>
      </c>
      <c r="M217" s="66">
        <v>6.9518716577540093E-2</v>
      </c>
      <c r="N217" s="67">
        <v>3022.5328957974598</v>
      </c>
      <c r="O217" s="67">
        <v>116.251265222979</v>
      </c>
      <c r="P217" s="67">
        <v>671.55000627040897</v>
      </c>
      <c r="Q217" s="77">
        <v>0.22218120676341799</v>
      </c>
    </row>
    <row r="218" spans="1:17" x14ac:dyDescent="0.35">
      <c r="A218" s="76" t="s">
        <v>136</v>
      </c>
      <c r="B218" s="63">
        <v>338793</v>
      </c>
      <c r="C218" s="63" t="s">
        <v>139</v>
      </c>
      <c r="D218" s="64">
        <v>42641</v>
      </c>
      <c r="E218" s="63" t="s">
        <v>138</v>
      </c>
      <c r="F218" s="65">
        <v>60857</v>
      </c>
      <c r="G218" s="66">
        <v>7.9948141745894603E-3</v>
      </c>
      <c r="H218" s="65">
        <v>551</v>
      </c>
      <c r="I218" s="67">
        <v>1.7688288370052301</v>
      </c>
      <c r="J218" s="67">
        <v>14.141457858512</v>
      </c>
      <c r="K218" s="65">
        <v>56</v>
      </c>
      <c r="L218" s="65">
        <v>33</v>
      </c>
      <c r="M218" s="66">
        <v>5.7057057057057103E-2</v>
      </c>
      <c r="N218" s="67">
        <v>2146.1328092165099</v>
      </c>
      <c r="O218" s="67">
        <v>112.95435837981699</v>
      </c>
      <c r="P218" s="67">
        <v>589.02000272273995</v>
      </c>
      <c r="Q218" s="77">
        <v>0.27445645497483101</v>
      </c>
    </row>
    <row r="219" spans="1:17" x14ac:dyDescent="0.35">
      <c r="A219" s="76" t="s">
        <v>136</v>
      </c>
      <c r="B219" s="63">
        <v>338793</v>
      </c>
      <c r="C219" s="63" t="s">
        <v>139</v>
      </c>
      <c r="D219" s="64">
        <v>42642</v>
      </c>
      <c r="E219" s="63" t="s">
        <v>138</v>
      </c>
      <c r="F219" s="65">
        <v>19695</v>
      </c>
      <c r="G219" s="66">
        <v>8.7020432162281305E-3</v>
      </c>
      <c r="H219" s="65">
        <v>327</v>
      </c>
      <c r="I219" s="67">
        <v>1.69260132896739</v>
      </c>
      <c r="J219" s="67">
        <v>14.729089912519401</v>
      </c>
      <c r="K219" s="65">
        <v>71</v>
      </c>
      <c r="L219" s="65">
        <v>24</v>
      </c>
      <c r="M219" s="66">
        <v>4.3918918918918901E-2</v>
      </c>
      <c r="N219" s="67">
        <v>1167.12231244535</v>
      </c>
      <c r="O219" s="67">
        <v>89.778639418873396</v>
      </c>
      <c r="P219" s="67">
        <v>501.00999337434803</v>
      </c>
      <c r="Q219" s="77">
        <v>0.42926948446785501</v>
      </c>
    </row>
    <row r="220" spans="1:17" x14ac:dyDescent="0.35">
      <c r="A220" s="76" t="s">
        <v>136</v>
      </c>
      <c r="B220" s="63">
        <v>338793</v>
      </c>
      <c r="C220" s="63" t="s">
        <v>139</v>
      </c>
      <c r="D220" s="64">
        <v>42643</v>
      </c>
      <c r="E220" s="63" t="s">
        <v>138</v>
      </c>
      <c r="F220" s="65">
        <v>21828</v>
      </c>
      <c r="G220" s="66">
        <v>8.4113983030065197E-3</v>
      </c>
      <c r="H220" s="65">
        <v>297</v>
      </c>
      <c r="I220" s="67">
        <v>1.7804372967505899</v>
      </c>
      <c r="J220" s="67">
        <v>14.975967256497499</v>
      </c>
      <c r="K220" s="65">
        <v>94</v>
      </c>
      <c r="L220" s="65">
        <v>59</v>
      </c>
      <c r="M220" s="66">
        <v>7.8717201166180806E-2</v>
      </c>
      <c r="N220" s="67">
        <v>2898.1391529272</v>
      </c>
      <c r="O220" s="67">
        <v>107.33848714545201</v>
      </c>
      <c r="P220" s="67">
        <v>610.68999278545402</v>
      </c>
      <c r="Q220" s="77">
        <v>0.21071796782726601</v>
      </c>
    </row>
    <row r="221" spans="1:17" x14ac:dyDescent="0.35">
      <c r="A221" s="76" t="s">
        <v>136</v>
      </c>
      <c r="B221" s="63">
        <v>338793</v>
      </c>
      <c r="C221" s="63" t="s">
        <v>139</v>
      </c>
      <c r="D221" s="64">
        <v>42644</v>
      </c>
      <c r="E221" s="63" t="s">
        <v>138</v>
      </c>
      <c r="F221" s="65">
        <v>48643</v>
      </c>
      <c r="G221" s="66">
        <v>8.3385927668445294E-3</v>
      </c>
      <c r="H221" s="65">
        <v>453</v>
      </c>
      <c r="I221" s="67">
        <v>1.7421559546518799</v>
      </c>
      <c r="J221" s="67">
        <v>14.5271290421753</v>
      </c>
      <c r="K221" s="65">
        <v>46</v>
      </c>
      <c r="L221" s="65">
        <v>62</v>
      </c>
      <c r="M221" s="66">
        <v>4.8165137614678902E-2</v>
      </c>
      <c r="N221" s="67">
        <v>3016.17178911875</v>
      </c>
      <c r="O221" s="67">
        <v>143.627228053274</v>
      </c>
      <c r="P221" s="67">
        <v>759.57999622821796</v>
      </c>
      <c r="Q221" s="77">
        <v>0.25183578699612102</v>
      </c>
    </row>
    <row r="222" spans="1:17" x14ac:dyDescent="0.35">
      <c r="A222" s="76" t="s">
        <v>136</v>
      </c>
      <c r="B222" s="63">
        <v>338793</v>
      </c>
      <c r="C222" s="63" t="s">
        <v>139</v>
      </c>
      <c r="D222" s="64">
        <v>42645</v>
      </c>
      <c r="E222" s="63" t="s">
        <v>138</v>
      </c>
      <c r="F222" s="65">
        <v>14865</v>
      </c>
      <c r="G222" s="66">
        <v>7.1542130365659798E-3</v>
      </c>
      <c r="H222" s="65">
        <v>536</v>
      </c>
      <c r="I222" s="67">
        <v>1.63564325781942</v>
      </c>
      <c r="J222" s="67">
        <v>11.7017403182629</v>
      </c>
      <c r="K222" s="65">
        <v>57</v>
      </c>
      <c r="L222" s="65">
        <v>26</v>
      </c>
      <c r="M222" s="66">
        <v>2.6315789473684199E-2</v>
      </c>
      <c r="N222" s="67">
        <v>1817.64755370382</v>
      </c>
      <c r="O222" s="67">
        <v>201.960839300424</v>
      </c>
      <c r="P222" s="67">
        <v>559.38999417424202</v>
      </c>
      <c r="Q222" s="77">
        <v>0.30775492918545899</v>
      </c>
    </row>
    <row r="223" spans="1:17" x14ac:dyDescent="0.35">
      <c r="A223" s="76" t="s">
        <v>136</v>
      </c>
      <c r="B223" s="63">
        <v>338793</v>
      </c>
      <c r="C223" s="63" t="s">
        <v>139</v>
      </c>
      <c r="D223" s="64">
        <v>42646</v>
      </c>
      <c r="E223" s="63" t="s">
        <v>138</v>
      </c>
      <c r="F223" s="65">
        <v>33359</v>
      </c>
      <c r="G223" s="66">
        <v>9.2998196256646893E-3</v>
      </c>
      <c r="H223" s="65">
        <v>412</v>
      </c>
      <c r="I223" s="67">
        <v>1.49329974609298</v>
      </c>
      <c r="J223" s="67">
        <v>13.887418285715601</v>
      </c>
      <c r="K223" s="65">
        <v>77</v>
      </c>
      <c r="L223" s="65">
        <v>45</v>
      </c>
      <c r="M223" s="66">
        <v>6.5491183879093195E-2</v>
      </c>
      <c r="N223" s="67">
        <v>4877.82783751018</v>
      </c>
      <c r="O223" s="67">
        <v>187.60876298116099</v>
      </c>
      <c r="P223" s="67">
        <v>592.83999919891403</v>
      </c>
      <c r="Q223" s="77">
        <v>0.121537704680762</v>
      </c>
    </row>
    <row r="224" spans="1:17" x14ac:dyDescent="0.35">
      <c r="A224" s="76" t="s">
        <v>136</v>
      </c>
      <c r="B224" s="63">
        <v>338793</v>
      </c>
      <c r="C224" s="63" t="s">
        <v>139</v>
      </c>
      <c r="D224" s="64">
        <v>42647</v>
      </c>
      <c r="E224" s="63" t="s">
        <v>138</v>
      </c>
      <c r="F224" s="65">
        <v>24941</v>
      </c>
      <c r="G224" s="66">
        <v>7.3481384715872004E-3</v>
      </c>
      <c r="H224" s="65">
        <v>399</v>
      </c>
      <c r="I224" s="67">
        <v>1.41437035324397</v>
      </c>
      <c r="J224" s="67">
        <v>10.392989205744399</v>
      </c>
      <c r="K224" s="65">
        <v>52</v>
      </c>
      <c r="L224" s="65">
        <v>30</v>
      </c>
      <c r="M224" s="66">
        <v>7.0370370370370403E-2</v>
      </c>
      <c r="N224" s="67">
        <v>2765.2439004163898</v>
      </c>
      <c r="O224" s="67">
        <v>145.539152653494</v>
      </c>
      <c r="P224" s="67">
        <v>381.879995375872</v>
      </c>
      <c r="Q224" s="77">
        <v>0.138099932276632</v>
      </c>
    </row>
    <row r="225" spans="1:17" x14ac:dyDescent="0.35">
      <c r="A225" s="76" t="s">
        <v>136</v>
      </c>
      <c r="B225" s="63">
        <v>338793</v>
      </c>
      <c r="C225" s="63" t="s">
        <v>139</v>
      </c>
      <c r="D225" s="64">
        <v>42648</v>
      </c>
      <c r="E225" s="63" t="s">
        <v>138</v>
      </c>
      <c r="F225" s="65">
        <v>65198</v>
      </c>
      <c r="G225" s="66">
        <v>7.9033907204244594E-3</v>
      </c>
      <c r="H225" s="65">
        <v>598</v>
      </c>
      <c r="I225" s="67">
        <v>1.3728671444879501</v>
      </c>
      <c r="J225" s="67">
        <v>10.8503054501217</v>
      </c>
      <c r="K225" s="65">
        <v>69</v>
      </c>
      <c r="L225" s="65">
        <v>63</v>
      </c>
      <c r="M225" s="66">
        <v>0.115384615384615</v>
      </c>
      <c r="N225" s="67">
        <v>4490.3676262926701</v>
      </c>
      <c r="O225" s="67">
        <v>136.07174625129301</v>
      </c>
      <c r="P225" s="67">
        <v>392.64000332355499</v>
      </c>
      <c r="Q225" s="77">
        <v>8.7440502872083506E-2</v>
      </c>
    </row>
    <row r="226" spans="1:17" x14ac:dyDescent="0.35">
      <c r="A226" s="76" t="s">
        <v>136</v>
      </c>
      <c r="B226" s="63">
        <v>338793</v>
      </c>
      <c r="C226" s="63" t="s">
        <v>139</v>
      </c>
      <c r="D226" s="64">
        <v>42649</v>
      </c>
      <c r="E226" s="63" t="s">
        <v>138</v>
      </c>
      <c r="F226" s="65">
        <v>55828</v>
      </c>
      <c r="G226" s="66">
        <v>1.0082460120269299E-2</v>
      </c>
      <c r="H226" s="65">
        <v>196</v>
      </c>
      <c r="I226" s="67">
        <v>1.4998928502202</v>
      </c>
      <c r="J226" s="67">
        <v>15.1226098470223</v>
      </c>
      <c r="K226" s="65">
        <v>30</v>
      </c>
      <c r="L226" s="65">
        <v>49</v>
      </c>
      <c r="M226" s="66">
        <v>0.1</v>
      </c>
      <c r="N226" s="67">
        <v>3779.1180197701301</v>
      </c>
      <c r="O226" s="67">
        <v>134.96850070607599</v>
      </c>
      <c r="P226" s="67">
        <v>419.96999806165701</v>
      </c>
      <c r="Q226" s="77">
        <v>0.11112910363334</v>
      </c>
    </row>
    <row r="227" spans="1:17" x14ac:dyDescent="0.35">
      <c r="A227" s="76" t="s">
        <v>136</v>
      </c>
      <c r="B227" s="63">
        <v>338793</v>
      </c>
      <c r="C227" s="63" t="s">
        <v>139</v>
      </c>
      <c r="D227" s="64">
        <v>42650</v>
      </c>
      <c r="E227" s="63" t="s">
        <v>138</v>
      </c>
      <c r="F227" s="65">
        <v>6526</v>
      </c>
      <c r="G227" s="66">
        <v>9.8963242224316701E-3</v>
      </c>
      <c r="H227" s="65">
        <v>210</v>
      </c>
      <c r="I227" s="67">
        <v>1.2768571407075899</v>
      </c>
      <c r="J227" s="67">
        <v>12.636192250169399</v>
      </c>
      <c r="K227" s="65">
        <v>37</v>
      </c>
      <c r="L227" s="65">
        <v>71</v>
      </c>
      <c r="M227" s="66">
        <v>9.5238095238095205E-2</v>
      </c>
      <c r="N227" s="67">
        <v>3235.9490743497499</v>
      </c>
      <c r="O227" s="67">
        <v>107.864969144992</v>
      </c>
      <c r="P227" s="67">
        <v>402.20999932289101</v>
      </c>
      <c r="Q227" s="77">
        <v>0.12429429205517201</v>
      </c>
    </row>
    <row r="228" spans="1:17" x14ac:dyDescent="0.35">
      <c r="A228" s="76" t="s">
        <v>136</v>
      </c>
      <c r="B228" s="63">
        <v>338793</v>
      </c>
      <c r="C228" s="63" t="s">
        <v>139</v>
      </c>
      <c r="D228" s="64">
        <v>42651</v>
      </c>
      <c r="E228" s="63" t="s">
        <v>138</v>
      </c>
      <c r="F228" s="65">
        <v>54703</v>
      </c>
      <c r="G228" s="66">
        <v>8.2646769262656097E-3</v>
      </c>
      <c r="H228" s="65">
        <v>520</v>
      </c>
      <c r="I228" s="67">
        <v>1.4320376094979601</v>
      </c>
      <c r="J228" s="67">
        <v>11.835328188762301</v>
      </c>
      <c r="K228" s="65">
        <v>35</v>
      </c>
      <c r="L228" s="65">
        <v>32</v>
      </c>
      <c r="M228" s="66">
        <v>3.7617554858934199E-2</v>
      </c>
      <c r="N228" s="67">
        <v>1242.04664274171</v>
      </c>
      <c r="O228" s="67">
        <v>103.503886895142</v>
      </c>
      <c r="P228" s="67">
        <v>456.819997429848</v>
      </c>
      <c r="Q228" s="77">
        <v>0.36779616941072302</v>
      </c>
    </row>
    <row r="229" spans="1:17" x14ac:dyDescent="0.35">
      <c r="A229" s="76" t="s">
        <v>136</v>
      </c>
      <c r="B229" s="63">
        <v>338793</v>
      </c>
      <c r="C229" s="63" t="s">
        <v>139</v>
      </c>
      <c r="D229" s="64">
        <v>42652</v>
      </c>
      <c r="E229" s="63" t="s">
        <v>138</v>
      </c>
      <c r="F229" s="65">
        <v>68560</v>
      </c>
      <c r="G229" s="66">
        <v>7.3720728534258503E-3</v>
      </c>
      <c r="H229" s="65">
        <v>305</v>
      </c>
      <c r="I229" s="67">
        <v>1.4629043886328399</v>
      </c>
      <c r="J229" s="67">
        <v>10.7846377305977</v>
      </c>
      <c r="K229" s="65">
        <v>18</v>
      </c>
      <c r="L229" s="65">
        <v>40</v>
      </c>
      <c r="M229" s="66">
        <v>7.3529411764705899E-2</v>
      </c>
      <c r="N229" s="67">
        <v>1646.2530842009401</v>
      </c>
      <c r="O229" s="67">
        <v>82.312654210047199</v>
      </c>
      <c r="P229" s="67">
        <v>397.90999370813398</v>
      </c>
      <c r="Q229" s="77">
        <v>0.24170645299126101</v>
      </c>
    </row>
    <row r="230" spans="1:17" x14ac:dyDescent="0.35">
      <c r="A230" s="76" t="s">
        <v>136</v>
      </c>
      <c r="B230" s="63">
        <v>338793</v>
      </c>
      <c r="C230" s="63" t="s">
        <v>139</v>
      </c>
      <c r="D230" s="64">
        <v>42653</v>
      </c>
      <c r="E230" s="63" t="s">
        <v>138</v>
      </c>
      <c r="F230" s="65">
        <v>51795</v>
      </c>
      <c r="G230" s="66">
        <v>7.3819654483006101E-3</v>
      </c>
      <c r="H230" s="65">
        <v>492</v>
      </c>
      <c r="I230" s="67">
        <v>1.45749999665552</v>
      </c>
      <c r="J230" s="67">
        <v>10.759214616209301</v>
      </c>
      <c r="K230" s="65">
        <v>62</v>
      </c>
      <c r="L230" s="65">
        <v>27</v>
      </c>
      <c r="M230" s="66">
        <v>6.5972222222222196E-2</v>
      </c>
      <c r="N230" s="67">
        <v>2215.2704044718298</v>
      </c>
      <c r="O230" s="67">
        <v>116.59317918272799</v>
      </c>
      <c r="P230" s="67">
        <v>419.759999036789</v>
      </c>
      <c r="Q230" s="77">
        <v>0.189484768175229</v>
      </c>
    </row>
    <row r="231" spans="1:17" x14ac:dyDescent="0.35">
      <c r="A231" s="76" t="s">
        <v>136</v>
      </c>
      <c r="B231" s="63">
        <v>338793</v>
      </c>
      <c r="C231" s="63" t="s">
        <v>139</v>
      </c>
      <c r="D231" s="64">
        <v>42654</v>
      </c>
      <c r="E231" s="63" t="s">
        <v>138</v>
      </c>
      <c r="F231" s="65">
        <v>58949</v>
      </c>
      <c r="G231" s="66">
        <v>7.6802466182997204E-3</v>
      </c>
      <c r="H231" s="65">
        <v>464</v>
      </c>
      <c r="I231" s="67">
        <v>1.4968166103825</v>
      </c>
      <c r="J231" s="67">
        <v>11.4959207101051</v>
      </c>
      <c r="K231" s="65">
        <v>95</v>
      </c>
      <c r="L231" s="65">
        <v>39</v>
      </c>
      <c r="M231" s="66">
        <v>5.1903114186851201E-2</v>
      </c>
      <c r="N231" s="67">
        <v>1697.86142434868</v>
      </c>
      <c r="O231" s="67">
        <v>113.190761623245</v>
      </c>
      <c r="P231" s="67">
        <v>432.58000040054299</v>
      </c>
      <c r="Q231" s="77">
        <v>0.25477933251618901</v>
      </c>
    </row>
    <row r="232" spans="1:17" x14ac:dyDescent="0.35">
      <c r="A232" s="76" t="s">
        <v>136</v>
      </c>
      <c r="B232" s="63">
        <v>338793</v>
      </c>
      <c r="C232" s="63" t="s">
        <v>139</v>
      </c>
      <c r="D232" s="64">
        <v>42655</v>
      </c>
      <c r="E232" s="63" t="s">
        <v>138</v>
      </c>
      <c r="F232" s="65">
        <v>38080</v>
      </c>
      <c r="G232" s="66">
        <v>8.2367029821538099E-3</v>
      </c>
      <c r="H232" s="65">
        <v>448</v>
      </c>
      <c r="I232" s="67">
        <v>1.4141489254667401</v>
      </c>
      <c r="J232" s="67">
        <v>11.647924671601499</v>
      </c>
      <c r="K232" s="65">
        <v>21</v>
      </c>
      <c r="L232" s="65">
        <v>39</v>
      </c>
      <c r="M232" s="66">
        <v>7.4468085106383003E-2</v>
      </c>
      <c r="N232" s="67">
        <v>2388.2555784627998</v>
      </c>
      <c r="O232" s="67">
        <v>113.726456117276</v>
      </c>
      <c r="P232" s="67">
        <v>398.78999698162102</v>
      </c>
      <c r="Q232" s="77">
        <v>0.166979614986727</v>
      </c>
    </row>
    <row r="233" spans="1:17" x14ac:dyDescent="0.35">
      <c r="A233" s="76" t="s">
        <v>136</v>
      </c>
      <c r="B233" s="63">
        <v>338793</v>
      </c>
      <c r="C233" s="63" t="s">
        <v>139</v>
      </c>
      <c r="D233" s="64">
        <v>42656</v>
      </c>
      <c r="E233" s="63" t="s">
        <v>138</v>
      </c>
      <c r="F233" s="65">
        <v>68337</v>
      </c>
      <c r="G233" s="66">
        <v>8.9299641241615997E-3</v>
      </c>
      <c r="H233" s="65">
        <v>206</v>
      </c>
      <c r="I233" s="67">
        <v>1.45812226877462</v>
      </c>
      <c r="J233" s="67">
        <v>13.020979548798501</v>
      </c>
      <c r="K233" s="65">
        <v>28</v>
      </c>
      <c r="L233" s="65">
        <v>31</v>
      </c>
      <c r="M233" s="66">
        <v>7.8602620087336206E-2</v>
      </c>
      <c r="N233" s="67">
        <v>2080.77062183406</v>
      </c>
      <c r="O233" s="67">
        <v>115.59836787966999</v>
      </c>
      <c r="P233" s="67">
        <v>333.909999549389</v>
      </c>
      <c r="Q233" s="77">
        <v>0.16047419934018001</v>
      </c>
    </row>
    <row r="234" spans="1:17" x14ac:dyDescent="0.35">
      <c r="A234" s="76" t="s">
        <v>136</v>
      </c>
      <c r="B234" s="63">
        <v>338793</v>
      </c>
      <c r="C234" s="63" t="s">
        <v>139</v>
      </c>
      <c r="D234" s="64">
        <v>42657</v>
      </c>
      <c r="E234" s="63" t="s">
        <v>138</v>
      </c>
      <c r="F234" s="65">
        <v>59686</v>
      </c>
      <c r="G234" s="66">
        <v>7.4827718789742996E-3</v>
      </c>
      <c r="H234" s="65">
        <v>349</v>
      </c>
      <c r="I234" s="67">
        <v>1.44616600576597</v>
      </c>
      <c r="J234" s="67">
        <v>10.8213303202742</v>
      </c>
      <c r="K234" s="65">
        <v>30</v>
      </c>
      <c r="L234" s="65">
        <v>44</v>
      </c>
      <c r="M234" s="66">
        <v>9.0909090909090898E-2</v>
      </c>
      <c r="N234" s="67">
        <v>4052.2711569448002</v>
      </c>
      <c r="O234" s="67">
        <v>176.18570247586101</v>
      </c>
      <c r="P234" s="67">
        <v>365.87999945879</v>
      </c>
      <c r="Q234" s="77">
        <v>9.0290107766293801E-2</v>
      </c>
    </row>
    <row r="235" spans="1:17" x14ac:dyDescent="0.35">
      <c r="A235" s="76" t="s">
        <v>136</v>
      </c>
      <c r="B235" s="63">
        <v>338793</v>
      </c>
      <c r="C235" s="63" t="s">
        <v>139</v>
      </c>
      <c r="D235" s="64">
        <v>42658</v>
      </c>
      <c r="E235" s="63" t="s">
        <v>138</v>
      </c>
      <c r="F235" s="65">
        <v>6763</v>
      </c>
      <c r="G235" s="66">
        <v>8.0979039187605798E-3</v>
      </c>
      <c r="H235" s="65">
        <v>311</v>
      </c>
      <c r="I235" s="67">
        <v>1.39948556133788</v>
      </c>
      <c r="J235" s="67">
        <v>11.3328996114069</v>
      </c>
      <c r="K235" s="65">
        <v>12</v>
      </c>
      <c r="L235" s="65">
        <v>54</v>
      </c>
      <c r="M235" s="66">
        <v>9.3247588424437297E-2</v>
      </c>
      <c r="N235" s="67">
        <v>3396.5624394287001</v>
      </c>
      <c r="O235" s="67">
        <v>117.12284273892099</v>
      </c>
      <c r="P235" s="67">
        <v>435.240009576082</v>
      </c>
      <c r="Q235" s="77">
        <v>0.12814132445311099</v>
      </c>
    </row>
    <row r="236" spans="1:17" x14ac:dyDescent="0.35">
      <c r="A236" s="76" t="s">
        <v>136</v>
      </c>
      <c r="B236" s="63">
        <v>338793</v>
      </c>
      <c r="C236" s="63" t="s">
        <v>139</v>
      </c>
      <c r="D236" s="64">
        <v>42659</v>
      </c>
      <c r="E236" s="63" t="s">
        <v>138</v>
      </c>
      <c r="F236" s="65">
        <v>21970</v>
      </c>
      <c r="G236" s="66">
        <v>6.2944637995140098E-3</v>
      </c>
      <c r="H236" s="65">
        <v>184</v>
      </c>
      <c r="I236" s="67">
        <v>1.3832093211107499</v>
      </c>
      <c r="J236" s="67">
        <v>8.7065609988819492</v>
      </c>
      <c r="K236" s="65">
        <v>83</v>
      </c>
      <c r="L236" s="65">
        <v>37</v>
      </c>
      <c r="M236" s="66">
        <v>0.102325581395349</v>
      </c>
      <c r="N236" s="67">
        <v>2522.0059413040199</v>
      </c>
      <c r="O236" s="67">
        <v>114.636633695637</v>
      </c>
      <c r="P236" s="67">
        <v>297.39000403881101</v>
      </c>
      <c r="Q236" s="77">
        <v>0.11791804260581699</v>
      </c>
    </row>
    <row r="237" spans="1:17" x14ac:dyDescent="0.35">
      <c r="A237" s="76" t="s">
        <v>136</v>
      </c>
      <c r="B237" s="63">
        <v>338793</v>
      </c>
      <c r="C237" s="63" t="s">
        <v>139</v>
      </c>
      <c r="D237" s="64">
        <v>42660</v>
      </c>
      <c r="E237" s="63" t="s">
        <v>138</v>
      </c>
      <c r="F237" s="65">
        <v>30370</v>
      </c>
      <c r="G237" s="66">
        <v>8.1567394721153309E-3</v>
      </c>
      <c r="H237" s="65">
        <v>435</v>
      </c>
      <c r="I237" s="67">
        <v>1.84172757816473</v>
      </c>
      <c r="J237" s="67">
        <v>15.022492033699599</v>
      </c>
      <c r="K237" s="65">
        <v>22</v>
      </c>
      <c r="L237" s="65">
        <v>33</v>
      </c>
      <c r="M237" s="66">
        <v>5.9800664451827197E-2</v>
      </c>
      <c r="N237" s="67">
        <v>1917.9922180067899</v>
      </c>
      <c r="O237" s="67">
        <v>106.55512322259899</v>
      </c>
      <c r="P237" s="67">
        <v>554.36000102758396</v>
      </c>
      <c r="Q237" s="77">
        <v>0.28903141306990499</v>
      </c>
    </row>
    <row r="238" spans="1:17" x14ac:dyDescent="0.35">
      <c r="A238" s="76" t="s">
        <v>136</v>
      </c>
      <c r="B238" s="63">
        <v>338793</v>
      </c>
      <c r="C238" s="63" t="s">
        <v>139</v>
      </c>
      <c r="D238" s="64">
        <v>42661</v>
      </c>
      <c r="E238" s="63" t="s">
        <v>138</v>
      </c>
      <c r="F238" s="65">
        <v>32939</v>
      </c>
      <c r="G238" s="66">
        <v>7.7502975796852301E-3</v>
      </c>
      <c r="H238" s="65">
        <v>358</v>
      </c>
      <c r="I238" s="67">
        <v>1.9379180891522001</v>
      </c>
      <c r="J238" s="67">
        <v>15.0194418759845</v>
      </c>
      <c r="K238" s="65">
        <v>23</v>
      </c>
      <c r="L238" s="65">
        <v>26</v>
      </c>
      <c r="M238" s="66">
        <v>4.7781569965870303E-2</v>
      </c>
      <c r="N238" s="67">
        <v>2079.3514312388202</v>
      </c>
      <c r="O238" s="67">
        <v>148.52510223134399</v>
      </c>
      <c r="P238" s="67">
        <v>567.81000012159302</v>
      </c>
      <c r="Q238" s="77">
        <v>0.27307072368392699</v>
      </c>
    </row>
    <row r="239" spans="1:17" x14ac:dyDescent="0.35">
      <c r="A239" s="76" t="s">
        <v>136</v>
      </c>
      <c r="B239" s="63">
        <v>338793</v>
      </c>
      <c r="C239" s="63" t="s">
        <v>139</v>
      </c>
      <c r="D239" s="64">
        <v>42662</v>
      </c>
      <c r="E239" s="63" t="s">
        <v>138</v>
      </c>
      <c r="F239" s="65">
        <v>18370</v>
      </c>
      <c r="G239" s="66">
        <v>7.3074163632981699E-3</v>
      </c>
      <c r="H239" s="65">
        <v>279</v>
      </c>
      <c r="I239" s="67">
        <v>1.79669088537043</v>
      </c>
      <c r="J239" s="67">
        <v>13.1291683755445</v>
      </c>
      <c r="K239" s="65">
        <v>69</v>
      </c>
      <c r="L239" s="65">
        <v>38</v>
      </c>
      <c r="M239" s="66">
        <v>7.2727272727272696E-2</v>
      </c>
      <c r="N239" s="67">
        <v>2450.0416377779902</v>
      </c>
      <c r="O239" s="67">
        <v>122.502081888899</v>
      </c>
      <c r="P239" s="67">
        <v>494.08999347686802</v>
      </c>
      <c r="Q239" s="77">
        <v>0.201665957777343</v>
      </c>
    </row>
    <row r="240" spans="1:17" x14ac:dyDescent="0.35">
      <c r="A240" s="76" t="s">
        <v>136</v>
      </c>
      <c r="B240" s="63">
        <v>338793</v>
      </c>
      <c r="C240" s="63" t="s">
        <v>139</v>
      </c>
      <c r="D240" s="64">
        <v>42663</v>
      </c>
      <c r="E240" s="63" t="s">
        <v>138</v>
      </c>
      <c r="F240" s="65">
        <v>35327</v>
      </c>
      <c r="G240" s="66">
        <v>1.23473225280394E-2</v>
      </c>
      <c r="H240" s="65">
        <v>314</v>
      </c>
      <c r="I240" s="67">
        <v>1.7835040251521099</v>
      </c>
      <c r="J240" s="67">
        <v>22.021499428609602</v>
      </c>
      <c r="K240" s="65">
        <v>65</v>
      </c>
      <c r="L240" s="65">
        <v>26</v>
      </c>
      <c r="M240" s="66">
        <v>5.1212938005390798E-2</v>
      </c>
      <c r="N240" s="67">
        <v>1949.1804459357099</v>
      </c>
      <c r="O240" s="67">
        <v>102.58844452293199</v>
      </c>
      <c r="P240" s="67">
        <v>661.679993331432</v>
      </c>
      <c r="Q240" s="77">
        <v>0.33946574557071901</v>
      </c>
    </row>
    <row r="241" spans="1:17" x14ac:dyDescent="0.35">
      <c r="A241" s="76" t="s">
        <v>136</v>
      </c>
      <c r="B241" s="63">
        <v>338793</v>
      </c>
      <c r="C241" s="63" t="s">
        <v>139</v>
      </c>
      <c r="D241" s="64">
        <v>42664</v>
      </c>
      <c r="E241" s="63" t="s">
        <v>138</v>
      </c>
      <c r="F241" s="65">
        <v>33925</v>
      </c>
      <c r="G241" s="66">
        <v>9.22077301610052E-3</v>
      </c>
      <c r="H241" s="65">
        <v>499</v>
      </c>
      <c r="I241" s="67">
        <v>1.7111916836215999</v>
      </c>
      <c r="J241" s="67">
        <v>15.778510101713699</v>
      </c>
      <c r="K241" s="65">
        <v>78</v>
      </c>
      <c r="L241" s="65">
        <v>49</v>
      </c>
      <c r="M241" s="66">
        <v>6.9948186528497394E-2</v>
      </c>
      <c r="N241" s="67">
        <v>2819.4969683917202</v>
      </c>
      <c r="O241" s="67">
        <v>104.425813644138</v>
      </c>
      <c r="P241" s="67">
        <v>660.519989877939</v>
      </c>
      <c r="Q241" s="77">
        <v>0.23426873562297501</v>
      </c>
    </row>
    <row r="242" spans="1:17" x14ac:dyDescent="0.35">
      <c r="A242" s="76" t="s">
        <v>136</v>
      </c>
      <c r="B242" s="63">
        <v>338793</v>
      </c>
      <c r="C242" s="63" t="s">
        <v>139</v>
      </c>
      <c r="D242" s="64">
        <v>42665</v>
      </c>
      <c r="E242" s="63" t="s">
        <v>138</v>
      </c>
      <c r="F242" s="65">
        <v>16021</v>
      </c>
      <c r="G242" s="66">
        <v>7.9122001020928995E-3</v>
      </c>
      <c r="H242" s="65">
        <v>490</v>
      </c>
      <c r="I242" s="67">
        <v>1.6936289945276799</v>
      </c>
      <c r="J242" s="67">
        <v>13.400331503409401</v>
      </c>
      <c r="K242" s="65">
        <v>43</v>
      </c>
      <c r="L242" s="65">
        <v>52</v>
      </c>
      <c r="M242" s="66">
        <v>6.4516129032258104E-2</v>
      </c>
      <c r="N242" s="67">
        <v>4973.0818092127702</v>
      </c>
      <c r="O242" s="67">
        <v>207.211742050532</v>
      </c>
      <c r="P242" s="67">
        <v>630.02998596429802</v>
      </c>
      <c r="Q242" s="77">
        <v>0.126688039757792</v>
      </c>
    </row>
    <row r="243" spans="1:17" x14ac:dyDescent="0.35">
      <c r="A243" s="76" t="s">
        <v>136</v>
      </c>
      <c r="B243" s="63">
        <v>338793</v>
      </c>
      <c r="C243" s="63" t="s">
        <v>139</v>
      </c>
      <c r="D243" s="64">
        <v>42666</v>
      </c>
      <c r="E243" s="63" t="s">
        <v>138</v>
      </c>
      <c r="F243" s="65">
        <v>25441</v>
      </c>
      <c r="G243" s="66">
        <v>8.9137125270716995E-3</v>
      </c>
      <c r="H243" s="65">
        <v>259</v>
      </c>
      <c r="I243" s="67">
        <v>1.7666751719496701</v>
      </c>
      <c r="J243" s="67">
        <v>15.7476346114744</v>
      </c>
      <c r="K243" s="65">
        <v>43</v>
      </c>
      <c r="L243" s="65">
        <v>54</v>
      </c>
      <c r="M243" s="66">
        <v>7.4168797953964194E-2</v>
      </c>
      <c r="N243" s="67">
        <v>2942.6226745691802</v>
      </c>
      <c r="O243" s="67">
        <v>101.469747398937</v>
      </c>
      <c r="P243" s="67">
        <v>690.76999223232303</v>
      </c>
      <c r="Q243" s="77">
        <v>0.234746370372972</v>
      </c>
    </row>
    <row r="244" spans="1:17" x14ac:dyDescent="0.35">
      <c r="A244" s="76" t="s">
        <v>136</v>
      </c>
      <c r="B244" s="63">
        <v>338793</v>
      </c>
      <c r="C244" s="63" t="s">
        <v>139</v>
      </c>
      <c r="D244" s="64">
        <v>42667</v>
      </c>
      <c r="E244" s="63" t="s">
        <v>138</v>
      </c>
      <c r="F244" s="65">
        <v>15560</v>
      </c>
      <c r="G244" s="66">
        <v>7.0387750061743602E-3</v>
      </c>
      <c r="H244" s="65">
        <v>598</v>
      </c>
      <c r="I244" s="67">
        <v>1.80131574654788</v>
      </c>
      <c r="J244" s="67">
        <v>12.6790562550296</v>
      </c>
      <c r="K244" s="65">
        <v>70</v>
      </c>
      <c r="L244" s="65">
        <v>44</v>
      </c>
      <c r="M244" s="66">
        <v>6.14035087719298E-2</v>
      </c>
      <c r="N244" s="67">
        <v>2139.8020313164502</v>
      </c>
      <c r="O244" s="67">
        <v>101.89533482459299</v>
      </c>
      <c r="P244" s="67">
        <v>616.04998531937599</v>
      </c>
      <c r="Q244" s="77">
        <v>0.28790045822153398</v>
      </c>
    </row>
    <row r="245" spans="1:17" x14ac:dyDescent="0.35">
      <c r="A245" s="76" t="s">
        <v>136</v>
      </c>
      <c r="B245" s="63">
        <v>338793</v>
      </c>
      <c r="C245" s="63" t="s">
        <v>139</v>
      </c>
      <c r="D245" s="64">
        <v>42668</v>
      </c>
      <c r="E245" s="63" t="s">
        <v>138</v>
      </c>
      <c r="F245" s="65">
        <v>60611</v>
      </c>
      <c r="G245" s="66">
        <v>7.0097644002508298E-3</v>
      </c>
      <c r="H245" s="65">
        <v>451</v>
      </c>
      <c r="I245" s="67">
        <v>1.7029712473432099</v>
      </c>
      <c r="J245" s="67">
        <v>11.937427224277201</v>
      </c>
      <c r="K245" s="65">
        <v>70</v>
      </c>
      <c r="L245" s="65">
        <v>44</v>
      </c>
      <c r="M245" s="66">
        <v>5.4313099041533502E-2</v>
      </c>
      <c r="N245" s="67">
        <v>2981.1725552404801</v>
      </c>
      <c r="O245" s="67">
        <v>175.36309148473401</v>
      </c>
      <c r="P245" s="67">
        <v>533.03000041842495</v>
      </c>
      <c r="Q245" s="77">
        <v>0.178798774824836</v>
      </c>
    </row>
    <row r="246" spans="1:17" x14ac:dyDescent="0.35">
      <c r="A246" s="76" t="s">
        <v>136</v>
      </c>
      <c r="B246" s="63">
        <v>338793</v>
      </c>
      <c r="C246" s="63" t="s">
        <v>139</v>
      </c>
      <c r="D246" s="64">
        <v>42669</v>
      </c>
      <c r="E246" s="63" t="s">
        <v>138</v>
      </c>
      <c r="F246" s="65">
        <v>62013</v>
      </c>
      <c r="G246" s="66">
        <v>7.3558549633445597E-3</v>
      </c>
      <c r="H246" s="65">
        <v>253</v>
      </c>
      <c r="I246" s="67">
        <v>1.6783501648340999</v>
      </c>
      <c r="J246" s="67">
        <v>12.345700390225099</v>
      </c>
      <c r="K246" s="65">
        <v>70</v>
      </c>
      <c r="L246" s="65">
        <v>31</v>
      </c>
      <c r="M246" s="66">
        <v>4.7138047138047097E-2</v>
      </c>
      <c r="N246" s="67">
        <v>1429.8879994904501</v>
      </c>
      <c r="O246" s="67">
        <v>102.13485710646</v>
      </c>
      <c r="P246" s="67">
        <v>498.46999895572702</v>
      </c>
      <c r="Q246" s="77">
        <v>0.34860772251628203</v>
      </c>
    </row>
    <row r="247" spans="1:17" x14ac:dyDescent="0.35">
      <c r="A247" s="76" t="s">
        <v>136</v>
      </c>
      <c r="B247" s="63">
        <v>338793</v>
      </c>
      <c r="C247" s="63" t="s">
        <v>139</v>
      </c>
      <c r="D247" s="64">
        <v>42670</v>
      </c>
      <c r="E247" s="63" t="s">
        <v>138</v>
      </c>
      <c r="F247" s="65">
        <v>12437</v>
      </c>
      <c r="G247" s="66">
        <v>9.4713597786468696E-3</v>
      </c>
      <c r="H247" s="65">
        <v>577</v>
      </c>
      <c r="I247" s="67">
        <v>1.7444662889570299</v>
      </c>
      <c r="J247" s="67">
        <v>16.522467844432999</v>
      </c>
      <c r="K247" s="65">
        <v>68</v>
      </c>
      <c r="L247" s="65">
        <v>27</v>
      </c>
      <c r="M247" s="66">
        <v>3.6516853932584303E-2</v>
      </c>
      <c r="N247" s="67">
        <v>2649.7879581174998</v>
      </c>
      <c r="O247" s="67">
        <v>203.82984293211501</v>
      </c>
      <c r="P247" s="67">
        <v>621.02999886870396</v>
      </c>
      <c r="Q247" s="77">
        <v>0.23436969624916901</v>
      </c>
    </row>
    <row r="248" spans="1:17" x14ac:dyDescent="0.35">
      <c r="A248" s="76" t="s">
        <v>136</v>
      </c>
      <c r="B248" s="63">
        <v>338793</v>
      </c>
      <c r="C248" s="63" t="s">
        <v>139</v>
      </c>
      <c r="D248" s="64">
        <v>42671</v>
      </c>
      <c r="E248" s="63" t="s">
        <v>138</v>
      </c>
      <c r="F248" s="65">
        <v>14950</v>
      </c>
      <c r="G248" s="66">
        <v>8.4320417586829996E-3</v>
      </c>
      <c r="H248" s="65">
        <v>288</v>
      </c>
      <c r="I248" s="67">
        <v>1.6967619104754399</v>
      </c>
      <c r="J248" s="67">
        <v>14.3071672836716</v>
      </c>
      <c r="K248" s="65">
        <v>63</v>
      </c>
      <c r="L248" s="65">
        <v>84</v>
      </c>
      <c r="M248" s="66">
        <v>8.0952380952380998E-2</v>
      </c>
      <c r="N248" s="67">
        <v>5049.5505273953104</v>
      </c>
      <c r="O248" s="67">
        <v>148.51619198221499</v>
      </c>
      <c r="P248" s="67">
        <v>712.640002399683</v>
      </c>
      <c r="Q248" s="77">
        <v>0.14112939330607699</v>
      </c>
    </row>
    <row r="249" spans="1:17" x14ac:dyDescent="0.35">
      <c r="A249" s="76" t="s">
        <v>136</v>
      </c>
      <c r="B249" s="63">
        <v>338793</v>
      </c>
      <c r="C249" s="63" t="s">
        <v>139</v>
      </c>
      <c r="D249" s="64">
        <v>42672</v>
      </c>
      <c r="E249" s="63" t="s">
        <v>138</v>
      </c>
      <c r="F249" s="65">
        <v>46745</v>
      </c>
      <c r="G249" s="66">
        <v>7.43736156550365E-3</v>
      </c>
      <c r="H249" s="65">
        <v>296</v>
      </c>
      <c r="I249" s="67">
        <v>1.74573771525276</v>
      </c>
      <c r="J249" s="67">
        <v>12.983682586871</v>
      </c>
      <c r="K249" s="65">
        <v>59</v>
      </c>
      <c r="L249" s="65">
        <v>82</v>
      </c>
      <c r="M249" s="66">
        <v>8.4699453551912607E-2</v>
      </c>
      <c r="N249" s="67">
        <v>5461.7132319709599</v>
      </c>
      <c r="O249" s="67">
        <v>176.184297805515</v>
      </c>
      <c r="P249" s="67">
        <v>638.94000378251098</v>
      </c>
      <c r="Q249" s="77">
        <v>0.116985271222659</v>
      </c>
    </row>
    <row r="250" spans="1:17" x14ac:dyDescent="0.35">
      <c r="A250" s="76" t="s">
        <v>136</v>
      </c>
      <c r="B250" s="63">
        <v>338793</v>
      </c>
      <c r="C250" s="63" t="s">
        <v>139</v>
      </c>
      <c r="D250" s="64">
        <v>42673</v>
      </c>
      <c r="E250" s="63" t="s">
        <v>138</v>
      </c>
      <c r="F250" s="65">
        <v>52121</v>
      </c>
      <c r="G250" s="66">
        <v>7.0920488844798098E-3</v>
      </c>
      <c r="H250" s="65">
        <v>336</v>
      </c>
      <c r="I250" s="67">
        <v>1.78059522843077</v>
      </c>
      <c r="J250" s="67">
        <v>12.6280684035025</v>
      </c>
      <c r="K250" s="65">
        <v>42</v>
      </c>
      <c r="L250" s="65">
        <v>40</v>
      </c>
      <c r="M250" s="66">
        <v>7.1428571428571397E-2</v>
      </c>
      <c r="N250" s="67">
        <v>2862.6830479246701</v>
      </c>
      <c r="O250" s="67">
        <v>119.278460330195</v>
      </c>
      <c r="P250" s="67">
        <v>598.27999675273895</v>
      </c>
      <c r="Q250" s="77">
        <v>0.20899274796994</v>
      </c>
    </row>
    <row r="251" spans="1:17" x14ac:dyDescent="0.35">
      <c r="A251" s="76" t="s">
        <v>136</v>
      </c>
      <c r="B251" s="63">
        <v>338793</v>
      </c>
      <c r="C251" s="63" t="s">
        <v>139</v>
      </c>
      <c r="D251" s="64">
        <v>42674</v>
      </c>
      <c r="E251" s="63" t="s">
        <v>138</v>
      </c>
      <c r="F251" s="65">
        <v>12474</v>
      </c>
      <c r="G251" s="66">
        <v>8.2644628099173608E-3</v>
      </c>
      <c r="H251" s="65">
        <v>368</v>
      </c>
      <c r="I251" s="67">
        <v>1.82262734865056</v>
      </c>
      <c r="J251" s="67">
        <v>15.0630359392608</v>
      </c>
      <c r="K251" s="65">
        <v>11</v>
      </c>
      <c r="L251" s="65">
        <v>49</v>
      </c>
      <c r="M251" s="66">
        <v>7.2386058981233306E-2</v>
      </c>
      <c r="N251" s="67">
        <v>3444.8674315907301</v>
      </c>
      <c r="O251" s="67">
        <v>127.587682651509</v>
      </c>
      <c r="P251" s="67">
        <v>679.84000104665802</v>
      </c>
      <c r="Q251" s="77">
        <v>0.19734866857640701</v>
      </c>
    </row>
    <row r="252" spans="1:17" x14ac:dyDescent="0.35">
      <c r="A252" s="76" t="s">
        <v>136</v>
      </c>
      <c r="B252" s="63">
        <v>338793</v>
      </c>
      <c r="C252" s="63" t="s">
        <v>139</v>
      </c>
      <c r="D252" s="64">
        <v>42675</v>
      </c>
      <c r="E252" s="63" t="s">
        <v>138</v>
      </c>
      <c r="F252" s="65">
        <v>9994</v>
      </c>
      <c r="G252" s="66">
        <v>8.8234006217979607E-3</v>
      </c>
      <c r="H252" s="65">
        <v>408</v>
      </c>
      <c r="I252" s="67">
        <v>1.7535980263211901</v>
      </c>
      <c r="J252" s="67">
        <v>15.4726979158261</v>
      </c>
      <c r="K252" s="65">
        <v>42</v>
      </c>
      <c r="L252" s="65">
        <v>64</v>
      </c>
      <c r="M252" s="66">
        <v>5.2109181141439198E-2</v>
      </c>
      <c r="N252" s="67">
        <v>2988.79673979062</v>
      </c>
      <c r="O252" s="67">
        <v>142.32365427574399</v>
      </c>
      <c r="P252" s="67">
        <v>706.70000460743904</v>
      </c>
      <c r="Q252" s="77">
        <v>0.23644967059785599</v>
      </c>
    </row>
    <row r="253" spans="1:17" x14ac:dyDescent="0.35">
      <c r="A253" s="76" t="s">
        <v>136</v>
      </c>
      <c r="B253" s="63">
        <v>338793</v>
      </c>
      <c r="C253" s="63" t="s">
        <v>139</v>
      </c>
      <c r="D253" s="64">
        <v>42676</v>
      </c>
      <c r="E253" s="63" t="s">
        <v>138</v>
      </c>
      <c r="F253" s="65">
        <v>42114</v>
      </c>
      <c r="G253" s="66">
        <v>7.1901135938085099E-3</v>
      </c>
      <c r="H253" s="65">
        <v>213</v>
      </c>
      <c r="I253" s="67">
        <v>1.7465625001738501</v>
      </c>
      <c r="J253" s="67">
        <v>12.5579827749362</v>
      </c>
      <c r="K253" s="65">
        <v>85</v>
      </c>
      <c r="L253" s="65">
        <v>36</v>
      </c>
      <c r="M253" s="66">
        <v>5.2083333333333301E-2</v>
      </c>
      <c r="N253" s="67">
        <v>1706.2422124350901</v>
      </c>
      <c r="O253" s="67">
        <v>113.749480829006</v>
      </c>
      <c r="P253" s="67">
        <v>503.01000005006802</v>
      </c>
      <c r="Q253" s="77">
        <v>0.29480574116859298</v>
      </c>
    </row>
    <row r="254" spans="1:17" x14ac:dyDescent="0.35">
      <c r="A254" s="76" t="s">
        <v>136</v>
      </c>
      <c r="B254" s="63">
        <v>338793</v>
      </c>
      <c r="C254" s="63" t="s">
        <v>139</v>
      </c>
      <c r="D254" s="64">
        <v>42677</v>
      </c>
      <c r="E254" s="63" t="s">
        <v>138</v>
      </c>
      <c r="F254" s="65">
        <v>18569</v>
      </c>
      <c r="G254" s="66">
        <v>8.1160465835308695E-3</v>
      </c>
      <c r="H254" s="65">
        <v>492</v>
      </c>
      <c r="I254" s="67">
        <v>1.7232381147051601</v>
      </c>
      <c r="J254" s="67">
        <v>13.985880813463</v>
      </c>
      <c r="K254" s="65">
        <v>45</v>
      </c>
      <c r="L254" s="65">
        <v>21</v>
      </c>
      <c r="M254" s="66">
        <v>3.8095238095238099E-2</v>
      </c>
      <c r="N254" s="67">
        <v>2038.21866240085</v>
      </c>
      <c r="O254" s="67">
        <v>169.851555200071</v>
      </c>
      <c r="P254" s="67">
        <v>542.82000613212597</v>
      </c>
      <c r="Q254" s="77">
        <v>0.26632079086781102</v>
      </c>
    </row>
    <row r="255" spans="1:17" x14ac:dyDescent="0.35">
      <c r="A255" s="76" t="s">
        <v>136</v>
      </c>
      <c r="B255" s="63">
        <v>338793</v>
      </c>
      <c r="C255" s="63" t="s">
        <v>139</v>
      </c>
      <c r="D255" s="64">
        <v>42678</v>
      </c>
      <c r="E255" s="63" t="s">
        <v>138</v>
      </c>
      <c r="F255" s="65">
        <v>36767</v>
      </c>
      <c r="G255" s="66">
        <v>8.5039505694417504E-3</v>
      </c>
      <c r="H255" s="65">
        <v>155</v>
      </c>
      <c r="I255" s="67">
        <v>1.63713925058329</v>
      </c>
      <c r="J255" s="67">
        <v>13.9221512622532</v>
      </c>
      <c r="K255" s="65">
        <v>54</v>
      </c>
      <c r="L255" s="65">
        <v>50</v>
      </c>
      <c r="M255" s="66">
        <v>6.3291139240506306E-2</v>
      </c>
      <c r="N255" s="67">
        <v>3265.8810512722098</v>
      </c>
      <c r="O255" s="67">
        <v>130.635242050888</v>
      </c>
      <c r="P255" s="67">
        <v>646.67000398039795</v>
      </c>
      <c r="Q255" s="77">
        <v>0.198007825094699</v>
      </c>
    </row>
    <row r="256" spans="1:17" x14ac:dyDescent="0.35">
      <c r="A256" s="76" t="s">
        <v>136</v>
      </c>
      <c r="B256" s="63">
        <v>736499</v>
      </c>
      <c r="C256" s="63" t="s">
        <v>140</v>
      </c>
      <c r="D256" s="64">
        <v>42552</v>
      </c>
      <c r="E256" s="63" t="s">
        <v>138</v>
      </c>
      <c r="F256" s="65">
        <v>14323</v>
      </c>
      <c r="G256" s="66">
        <v>7.9978152309613006E-3</v>
      </c>
      <c r="H256" s="65">
        <v>407</v>
      </c>
      <c r="I256" s="67">
        <v>0.42912195968191802</v>
      </c>
      <c r="J256" s="67">
        <v>3.4320381450839998</v>
      </c>
      <c r="K256" s="65">
        <v>53</v>
      </c>
      <c r="L256" s="65">
        <v>32</v>
      </c>
      <c r="M256" s="66">
        <v>4.8780487804878099E-2</v>
      </c>
      <c r="N256" s="67">
        <v>1147.46305769219</v>
      </c>
      <c r="O256" s="67">
        <v>114.74630576921901</v>
      </c>
      <c r="P256" s="67">
        <v>87.9700017347932</v>
      </c>
      <c r="Q256" s="77">
        <v>7.6664779005366099E-2</v>
      </c>
    </row>
    <row r="257" spans="1:17" x14ac:dyDescent="0.35">
      <c r="A257" s="76" t="s">
        <v>136</v>
      </c>
      <c r="B257" s="63">
        <v>736499</v>
      </c>
      <c r="C257" s="63" t="s">
        <v>140</v>
      </c>
      <c r="D257" s="64">
        <v>42553</v>
      </c>
      <c r="E257" s="63" t="s">
        <v>138</v>
      </c>
      <c r="F257" s="65">
        <v>1601</v>
      </c>
      <c r="G257" s="66">
        <v>8.3270249810749406E-3</v>
      </c>
      <c r="H257" s="65">
        <v>358</v>
      </c>
      <c r="I257" s="67">
        <v>0.449090913821586</v>
      </c>
      <c r="J257" s="67">
        <v>3.7395912581661199</v>
      </c>
      <c r="K257" s="65">
        <v>20</v>
      </c>
      <c r="L257" s="65">
        <v>46</v>
      </c>
      <c r="M257" s="66">
        <v>7.1146245059288502E-2</v>
      </c>
      <c r="N257" s="67">
        <v>2473.1177930875601</v>
      </c>
      <c r="O257" s="67">
        <v>137.395432949309</v>
      </c>
      <c r="P257" s="67">
        <v>113.620001196861</v>
      </c>
      <c r="Q257" s="77">
        <v>4.5942009521112402E-2</v>
      </c>
    </row>
    <row r="258" spans="1:17" x14ac:dyDescent="0.35">
      <c r="A258" s="76" t="s">
        <v>136</v>
      </c>
      <c r="B258" s="63">
        <v>736499</v>
      </c>
      <c r="C258" s="63" t="s">
        <v>140</v>
      </c>
      <c r="D258" s="64">
        <v>42554</v>
      </c>
      <c r="E258" s="63" t="s">
        <v>138</v>
      </c>
      <c r="F258" s="65">
        <v>10764</v>
      </c>
      <c r="G258" s="66">
        <v>8.1498071419684008E-3</v>
      </c>
      <c r="H258" s="65">
        <v>186</v>
      </c>
      <c r="I258" s="67">
        <v>0.45954199408301899</v>
      </c>
      <c r="J258" s="67">
        <v>3.7451786254121799</v>
      </c>
      <c r="K258" s="65">
        <v>71</v>
      </c>
      <c r="L258" s="65">
        <v>32</v>
      </c>
      <c r="M258" s="66">
        <v>5.34351145038168E-2</v>
      </c>
      <c r="N258" s="67">
        <v>929.25058939100597</v>
      </c>
      <c r="O258" s="67">
        <v>66.3750420993576</v>
      </c>
      <c r="P258" s="67">
        <v>120.400002449751</v>
      </c>
      <c r="Q258" s="77">
        <v>0.12956677544714401</v>
      </c>
    </row>
    <row r="259" spans="1:17" x14ac:dyDescent="0.35">
      <c r="A259" s="76" t="s">
        <v>136</v>
      </c>
      <c r="B259" s="63">
        <v>736499</v>
      </c>
      <c r="C259" s="63" t="s">
        <v>140</v>
      </c>
      <c r="D259" s="64">
        <v>42555</v>
      </c>
      <c r="E259" s="63" t="s">
        <v>138</v>
      </c>
      <c r="F259" s="65">
        <v>57430</v>
      </c>
      <c r="G259" s="66">
        <v>8.2083215397678998E-3</v>
      </c>
      <c r="H259" s="65">
        <v>164</v>
      </c>
      <c r="I259" s="67">
        <v>0.44560345837139897</v>
      </c>
      <c r="J259" s="67">
        <v>3.6576564655450201</v>
      </c>
      <c r="K259" s="65">
        <v>94</v>
      </c>
      <c r="L259" s="65">
        <v>25</v>
      </c>
      <c r="M259" s="66">
        <v>4.7413793103448301E-2</v>
      </c>
      <c r="N259" s="67">
        <v>1227.2452492012801</v>
      </c>
      <c r="O259" s="67">
        <v>111.567749927389</v>
      </c>
      <c r="P259" s="67">
        <v>103.380002342165</v>
      </c>
      <c r="Q259" s="77">
        <v>8.4237443501571002E-2</v>
      </c>
    </row>
    <row r="260" spans="1:17" x14ac:dyDescent="0.35">
      <c r="A260" s="76" t="s">
        <v>136</v>
      </c>
      <c r="B260" s="63">
        <v>736499</v>
      </c>
      <c r="C260" s="63" t="s">
        <v>140</v>
      </c>
      <c r="D260" s="64">
        <v>42556</v>
      </c>
      <c r="E260" s="63" t="s">
        <v>138</v>
      </c>
      <c r="F260" s="65">
        <v>10520</v>
      </c>
      <c r="G260" s="66">
        <v>1.02438024994878E-2</v>
      </c>
      <c r="H260" s="65">
        <v>498</v>
      </c>
      <c r="I260" s="67">
        <v>0.38390001118183098</v>
      </c>
      <c r="J260" s="67">
        <v>3.9325958940978398</v>
      </c>
      <c r="K260" s="65">
        <v>25</v>
      </c>
      <c r="L260" s="65">
        <v>25</v>
      </c>
      <c r="M260" s="66">
        <v>3.5000000000000003E-2</v>
      </c>
      <c r="N260" s="67">
        <v>1242.54473161034</v>
      </c>
      <c r="O260" s="67">
        <v>177.506390230048</v>
      </c>
      <c r="P260" s="67">
        <v>76.7800022363663</v>
      </c>
      <c r="Q260" s="77">
        <v>6.1792545799827597E-2</v>
      </c>
    </row>
    <row r="261" spans="1:17" x14ac:dyDescent="0.35">
      <c r="A261" s="76" t="s">
        <v>136</v>
      </c>
      <c r="B261" s="63">
        <v>736499</v>
      </c>
      <c r="C261" s="63" t="s">
        <v>140</v>
      </c>
      <c r="D261" s="64">
        <v>42557</v>
      </c>
      <c r="E261" s="63" t="s">
        <v>138</v>
      </c>
      <c r="F261" s="65">
        <v>32319</v>
      </c>
      <c r="G261" s="66">
        <v>8.1940700808625297E-3</v>
      </c>
      <c r="H261" s="65">
        <v>538</v>
      </c>
      <c r="I261" s="67">
        <v>0.326644749086546</v>
      </c>
      <c r="J261" s="67">
        <v>2.6765499655609202</v>
      </c>
      <c r="K261" s="65">
        <v>84</v>
      </c>
      <c r="L261" s="65">
        <v>26</v>
      </c>
      <c r="M261" s="66">
        <v>6.5789473684210495E-2</v>
      </c>
      <c r="N261" s="67">
        <v>1084.5794763465301</v>
      </c>
      <c r="O261" s="67">
        <v>108.457947634653</v>
      </c>
      <c r="P261" s="67">
        <v>49.650001861154998</v>
      </c>
      <c r="Q261" s="77">
        <v>4.5778113032715603E-2</v>
      </c>
    </row>
    <row r="262" spans="1:17" x14ac:dyDescent="0.35">
      <c r="A262" s="76" t="s">
        <v>136</v>
      </c>
      <c r="B262" s="63">
        <v>736499</v>
      </c>
      <c r="C262" s="63" t="s">
        <v>140</v>
      </c>
      <c r="D262" s="64">
        <v>42558</v>
      </c>
      <c r="E262" s="63" t="s">
        <v>138</v>
      </c>
      <c r="F262" s="65">
        <v>11171</v>
      </c>
      <c r="G262" s="66">
        <v>1.01472764428159E-2</v>
      </c>
      <c r="H262" s="65">
        <v>539</v>
      </c>
      <c r="I262" s="67">
        <v>0.32465278610794102</v>
      </c>
      <c r="J262" s="67">
        <v>3.29434156856765</v>
      </c>
      <c r="K262" s="65">
        <v>88</v>
      </c>
      <c r="L262" s="65">
        <v>19</v>
      </c>
      <c r="M262" s="66">
        <v>6.9444444444444406E-2</v>
      </c>
      <c r="N262" s="67">
        <v>492.52312477461999</v>
      </c>
      <c r="O262" s="67">
        <v>49.252312477461999</v>
      </c>
      <c r="P262" s="67">
        <v>46.750001199543497</v>
      </c>
      <c r="Q262" s="77">
        <v>9.4919403471535296E-2</v>
      </c>
    </row>
    <row r="263" spans="1:17" x14ac:dyDescent="0.35">
      <c r="A263" s="76" t="s">
        <v>136</v>
      </c>
      <c r="B263" s="63">
        <v>736499</v>
      </c>
      <c r="C263" s="63" t="s">
        <v>140</v>
      </c>
      <c r="D263" s="64">
        <v>42559</v>
      </c>
      <c r="E263" s="63" t="s">
        <v>138</v>
      </c>
      <c r="F263" s="65">
        <v>40827</v>
      </c>
      <c r="G263" s="66">
        <v>9.3152738369291707E-3</v>
      </c>
      <c r="H263" s="65">
        <v>459</v>
      </c>
      <c r="I263" s="67">
        <v>0.34643679206398698</v>
      </c>
      <c r="J263" s="67">
        <v>3.2271535852633302</v>
      </c>
      <c r="K263" s="65">
        <v>68</v>
      </c>
      <c r="L263" s="65">
        <v>22</v>
      </c>
      <c r="M263" s="66">
        <v>5.7471264367816098E-2</v>
      </c>
      <c r="N263" s="67">
        <v>888.88408876205199</v>
      </c>
      <c r="O263" s="67">
        <v>88.888408876205204</v>
      </c>
      <c r="P263" s="67">
        <v>60.280001819133801</v>
      </c>
      <c r="Q263" s="77">
        <v>6.7815368259190698E-2</v>
      </c>
    </row>
    <row r="264" spans="1:17" x14ac:dyDescent="0.35">
      <c r="A264" s="76" t="s">
        <v>136</v>
      </c>
      <c r="B264" s="63">
        <v>736499</v>
      </c>
      <c r="C264" s="63" t="s">
        <v>140</v>
      </c>
      <c r="D264" s="64">
        <v>42560</v>
      </c>
      <c r="E264" s="63" t="s">
        <v>138</v>
      </c>
      <c r="F264" s="65">
        <v>46347</v>
      </c>
      <c r="G264" s="66">
        <v>8.3587219748457193E-3</v>
      </c>
      <c r="H264" s="65">
        <v>525</v>
      </c>
      <c r="I264" s="67">
        <v>0.34453272070979402</v>
      </c>
      <c r="J264" s="67">
        <v>2.8798532236503398</v>
      </c>
      <c r="K264" s="65">
        <v>71</v>
      </c>
      <c r="L264" s="65">
        <v>29</v>
      </c>
      <c r="M264" s="66">
        <v>4.2056074766355103E-2</v>
      </c>
      <c r="N264" s="67">
        <v>637.60913905261498</v>
      </c>
      <c r="O264" s="67">
        <v>70.845459894735001</v>
      </c>
      <c r="P264" s="67">
        <v>73.730002231895895</v>
      </c>
      <c r="Q264" s="77">
        <v>0.115635108902998</v>
      </c>
    </row>
    <row r="265" spans="1:17" x14ac:dyDescent="0.35">
      <c r="A265" s="76" t="s">
        <v>136</v>
      </c>
      <c r="B265" s="63">
        <v>736499</v>
      </c>
      <c r="C265" s="63" t="s">
        <v>140</v>
      </c>
      <c r="D265" s="64">
        <v>42561</v>
      </c>
      <c r="E265" s="63" t="s">
        <v>138</v>
      </c>
      <c r="F265" s="65">
        <v>53651</v>
      </c>
      <c r="G265" s="66">
        <v>1.02237654320988E-2</v>
      </c>
      <c r="H265" s="65">
        <v>269</v>
      </c>
      <c r="I265" s="67">
        <v>0.33392453682872503</v>
      </c>
      <c r="J265" s="67">
        <v>3.4139661365591101</v>
      </c>
      <c r="K265" s="65">
        <v>12</v>
      </c>
      <c r="L265" s="65">
        <v>18</v>
      </c>
      <c r="M265" s="66">
        <v>1.88679245283019E-2</v>
      </c>
      <c r="N265" s="67">
        <v>446.19241141234301</v>
      </c>
      <c r="O265" s="67">
        <v>89.238482282468595</v>
      </c>
      <c r="P265" s="67">
        <v>88.490002259612098</v>
      </c>
      <c r="Q265" s="77">
        <v>0.19832251736310999</v>
      </c>
    </row>
    <row r="266" spans="1:17" x14ac:dyDescent="0.35">
      <c r="A266" s="76" t="s">
        <v>136</v>
      </c>
      <c r="B266" s="63">
        <v>736499</v>
      </c>
      <c r="C266" s="63" t="s">
        <v>140</v>
      </c>
      <c r="D266" s="64">
        <v>42562</v>
      </c>
      <c r="E266" s="63" t="s">
        <v>138</v>
      </c>
      <c r="F266" s="65">
        <v>37379</v>
      </c>
      <c r="G266" s="66">
        <v>9.2644268333519405E-3</v>
      </c>
      <c r="H266" s="65">
        <v>597</v>
      </c>
      <c r="I266" s="67">
        <v>0.31329318159914399</v>
      </c>
      <c r="J266" s="67">
        <v>2.9024817583133098</v>
      </c>
      <c r="K266" s="65">
        <v>99</v>
      </c>
      <c r="L266" s="65">
        <v>25</v>
      </c>
      <c r="M266" s="66">
        <v>5.22088353413655E-2</v>
      </c>
      <c r="N266" s="67">
        <v>812.60265274832602</v>
      </c>
      <c r="O266" s="67">
        <v>62.507896365255803</v>
      </c>
      <c r="P266" s="67">
        <v>78.010002218186898</v>
      </c>
      <c r="Q266" s="77">
        <v>9.6000181582409402E-2</v>
      </c>
    </row>
    <row r="267" spans="1:17" x14ac:dyDescent="0.35">
      <c r="A267" s="76" t="s">
        <v>136</v>
      </c>
      <c r="B267" s="63">
        <v>736499</v>
      </c>
      <c r="C267" s="63" t="s">
        <v>140</v>
      </c>
      <c r="D267" s="64">
        <v>42563</v>
      </c>
      <c r="E267" s="63" t="s">
        <v>138</v>
      </c>
      <c r="F267" s="65">
        <v>47872</v>
      </c>
      <c r="G267" s="66">
        <v>8.5698458731141396E-3</v>
      </c>
      <c r="H267" s="65">
        <v>309</v>
      </c>
      <c r="I267" s="67">
        <v>0.34054861537857201</v>
      </c>
      <c r="J267" s="67">
        <v>2.9184491460967901</v>
      </c>
      <c r="K267" s="65">
        <v>41</v>
      </c>
      <c r="L267" s="65">
        <v>22</v>
      </c>
      <c r="M267" s="66">
        <v>4.1825095057034203E-2</v>
      </c>
      <c r="N267" s="67">
        <v>521.09085480008002</v>
      </c>
      <c r="O267" s="67">
        <v>47.371895890916399</v>
      </c>
      <c r="P267" s="67">
        <v>89.564285844564395</v>
      </c>
      <c r="Q267" s="77">
        <v>0.17187844503416999</v>
      </c>
    </row>
    <row r="268" spans="1:17" x14ac:dyDescent="0.35">
      <c r="A268" s="76" t="s">
        <v>136</v>
      </c>
      <c r="B268" s="63">
        <v>736499</v>
      </c>
      <c r="C268" s="63" t="s">
        <v>140</v>
      </c>
      <c r="D268" s="64">
        <v>42564</v>
      </c>
      <c r="E268" s="63" t="s">
        <v>138</v>
      </c>
      <c r="F268" s="65">
        <v>45775</v>
      </c>
      <c r="G268" s="66">
        <v>8.6075746657058201E-3</v>
      </c>
      <c r="H268" s="65">
        <v>546</v>
      </c>
      <c r="I268" s="67">
        <v>0.327116270952447</v>
      </c>
      <c r="J268" s="67">
        <v>2.8156777265904398</v>
      </c>
      <c r="K268" s="65">
        <v>24</v>
      </c>
      <c r="L268" s="65">
        <v>20</v>
      </c>
      <c r="M268" s="66">
        <v>4.6511627906976702E-2</v>
      </c>
      <c r="N268" s="67">
        <v>1442.2594891967799</v>
      </c>
      <c r="O268" s="67">
        <v>144.22594891967799</v>
      </c>
      <c r="P268" s="67">
        <v>70.329998254776001</v>
      </c>
      <c r="Q268" s="77">
        <v>4.8763761848392401E-2</v>
      </c>
    </row>
    <row r="269" spans="1:17" x14ac:dyDescent="0.35">
      <c r="A269" s="76" t="s">
        <v>136</v>
      </c>
      <c r="B269" s="63">
        <v>736499</v>
      </c>
      <c r="C269" s="63" t="s">
        <v>140</v>
      </c>
      <c r="D269" s="64">
        <v>42565</v>
      </c>
      <c r="E269" s="63" t="s">
        <v>138</v>
      </c>
      <c r="F269" s="65">
        <v>36214</v>
      </c>
      <c r="G269" s="66">
        <v>9.0900252770756401E-3</v>
      </c>
      <c r="H269" s="65">
        <v>382</v>
      </c>
      <c r="I269" s="67">
        <v>0.32540106382918199</v>
      </c>
      <c r="J269" s="67">
        <v>2.95790389539457</v>
      </c>
      <c r="K269" s="65">
        <v>43</v>
      </c>
      <c r="L269" s="65">
        <v>16</v>
      </c>
      <c r="M269" s="66">
        <v>6.4171122994652399E-2</v>
      </c>
      <c r="N269" s="67">
        <v>1302.7487420223799</v>
      </c>
      <c r="O269" s="67">
        <v>108.56239516853201</v>
      </c>
      <c r="P269" s="67">
        <v>60.849998936057098</v>
      </c>
      <c r="Q269" s="77">
        <v>4.67089293378199E-2</v>
      </c>
    </row>
    <row r="270" spans="1:17" x14ac:dyDescent="0.35">
      <c r="A270" s="76" t="s">
        <v>136</v>
      </c>
      <c r="B270" s="63">
        <v>736499</v>
      </c>
      <c r="C270" s="63" t="s">
        <v>140</v>
      </c>
      <c r="D270" s="64">
        <v>42566</v>
      </c>
      <c r="E270" s="63" t="s">
        <v>138</v>
      </c>
      <c r="F270" s="65">
        <v>39138</v>
      </c>
      <c r="G270" s="66">
        <v>9.5453189585375207E-3</v>
      </c>
      <c r="H270" s="65">
        <v>593</v>
      </c>
      <c r="I270" s="67">
        <v>0.33486606686242998</v>
      </c>
      <c r="J270" s="67">
        <v>3.1964034165928501</v>
      </c>
      <c r="K270" s="65">
        <v>66</v>
      </c>
      <c r="L270" s="65">
        <v>38</v>
      </c>
      <c r="M270" s="66">
        <v>6.6964285714285698E-2</v>
      </c>
      <c r="N270" s="67">
        <v>1161.8117311767701</v>
      </c>
      <c r="O270" s="67">
        <v>77.4541154117844</v>
      </c>
      <c r="P270" s="67">
        <v>75.009998977184296</v>
      </c>
      <c r="Q270" s="77">
        <v>6.4562955394854502E-2</v>
      </c>
    </row>
    <row r="271" spans="1:17" x14ac:dyDescent="0.35">
      <c r="A271" s="76" t="s">
        <v>136</v>
      </c>
      <c r="B271" s="63">
        <v>736499</v>
      </c>
      <c r="C271" s="63" t="s">
        <v>140</v>
      </c>
      <c r="D271" s="64">
        <v>42567</v>
      </c>
      <c r="E271" s="63" t="s">
        <v>138</v>
      </c>
      <c r="F271" s="65">
        <v>55064</v>
      </c>
      <c r="G271" s="66">
        <v>8.5535359706735894E-3</v>
      </c>
      <c r="H271" s="65">
        <v>206</v>
      </c>
      <c r="I271" s="67">
        <v>0.325267849490047</v>
      </c>
      <c r="J271" s="67">
        <v>2.7821902507167602</v>
      </c>
      <c r="K271" s="65">
        <v>54</v>
      </c>
      <c r="L271" s="65">
        <v>26</v>
      </c>
      <c r="M271" s="66">
        <v>4.0178571428571397E-2</v>
      </c>
      <c r="N271" s="67">
        <v>684.155947150825</v>
      </c>
      <c r="O271" s="67">
        <v>76.017327461202697</v>
      </c>
      <c r="P271" s="67">
        <v>72.859998285770402</v>
      </c>
      <c r="Q271" s="77">
        <v>0.106496184954902</v>
      </c>
    </row>
    <row r="272" spans="1:17" x14ac:dyDescent="0.35">
      <c r="A272" s="76" t="s">
        <v>136</v>
      </c>
      <c r="B272" s="63">
        <v>736499</v>
      </c>
      <c r="C272" s="63" t="s">
        <v>140</v>
      </c>
      <c r="D272" s="64">
        <v>42568</v>
      </c>
      <c r="E272" s="63" t="s">
        <v>138</v>
      </c>
      <c r="F272" s="65">
        <v>38128</v>
      </c>
      <c r="G272" s="66">
        <v>8.53511457463587E-3</v>
      </c>
      <c r="H272" s="65">
        <v>374</v>
      </c>
      <c r="I272" s="67">
        <v>0.34179347737327898</v>
      </c>
      <c r="J272" s="67">
        <v>2.91724649024414</v>
      </c>
      <c r="K272" s="65">
        <v>49</v>
      </c>
      <c r="L272" s="65">
        <v>23</v>
      </c>
      <c r="M272" s="66">
        <v>4.3478260869565202E-2</v>
      </c>
      <c r="N272" s="67">
        <v>715.05749274046195</v>
      </c>
      <c r="O272" s="67">
        <v>89.382186592557701</v>
      </c>
      <c r="P272" s="67">
        <v>62.889999836683302</v>
      </c>
      <c r="Q272" s="77">
        <v>8.7950969642534599E-2</v>
      </c>
    </row>
    <row r="273" spans="1:17" x14ac:dyDescent="0.35">
      <c r="A273" s="76" t="s">
        <v>136</v>
      </c>
      <c r="B273" s="63">
        <v>736499</v>
      </c>
      <c r="C273" s="63" t="s">
        <v>140</v>
      </c>
      <c r="D273" s="64">
        <v>42569</v>
      </c>
      <c r="E273" s="63" t="s">
        <v>138</v>
      </c>
      <c r="F273" s="65">
        <v>17348</v>
      </c>
      <c r="G273" s="66">
        <v>7.8999638858793797E-3</v>
      </c>
      <c r="H273" s="65">
        <v>536</v>
      </c>
      <c r="I273" s="67">
        <v>0.33811428001948801</v>
      </c>
      <c r="J273" s="67">
        <v>2.6710906014540599</v>
      </c>
      <c r="K273" s="65">
        <v>23</v>
      </c>
      <c r="L273" s="65">
        <v>22</v>
      </c>
      <c r="M273" s="66">
        <v>3.4285714285714301E-2</v>
      </c>
      <c r="N273" s="67">
        <v>357.16138103259902</v>
      </c>
      <c r="O273" s="67">
        <v>59.526896838766497</v>
      </c>
      <c r="P273" s="67">
        <v>59.169999003410297</v>
      </c>
      <c r="Q273" s="77">
        <v>0.16566740455628901</v>
      </c>
    </row>
    <row r="274" spans="1:17" x14ac:dyDescent="0.35">
      <c r="A274" s="76" t="s">
        <v>136</v>
      </c>
      <c r="B274" s="63">
        <v>736499</v>
      </c>
      <c r="C274" s="63" t="s">
        <v>140</v>
      </c>
      <c r="D274" s="64">
        <v>42570</v>
      </c>
      <c r="E274" s="63" t="s">
        <v>138</v>
      </c>
      <c r="F274" s="65">
        <v>20622</v>
      </c>
      <c r="G274" s="66">
        <v>8.4670853686903899E-3</v>
      </c>
      <c r="H274" s="65">
        <v>328</v>
      </c>
      <c r="I274" s="67">
        <v>0.33164834607761001</v>
      </c>
      <c r="J274" s="67">
        <v>2.8080948586240999</v>
      </c>
      <c r="K274" s="65">
        <v>50</v>
      </c>
      <c r="L274" s="65">
        <v>18</v>
      </c>
      <c r="M274" s="66">
        <v>3.2967032967033003E-2</v>
      </c>
      <c r="N274" s="67">
        <v>762.07970530090904</v>
      </c>
      <c r="O274" s="67">
        <v>127.01328421681799</v>
      </c>
      <c r="P274" s="67">
        <v>60.359998986124999</v>
      </c>
      <c r="Q274" s="77">
        <v>7.9204312313095507E-2</v>
      </c>
    </row>
    <row r="275" spans="1:17" x14ac:dyDescent="0.35">
      <c r="A275" s="76" t="s">
        <v>136</v>
      </c>
      <c r="B275" s="63">
        <v>736499</v>
      </c>
      <c r="C275" s="63" t="s">
        <v>140</v>
      </c>
      <c r="D275" s="64">
        <v>42571</v>
      </c>
      <c r="E275" s="63" t="s">
        <v>138</v>
      </c>
      <c r="F275" s="65">
        <v>5299</v>
      </c>
      <c r="G275" s="66">
        <v>9.6482764669765797E-3</v>
      </c>
      <c r="H275" s="65">
        <v>154</v>
      </c>
      <c r="I275" s="67">
        <v>0.362090899050236</v>
      </c>
      <c r="J275" s="67">
        <v>3.4935531002127802</v>
      </c>
      <c r="K275" s="65">
        <v>74</v>
      </c>
      <c r="L275" s="65">
        <v>26</v>
      </c>
      <c r="M275" s="66">
        <v>3.6363636363636397E-2</v>
      </c>
      <c r="N275" s="67">
        <v>896.74993253370405</v>
      </c>
      <c r="O275" s="67">
        <v>112.09374156671301</v>
      </c>
      <c r="P275" s="67">
        <v>79.659997791051893</v>
      </c>
      <c r="Q275" s="77">
        <v>8.8831897166669602E-2</v>
      </c>
    </row>
    <row r="276" spans="1:17" x14ac:dyDescent="0.35">
      <c r="A276" s="76" t="s">
        <v>136</v>
      </c>
      <c r="B276" s="63">
        <v>736499</v>
      </c>
      <c r="C276" s="63" t="s">
        <v>140</v>
      </c>
      <c r="D276" s="64">
        <v>42572</v>
      </c>
      <c r="E276" s="63" t="s">
        <v>138</v>
      </c>
      <c r="F276" s="65">
        <v>64900</v>
      </c>
      <c r="G276" s="66">
        <v>8.8398318042813492E-3</v>
      </c>
      <c r="H276" s="65">
        <v>269</v>
      </c>
      <c r="I276" s="67">
        <v>0.34935134399581602</v>
      </c>
      <c r="J276" s="67">
        <v>3.0882071215226499</v>
      </c>
      <c r="K276" s="65">
        <v>48</v>
      </c>
      <c r="L276" s="65">
        <v>23</v>
      </c>
      <c r="M276" s="66">
        <v>4.86486486486487E-2</v>
      </c>
      <c r="N276" s="67">
        <v>822.37012178795396</v>
      </c>
      <c r="O276" s="67">
        <v>91.374457976439402</v>
      </c>
      <c r="P276" s="67">
        <v>64.629998639226002</v>
      </c>
      <c r="Q276" s="77">
        <v>7.8589915813953401E-2</v>
      </c>
    </row>
    <row r="277" spans="1:17" x14ac:dyDescent="0.35">
      <c r="A277" s="76" t="s">
        <v>136</v>
      </c>
      <c r="B277" s="63">
        <v>736499</v>
      </c>
      <c r="C277" s="63" t="s">
        <v>140</v>
      </c>
      <c r="D277" s="64">
        <v>42573</v>
      </c>
      <c r="E277" s="63" t="s">
        <v>138</v>
      </c>
      <c r="F277" s="65">
        <v>9423</v>
      </c>
      <c r="G277" s="66">
        <v>7.1988687491965596E-3</v>
      </c>
      <c r="H277" s="65">
        <v>190</v>
      </c>
      <c r="I277" s="67">
        <v>0.34410713595293801</v>
      </c>
      <c r="J277" s="67">
        <v>2.4771821073871401</v>
      </c>
      <c r="K277" s="65">
        <v>79</v>
      </c>
      <c r="L277" s="65">
        <v>19</v>
      </c>
      <c r="M277" s="66">
        <v>3.5714285714285698E-2</v>
      </c>
      <c r="N277" s="67">
        <v>623.86549439299597</v>
      </c>
      <c r="O277" s="67">
        <v>103.97758239883299</v>
      </c>
      <c r="P277" s="67">
        <v>57.809998840093598</v>
      </c>
      <c r="Q277" s="77">
        <v>9.2664203036811901E-2</v>
      </c>
    </row>
    <row r="278" spans="1:17" x14ac:dyDescent="0.35">
      <c r="A278" s="76" t="s">
        <v>136</v>
      </c>
      <c r="B278" s="63">
        <v>736499</v>
      </c>
      <c r="C278" s="63" t="s">
        <v>140</v>
      </c>
      <c r="D278" s="64">
        <v>42574</v>
      </c>
      <c r="E278" s="63" t="s">
        <v>138</v>
      </c>
      <c r="F278" s="65">
        <v>51344</v>
      </c>
      <c r="G278" s="66">
        <v>7.9760717846460594E-3</v>
      </c>
      <c r="H278" s="65">
        <v>287</v>
      </c>
      <c r="I278" s="67">
        <v>0.373579540374604</v>
      </c>
      <c r="J278" s="67">
        <v>2.9796972313029202</v>
      </c>
      <c r="K278" s="65">
        <v>36</v>
      </c>
      <c r="L278" s="65">
        <v>21</v>
      </c>
      <c r="M278" s="66">
        <v>3.4090909090909102E-2</v>
      </c>
      <c r="N278" s="67">
        <v>726.596935482258</v>
      </c>
      <c r="O278" s="67">
        <v>121.099489247043</v>
      </c>
      <c r="P278" s="67">
        <v>65.7499991059303</v>
      </c>
      <c r="Q278" s="77">
        <v>9.0490333629456701E-2</v>
      </c>
    </row>
    <row r="279" spans="1:17" x14ac:dyDescent="0.35">
      <c r="A279" s="76" t="s">
        <v>136</v>
      </c>
      <c r="B279" s="63">
        <v>736499</v>
      </c>
      <c r="C279" s="63" t="s">
        <v>140</v>
      </c>
      <c r="D279" s="64">
        <v>42575</v>
      </c>
      <c r="E279" s="63" t="s">
        <v>138</v>
      </c>
      <c r="F279" s="65">
        <v>26446</v>
      </c>
      <c r="G279" s="66">
        <v>7.36621298599932E-3</v>
      </c>
      <c r="H279" s="65">
        <v>295</v>
      </c>
      <c r="I279" s="67">
        <v>0.25966887856950799</v>
      </c>
      <c r="J279" s="67">
        <v>1.91277626537859</v>
      </c>
      <c r="K279" s="65">
        <v>81</v>
      </c>
      <c r="L279" s="65">
        <v>21</v>
      </c>
      <c r="M279" s="66">
        <v>4.6357615894039701E-2</v>
      </c>
      <c r="N279" s="67">
        <v>492.13415029312898</v>
      </c>
      <c r="O279" s="67">
        <v>70.304878613304197</v>
      </c>
      <c r="P279" s="67">
        <v>39.2100006639957</v>
      </c>
      <c r="Q279" s="77">
        <v>7.9673399297002997E-2</v>
      </c>
    </row>
    <row r="280" spans="1:17" x14ac:dyDescent="0.35">
      <c r="A280" s="76" t="s">
        <v>136</v>
      </c>
      <c r="B280" s="63">
        <v>736499</v>
      </c>
      <c r="C280" s="63" t="s">
        <v>140</v>
      </c>
      <c r="D280" s="64">
        <v>42576</v>
      </c>
      <c r="E280" s="63" t="s">
        <v>138</v>
      </c>
      <c r="F280" s="65">
        <v>6248</v>
      </c>
      <c r="G280" s="66">
        <v>8.0148681612266202E-3</v>
      </c>
      <c r="H280" s="65">
        <v>205</v>
      </c>
      <c r="I280" s="67">
        <v>0.278623192422632</v>
      </c>
      <c r="J280" s="67">
        <v>2.2331281539274701</v>
      </c>
      <c r="K280" s="65">
        <v>61</v>
      </c>
      <c r="L280" s="65">
        <v>23</v>
      </c>
      <c r="M280" s="66">
        <v>5.7971014492753603E-2</v>
      </c>
      <c r="N280" s="67">
        <v>639.51074783387196</v>
      </c>
      <c r="O280" s="67">
        <v>79.938843479233995</v>
      </c>
      <c r="P280" s="67">
        <v>38.450000554323204</v>
      </c>
      <c r="Q280" s="77">
        <v>6.0124088116673101E-2</v>
      </c>
    </row>
    <row r="281" spans="1:17" x14ac:dyDescent="0.35">
      <c r="A281" s="76" t="s">
        <v>136</v>
      </c>
      <c r="B281" s="63">
        <v>736499</v>
      </c>
      <c r="C281" s="63" t="s">
        <v>140</v>
      </c>
      <c r="D281" s="64">
        <v>42577</v>
      </c>
      <c r="E281" s="63" t="s">
        <v>138</v>
      </c>
      <c r="F281" s="65">
        <v>2827</v>
      </c>
      <c r="G281" s="66">
        <v>8.3783783783783795E-3</v>
      </c>
      <c r="H281" s="65">
        <v>314</v>
      </c>
      <c r="I281" s="67">
        <v>0.24620968169502699</v>
      </c>
      <c r="J281" s="67">
        <v>2.0628378736610302</v>
      </c>
      <c r="K281" s="65">
        <v>60</v>
      </c>
      <c r="L281" s="65">
        <v>27</v>
      </c>
      <c r="M281" s="66">
        <v>0.104838709677419</v>
      </c>
      <c r="N281" s="67">
        <v>1210.8652337603701</v>
      </c>
      <c r="O281" s="67">
        <v>93.143479520028805</v>
      </c>
      <c r="P281" s="67">
        <v>30.530000530183301</v>
      </c>
      <c r="Q281" s="77">
        <v>2.5213376087586201E-2</v>
      </c>
    </row>
    <row r="282" spans="1:17" x14ac:dyDescent="0.35">
      <c r="A282" s="76" t="s">
        <v>136</v>
      </c>
      <c r="B282" s="63">
        <v>736499</v>
      </c>
      <c r="C282" s="63" t="s">
        <v>140</v>
      </c>
      <c r="D282" s="64">
        <v>42578</v>
      </c>
      <c r="E282" s="63" t="s">
        <v>138</v>
      </c>
      <c r="F282" s="65">
        <v>64823</v>
      </c>
      <c r="G282" s="66">
        <v>1.07441933954811E-2</v>
      </c>
      <c r="H282" s="65">
        <v>441</v>
      </c>
      <c r="I282" s="67">
        <v>0.25735294128603797</v>
      </c>
      <c r="J282" s="67">
        <v>2.7650497720730902</v>
      </c>
      <c r="K282" s="65">
        <v>83</v>
      </c>
      <c r="L282" s="65">
        <v>25</v>
      </c>
      <c r="M282" s="66">
        <v>9.5588235294117599E-2</v>
      </c>
      <c r="N282" s="67">
        <v>1744.1005840329501</v>
      </c>
      <c r="O282" s="67">
        <v>134.16158338714999</v>
      </c>
      <c r="P282" s="67">
        <v>35.000000014901197</v>
      </c>
      <c r="Q282" s="77">
        <v>2.0067649959711199E-2</v>
      </c>
    </row>
    <row r="283" spans="1:17" x14ac:dyDescent="0.35">
      <c r="A283" s="76" t="s">
        <v>136</v>
      </c>
      <c r="B283" s="63">
        <v>736499</v>
      </c>
      <c r="C283" s="63" t="s">
        <v>140</v>
      </c>
      <c r="D283" s="64">
        <v>42579</v>
      </c>
      <c r="E283" s="63" t="s">
        <v>138</v>
      </c>
      <c r="F283" s="65">
        <v>59089</v>
      </c>
      <c r="G283" s="66">
        <v>8.3131557707828898E-3</v>
      </c>
      <c r="H283" s="65">
        <v>498</v>
      </c>
      <c r="I283" s="67">
        <v>0.25378641283627901</v>
      </c>
      <c r="J283" s="67">
        <v>2.1097659824161998</v>
      </c>
      <c r="K283" s="65">
        <v>24</v>
      </c>
      <c r="L283" s="65">
        <v>15</v>
      </c>
      <c r="M283" s="66">
        <v>2.9126213592233E-2</v>
      </c>
      <c r="N283" s="67">
        <v>198.28853101035401</v>
      </c>
      <c r="O283" s="67">
        <v>66.096177003451402</v>
      </c>
      <c r="P283" s="67">
        <v>26.140000522136699</v>
      </c>
      <c r="Q283" s="77">
        <v>0.13182810114606</v>
      </c>
    </row>
    <row r="284" spans="1:17" x14ac:dyDescent="0.35">
      <c r="A284" s="76" t="s">
        <v>136</v>
      </c>
      <c r="B284" s="63">
        <v>736499</v>
      </c>
      <c r="C284" s="63" t="s">
        <v>140</v>
      </c>
      <c r="D284" s="64">
        <v>42580</v>
      </c>
      <c r="E284" s="63" t="s">
        <v>138</v>
      </c>
      <c r="F284" s="65">
        <v>64644</v>
      </c>
      <c r="G284" s="66">
        <v>8.8651127244937008E-3</v>
      </c>
      <c r="H284" s="65">
        <v>151</v>
      </c>
      <c r="I284" s="67">
        <v>0.29439655588618602</v>
      </c>
      <c r="J284" s="67">
        <v>2.6098586536337498</v>
      </c>
      <c r="K284" s="65">
        <v>50</v>
      </c>
      <c r="L284" s="65">
        <v>12</v>
      </c>
      <c r="M284" s="66">
        <v>3.4482758620689703E-2</v>
      </c>
      <c r="N284" s="67">
        <v>449.04484807780398</v>
      </c>
      <c r="O284" s="67">
        <v>112.26121201945099</v>
      </c>
      <c r="P284" s="67">
        <v>34.150000482797601</v>
      </c>
      <c r="Q284" s="77">
        <v>7.6050311297370998E-2</v>
      </c>
    </row>
    <row r="285" spans="1:17" x14ac:dyDescent="0.35">
      <c r="A285" s="76" t="s">
        <v>136</v>
      </c>
      <c r="B285" s="63">
        <v>736499</v>
      </c>
      <c r="C285" s="63" t="s">
        <v>140</v>
      </c>
      <c r="D285" s="64">
        <v>42581</v>
      </c>
      <c r="E285" s="63" t="s">
        <v>138</v>
      </c>
      <c r="F285" s="65">
        <v>45482</v>
      </c>
      <c r="G285" s="66">
        <v>9.8348585252971497E-3</v>
      </c>
      <c r="H285" s="65">
        <v>203</v>
      </c>
      <c r="I285" s="67">
        <v>0.310213904568856</v>
      </c>
      <c r="J285" s="67">
        <v>3.0509098640147299</v>
      </c>
      <c r="K285" s="65">
        <v>75</v>
      </c>
      <c r="L285" s="65">
        <v>24</v>
      </c>
      <c r="M285" s="66">
        <v>5.3475935828876997E-2</v>
      </c>
      <c r="N285" s="67">
        <v>912.35196026783797</v>
      </c>
      <c r="O285" s="67">
        <v>91.235196026783797</v>
      </c>
      <c r="P285" s="67">
        <v>58.010000154376002</v>
      </c>
      <c r="Q285" s="77">
        <v>6.3582918304188302E-2</v>
      </c>
    </row>
    <row r="286" spans="1:17" x14ac:dyDescent="0.35">
      <c r="A286" s="76" t="s">
        <v>136</v>
      </c>
      <c r="B286" s="63">
        <v>736499</v>
      </c>
      <c r="C286" s="63" t="s">
        <v>140</v>
      </c>
      <c r="D286" s="64">
        <v>42582</v>
      </c>
      <c r="E286" s="63" t="s">
        <v>138</v>
      </c>
      <c r="F286" s="65">
        <v>34812</v>
      </c>
      <c r="G286" s="66">
        <v>9.4146761351409508E-3</v>
      </c>
      <c r="H286" s="65">
        <v>199</v>
      </c>
      <c r="I286" s="67">
        <v>0.307371428396021</v>
      </c>
      <c r="J286" s="67">
        <v>2.8938024515441998</v>
      </c>
      <c r="K286" s="65">
        <v>52</v>
      </c>
      <c r="L286" s="65">
        <v>10</v>
      </c>
      <c r="M286" s="66">
        <v>0.04</v>
      </c>
      <c r="N286" s="67">
        <v>427.13286625462098</v>
      </c>
      <c r="O286" s="67">
        <v>61.018980893517202</v>
      </c>
      <c r="P286" s="67">
        <v>53.789999969303601</v>
      </c>
      <c r="Q286" s="77">
        <v>0.125932711385498</v>
      </c>
    </row>
    <row r="287" spans="1:17" x14ac:dyDescent="0.35">
      <c r="A287" s="76" t="s">
        <v>136</v>
      </c>
      <c r="B287" s="63">
        <v>736499</v>
      </c>
      <c r="C287" s="63" t="s">
        <v>140</v>
      </c>
      <c r="D287" s="64">
        <v>42583</v>
      </c>
      <c r="E287" s="63" t="s">
        <v>138</v>
      </c>
      <c r="F287" s="65">
        <v>21604</v>
      </c>
      <c r="G287" s="66">
        <v>9.6056051531246498E-3</v>
      </c>
      <c r="H287" s="65">
        <v>438</v>
      </c>
      <c r="I287" s="67">
        <v>0.31864706172662599</v>
      </c>
      <c r="J287" s="67">
        <v>3.0607978581493098</v>
      </c>
      <c r="K287" s="65">
        <v>77</v>
      </c>
      <c r="L287" s="65">
        <v>18</v>
      </c>
      <c r="M287" s="66">
        <v>4.7058823529411799E-2</v>
      </c>
      <c r="N287" s="67">
        <v>377.73754128424702</v>
      </c>
      <c r="O287" s="67">
        <v>47.217192660530898</v>
      </c>
      <c r="P287" s="67">
        <v>54.170000493526501</v>
      </c>
      <c r="Q287" s="77">
        <v>0.14340645176372199</v>
      </c>
    </row>
    <row r="288" spans="1:17" x14ac:dyDescent="0.35">
      <c r="A288" s="76" t="s">
        <v>136</v>
      </c>
      <c r="B288" s="63">
        <v>736499</v>
      </c>
      <c r="C288" s="63" t="s">
        <v>140</v>
      </c>
      <c r="D288" s="64">
        <v>42584</v>
      </c>
      <c r="E288" s="63" t="s">
        <v>138</v>
      </c>
      <c r="F288" s="65">
        <v>44705</v>
      </c>
      <c r="G288" s="66">
        <v>9.1116173120728908E-3</v>
      </c>
      <c r="H288" s="65">
        <v>391</v>
      </c>
      <c r="I288" s="67">
        <v>0.32648148301436902</v>
      </c>
      <c r="J288" s="67">
        <v>2.9747743327049601</v>
      </c>
      <c r="K288" s="65">
        <v>88</v>
      </c>
      <c r="L288" s="65">
        <v>13</v>
      </c>
      <c r="M288" s="66">
        <v>3.2407407407407399E-2</v>
      </c>
      <c r="N288" s="67">
        <v>577.12537828324696</v>
      </c>
      <c r="O288" s="67">
        <v>82.446482611892506</v>
      </c>
      <c r="P288" s="67">
        <v>70.520000331103802</v>
      </c>
      <c r="Q288" s="77">
        <v>0.122191819983514</v>
      </c>
    </row>
    <row r="289" spans="1:17" x14ac:dyDescent="0.35">
      <c r="A289" s="76" t="s">
        <v>136</v>
      </c>
      <c r="B289" s="63">
        <v>736499</v>
      </c>
      <c r="C289" s="63" t="s">
        <v>140</v>
      </c>
      <c r="D289" s="64">
        <v>42585</v>
      </c>
      <c r="E289" s="63" t="s">
        <v>138</v>
      </c>
      <c r="F289" s="65">
        <v>22423</v>
      </c>
      <c r="G289" s="66">
        <v>9.7002534300445701E-3</v>
      </c>
      <c r="H289" s="65">
        <v>473</v>
      </c>
      <c r="I289" s="67">
        <v>0.30900900945201598</v>
      </c>
      <c r="J289" s="67">
        <v>2.9974657038516002</v>
      </c>
      <c r="K289" s="65">
        <v>79</v>
      </c>
      <c r="L289" s="65">
        <v>19</v>
      </c>
      <c r="M289" s="66">
        <v>3.1531531531531501E-2</v>
      </c>
      <c r="N289" s="67">
        <v>743.74892337915503</v>
      </c>
      <c r="O289" s="67">
        <v>106.24984619702199</v>
      </c>
      <c r="P289" s="67">
        <v>68.600000098347707</v>
      </c>
      <c r="Q289" s="77">
        <v>9.2235427765958805E-2</v>
      </c>
    </row>
    <row r="290" spans="1:17" x14ac:dyDescent="0.35">
      <c r="A290" s="76" t="s">
        <v>136</v>
      </c>
      <c r="B290" s="63">
        <v>736499</v>
      </c>
      <c r="C290" s="63" t="s">
        <v>140</v>
      </c>
      <c r="D290" s="64">
        <v>42586</v>
      </c>
      <c r="E290" s="63" t="s">
        <v>138</v>
      </c>
      <c r="F290" s="65">
        <v>43829</v>
      </c>
      <c r="G290" s="66">
        <v>9.9606433117924303E-3</v>
      </c>
      <c r="H290" s="65">
        <v>487</v>
      </c>
      <c r="I290" s="67">
        <v>0.29551219678506602</v>
      </c>
      <c r="J290" s="67">
        <v>2.9434915864602602</v>
      </c>
      <c r="K290" s="65">
        <v>94</v>
      </c>
      <c r="L290" s="65">
        <v>11</v>
      </c>
      <c r="M290" s="66">
        <v>1.9512195121951199E-2</v>
      </c>
      <c r="N290" s="67">
        <v>191.11053761500199</v>
      </c>
      <c r="O290" s="67">
        <v>47.777634403750397</v>
      </c>
      <c r="P290" s="67">
        <v>60.580000340938597</v>
      </c>
      <c r="Q290" s="77">
        <v>0.31698932511497102</v>
      </c>
    </row>
    <row r="291" spans="1:17" x14ac:dyDescent="0.35">
      <c r="A291" s="76" t="s">
        <v>136</v>
      </c>
      <c r="B291" s="63">
        <v>736499</v>
      </c>
      <c r="C291" s="63" t="s">
        <v>140</v>
      </c>
      <c r="D291" s="64">
        <v>42587</v>
      </c>
      <c r="E291" s="63" t="s">
        <v>138</v>
      </c>
      <c r="F291" s="65">
        <v>52675</v>
      </c>
      <c r="G291" s="66">
        <v>1.1471937875044099E-2</v>
      </c>
      <c r="H291" s="65">
        <v>201</v>
      </c>
      <c r="I291" s="67">
        <v>0.28457692365806803</v>
      </c>
      <c r="J291" s="67">
        <v>3.2646487888765301</v>
      </c>
      <c r="K291" s="65">
        <v>55</v>
      </c>
      <c r="L291" s="65">
        <v>25</v>
      </c>
      <c r="M291" s="66">
        <v>2.69230769230769E-2</v>
      </c>
      <c r="N291" s="67">
        <v>563.97655952139201</v>
      </c>
      <c r="O291" s="67">
        <v>80.568079931627395</v>
      </c>
      <c r="P291" s="67">
        <v>73.990000151097803</v>
      </c>
      <c r="Q291" s="77">
        <v>0.13119339607640401</v>
      </c>
    </row>
    <row r="292" spans="1:17" x14ac:dyDescent="0.35">
      <c r="A292" s="76" t="s">
        <v>136</v>
      </c>
      <c r="B292" s="63">
        <v>736499</v>
      </c>
      <c r="C292" s="63" t="s">
        <v>140</v>
      </c>
      <c r="D292" s="64">
        <v>42588</v>
      </c>
      <c r="E292" s="63" t="s">
        <v>138</v>
      </c>
      <c r="F292" s="65">
        <v>25640</v>
      </c>
      <c r="G292" s="66">
        <v>9.7749488520118208E-3</v>
      </c>
      <c r="H292" s="65">
        <v>154</v>
      </c>
      <c r="I292" s="67">
        <v>0.30694351934416297</v>
      </c>
      <c r="J292" s="67">
        <v>3.0003572020456999</v>
      </c>
      <c r="K292" s="65">
        <v>12</v>
      </c>
      <c r="L292" s="65">
        <v>32</v>
      </c>
      <c r="M292" s="66">
        <v>2.6578073089701001E-2</v>
      </c>
      <c r="N292" s="67">
        <v>438.26521254958999</v>
      </c>
      <c r="O292" s="67">
        <v>54.783151568698798</v>
      </c>
      <c r="P292" s="67">
        <v>92.389999322593198</v>
      </c>
      <c r="Q292" s="77">
        <v>0.210808425302839</v>
      </c>
    </row>
    <row r="293" spans="1:17" x14ac:dyDescent="0.35">
      <c r="A293" s="76" t="s">
        <v>136</v>
      </c>
      <c r="B293" s="63">
        <v>736499</v>
      </c>
      <c r="C293" s="63" t="s">
        <v>140</v>
      </c>
      <c r="D293" s="64">
        <v>42589</v>
      </c>
      <c r="E293" s="63" t="s">
        <v>138</v>
      </c>
      <c r="F293" s="65">
        <v>21472</v>
      </c>
      <c r="G293" s="66">
        <v>9.0466501961924094E-3</v>
      </c>
      <c r="H293" s="65">
        <v>460</v>
      </c>
      <c r="I293" s="67">
        <v>0.27787149060203398</v>
      </c>
      <c r="J293" s="67">
        <v>2.5138061749711702</v>
      </c>
      <c r="K293" s="65">
        <v>46</v>
      </c>
      <c r="L293" s="65">
        <v>20</v>
      </c>
      <c r="M293" s="66">
        <v>4.4176706827309203E-2</v>
      </c>
      <c r="N293" s="67">
        <v>1372.73669386757</v>
      </c>
      <c r="O293" s="67">
        <v>124.794244897052</v>
      </c>
      <c r="P293" s="67">
        <v>69.190001159906402</v>
      </c>
      <c r="Q293" s="77">
        <v>5.0402966183536201E-2</v>
      </c>
    </row>
    <row r="294" spans="1:17" x14ac:dyDescent="0.35">
      <c r="A294" s="76" t="s">
        <v>136</v>
      </c>
      <c r="B294" s="63">
        <v>736499</v>
      </c>
      <c r="C294" s="63" t="s">
        <v>140</v>
      </c>
      <c r="D294" s="64">
        <v>42590</v>
      </c>
      <c r="E294" s="63" t="s">
        <v>138</v>
      </c>
      <c r="F294" s="65">
        <v>18140</v>
      </c>
      <c r="G294" s="66">
        <v>8.1830084375909204E-3</v>
      </c>
      <c r="H294" s="65">
        <v>556</v>
      </c>
      <c r="I294" s="67">
        <v>0.28417778044939002</v>
      </c>
      <c r="J294" s="67">
        <v>2.3254291751932201</v>
      </c>
      <c r="K294" s="65">
        <v>84</v>
      </c>
      <c r="L294" s="65">
        <v>24</v>
      </c>
      <c r="M294" s="66">
        <v>0.04</v>
      </c>
      <c r="N294" s="67">
        <v>620.882912820157</v>
      </c>
      <c r="O294" s="67">
        <v>68.986990313350802</v>
      </c>
      <c r="P294" s="67">
        <v>63.9400006011128</v>
      </c>
      <c r="Q294" s="77">
        <v>0.1029823808658</v>
      </c>
    </row>
    <row r="295" spans="1:17" x14ac:dyDescent="0.35">
      <c r="A295" s="76" t="s">
        <v>136</v>
      </c>
      <c r="B295" s="63">
        <v>736499</v>
      </c>
      <c r="C295" s="63" t="s">
        <v>140</v>
      </c>
      <c r="D295" s="64">
        <v>42591</v>
      </c>
      <c r="E295" s="63" t="s">
        <v>138</v>
      </c>
      <c r="F295" s="65">
        <v>30929</v>
      </c>
      <c r="G295" s="66">
        <v>7.8752748350989395E-3</v>
      </c>
      <c r="H295" s="65">
        <v>185</v>
      </c>
      <c r="I295" s="67">
        <v>0.28157361127852198</v>
      </c>
      <c r="J295" s="67">
        <v>2.21746957512967</v>
      </c>
      <c r="K295" s="65">
        <v>68</v>
      </c>
      <c r="L295" s="65">
        <v>17</v>
      </c>
      <c r="M295" s="66">
        <v>2.5380710659898501E-2</v>
      </c>
      <c r="N295" s="67">
        <v>284.96293286492801</v>
      </c>
      <c r="O295" s="67">
        <v>56.992586572985502</v>
      </c>
      <c r="P295" s="67">
        <v>55.470001421868801</v>
      </c>
      <c r="Q295" s="77">
        <v>0.19465690103688499</v>
      </c>
    </row>
    <row r="296" spans="1:17" x14ac:dyDescent="0.35">
      <c r="A296" s="76" t="s">
        <v>136</v>
      </c>
      <c r="B296" s="63">
        <v>736499</v>
      </c>
      <c r="C296" s="63" t="s">
        <v>140</v>
      </c>
      <c r="D296" s="64">
        <v>42592</v>
      </c>
      <c r="E296" s="63" t="s">
        <v>138</v>
      </c>
      <c r="F296" s="65">
        <v>24682</v>
      </c>
      <c r="G296" s="66">
        <v>7.7937955274820399E-3</v>
      </c>
      <c r="H296" s="65">
        <v>556</v>
      </c>
      <c r="I296" s="67">
        <v>0.27843137820756497</v>
      </c>
      <c r="J296" s="67">
        <v>2.1700372301847799</v>
      </c>
      <c r="K296" s="65">
        <v>15</v>
      </c>
      <c r="L296" s="65">
        <v>16</v>
      </c>
      <c r="M296" s="66">
        <v>3.9215686274509803E-2</v>
      </c>
      <c r="N296" s="67">
        <v>1015.0888340702199</v>
      </c>
      <c r="O296" s="67">
        <v>169.18147234503601</v>
      </c>
      <c r="P296" s="67">
        <v>42.600000865757501</v>
      </c>
      <c r="Q296" s="77">
        <v>4.1966771218380501E-2</v>
      </c>
    </row>
    <row r="297" spans="1:17" x14ac:dyDescent="0.35">
      <c r="A297" s="76" t="s">
        <v>136</v>
      </c>
      <c r="B297" s="63">
        <v>736499</v>
      </c>
      <c r="C297" s="63" t="s">
        <v>140</v>
      </c>
      <c r="D297" s="64">
        <v>42593</v>
      </c>
      <c r="E297" s="63" t="s">
        <v>138</v>
      </c>
      <c r="F297" s="65">
        <v>18189</v>
      </c>
      <c r="G297" s="66">
        <v>8.9109584382014804E-3</v>
      </c>
      <c r="H297" s="65">
        <v>273</v>
      </c>
      <c r="I297" s="67">
        <v>0.29496183297561301</v>
      </c>
      <c r="J297" s="67">
        <v>2.6283926345014201</v>
      </c>
      <c r="K297" s="65">
        <v>61</v>
      </c>
      <c r="L297" s="65">
        <v>16</v>
      </c>
      <c r="M297" s="66">
        <v>9.9236641221374003E-2</v>
      </c>
      <c r="N297" s="67">
        <v>1569.3222824757099</v>
      </c>
      <c r="O297" s="67">
        <v>120.71709865197801</v>
      </c>
      <c r="P297" s="67">
        <v>38.6400001198053</v>
      </c>
      <c r="Q297" s="77">
        <v>2.4622093594980399E-2</v>
      </c>
    </row>
    <row r="298" spans="1:17" x14ac:dyDescent="0.35">
      <c r="A298" s="76" t="s">
        <v>136</v>
      </c>
      <c r="B298" s="63">
        <v>736499</v>
      </c>
      <c r="C298" s="63" t="s">
        <v>140</v>
      </c>
      <c r="D298" s="64">
        <v>42594</v>
      </c>
      <c r="E298" s="63" t="s">
        <v>138</v>
      </c>
      <c r="F298" s="65">
        <v>8752</v>
      </c>
      <c r="G298" s="66">
        <v>6.7661451096477998E-3</v>
      </c>
      <c r="H298" s="65">
        <v>504</v>
      </c>
      <c r="I298" s="67">
        <v>0.28616071811744098</v>
      </c>
      <c r="J298" s="67">
        <v>1.9362049434636299</v>
      </c>
      <c r="K298" s="65">
        <v>65</v>
      </c>
      <c r="L298" s="65">
        <v>21</v>
      </c>
      <c r="M298" s="66">
        <v>0.107142857142857</v>
      </c>
      <c r="N298" s="67">
        <v>624.54200855800502</v>
      </c>
      <c r="O298" s="67">
        <v>52.0451673798337</v>
      </c>
      <c r="P298" s="67">
        <v>32.0500004291534</v>
      </c>
      <c r="Q298" s="77">
        <v>5.1317605525292298E-2</v>
      </c>
    </row>
    <row r="299" spans="1:17" x14ac:dyDescent="0.35">
      <c r="A299" s="76" t="s">
        <v>136</v>
      </c>
      <c r="B299" s="63">
        <v>736499</v>
      </c>
      <c r="C299" s="63" t="s">
        <v>140</v>
      </c>
      <c r="D299" s="64">
        <v>42595</v>
      </c>
      <c r="E299" s="63" t="s">
        <v>138</v>
      </c>
      <c r="F299" s="65">
        <v>22203</v>
      </c>
      <c r="G299" s="66">
        <v>7.8431372549019607E-3</v>
      </c>
      <c r="H299" s="65">
        <v>534</v>
      </c>
      <c r="I299" s="67">
        <v>0.29618420844015297</v>
      </c>
      <c r="J299" s="67">
        <v>2.3230133995306099</v>
      </c>
      <c r="K299" s="65">
        <v>78</v>
      </c>
      <c r="L299" s="65">
        <v>15</v>
      </c>
      <c r="M299" s="66">
        <v>4.6052631578947401E-2</v>
      </c>
      <c r="N299" s="67">
        <v>653.00052752678198</v>
      </c>
      <c r="O299" s="67">
        <v>93.285789646683099</v>
      </c>
      <c r="P299" s="67">
        <v>45.019999682903297</v>
      </c>
      <c r="Q299" s="77">
        <v>6.8943282256470895E-2</v>
      </c>
    </row>
    <row r="300" spans="1:17" x14ac:dyDescent="0.35">
      <c r="A300" s="76" t="s">
        <v>136</v>
      </c>
      <c r="B300" s="63">
        <v>736499</v>
      </c>
      <c r="C300" s="63" t="s">
        <v>140</v>
      </c>
      <c r="D300" s="64">
        <v>42596</v>
      </c>
      <c r="E300" s="63" t="s">
        <v>138</v>
      </c>
      <c r="F300" s="65">
        <v>62723</v>
      </c>
      <c r="G300" s="66">
        <v>8.6731245776075702E-3</v>
      </c>
      <c r="H300" s="65">
        <v>388</v>
      </c>
      <c r="I300" s="67">
        <v>0.31577922331241798</v>
      </c>
      <c r="J300" s="67">
        <v>2.7387925428087598</v>
      </c>
      <c r="K300" s="65">
        <v>54</v>
      </c>
      <c r="L300" s="65">
        <v>16</v>
      </c>
      <c r="M300" s="66">
        <v>7.7922077922077906E-2</v>
      </c>
      <c r="N300" s="67">
        <v>841.99861979398202</v>
      </c>
      <c r="O300" s="67">
        <v>70.166551649498501</v>
      </c>
      <c r="P300" s="67">
        <v>48.6300003901124</v>
      </c>
      <c r="Q300" s="77">
        <v>5.7755439554058902E-2</v>
      </c>
    </row>
    <row r="301" spans="1:17" x14ac:dyDescent="0.35">
      <c r="A301" s="76" t="s">
        <v>136</v>
      </c>
      <c r="B301" s="63">
        <v>736499</v>
      </c>
      <c r="C301" s="63" t="s">
        <v>140</v>
      </c>
      <c r="D301" s="64">
        <v>42597</v>
      </c>
      <c r="E301" s="63" t="s">
        <v>138</v>
      </c>
      <c r="F301" s="65">
        <v>55351</v>
      </c>
      <c r="G301" s="66">
        <v>8.2243196997295407E-3</v>
      </c>
      <c r="H301" s="65">
        <v>318</v>
      </c>
      <c r="I301" s="67">
        <v>0.29429530242345497</v>
      </c>
      <c r="J301" s="67">
        <v>2.4203786532590801</v>
      </c>
      <c r="K301" s="65">
        <v>19</v>
      </c>
      <c r="L301" s="65">
        <v>14</v>
      </c>
      <c r="M301" s="66">
        <v>3.35570469798658E-2</v>
      </c>
      <c r="N301" s="67">
        <v>488.618734602806</v>
      </c>
      <c r="O301" s="67">
        <v>97.723746920561098</v>
      </c>
      <c r="P301" s="67">
        <v>43.850000061094804</v>
      </c>
      <c r="Q301" s="77">
        <v>8.9742772750496497E-2</v>
      </c>
    </row>
    <row r="302" spans="1:17" x14ac:dyDescent="0.35">
      <c r="A302" s="76" t="s">
        <v>136</v>
      </c>
      <c r="B302" s="63">
        <v>736499</v>
      </c>
      <c r="C302" s="63" t="s">
        <v>140</v>
      </c>
      <c r="D302" s="64">
        <v>42598</v>
      </c>
      <c r="E302" s="63" t="s">
        <v>138</v>
      </c>
      <c r="F302" s="65">
        <v>41991</v>
      </c>
      <c r="G302" s="66">
        <v>7.9326336343666093E-3</v>
      </c>
      <c r="H302" s="65">
        <v>571</v>
      </c>
      <c r="I302" s="67">
        <v>0.32546153865181499</v>
      </c>
      <c r="J302" s="67">
        <v>2.5817671482020899</v>
      </c>
      <c r="K302" s="65">
        <v>10</v>
      </c>
      <c r="L302" s="65">
        <v>20</v>
      </c>
      <c r="M302" s="66">
        <v>9.2307692307692299E-2</v>
      </c>
      <c r="N302" s="67">
        <v>809.88101331010603</v>
      </c>
      <c r="O302" s="67">
        <v>67.490084442508802</v>
      </c>
      <c r="P302" s="67">
        <v>42.310000024735899</v>
      </c>
      <c r="Q302" s="77">
        <v>5.2242242168153298E-2</v>
      </c>
    </row>
    <row r="303" spans="1:17" x14ac:dyDescent="0.35">
      <c r="A303" s="76" t="s">
        <v>136</v>
      </c>
      <c r="B303" s="63">
        <v>736499</v>
      </c>
      <c r="C303" s="63" t="s">
        <v>140</v>
      </c>
      <c r="D303" s="64">
        <v>42599</v>
      </c>
      <c r="E303" s="63" t="s">
        <v>138</v>
      </c>
      <c r="F303" s="65">
        <v>67385</v>
      </c>
      <c r="G303" s="66">
        <v>7.4911122397155897E-3</v>
      </c>
      <c r="H303" s="65">
        <v>240</v>
      </c>
      <c r="I303" s="67">
        <v>0.309999995186167</v>
      </c>
      <c r="J303" s="67">
        <v>2.3222447582508701</v>
      </c>
      <c r="K303" s="65">
        <v>16</v>
      </c>
      <c r="L303" s="65">
        <v>11</v>
      </c>
      <c r="M303" s="66">
        <v>3.3898305084745797E-2</v>
      </c>
      <c r="N303" s="67">
        <v>406.57872556715</v>
      </c>
      <c r="O303" s="67">
        <v>101.644681391788</v>
      </c>
      <c r="P303" s="67">
        <v>36.5799994319677</v>
      </c>
      <c r="Q303" s="77">
        <v>8.9970274221655502E-2</v>
      </c>
    </row>
    <row r="304" spans="1:17" x14ac:dyDescent="0.35">
      <c r="A304" s="76" t="s">
        <v>136</v>
      </c>
      <c r="B304" s="63">
        <v>736499</v>
      </c>
      <c r="C304" s="63" t="s">
        <v>140</v>
      </c>
      <c r="D304" s="64">
        <v>42600</v>
      </c>
      <c r="E304" s="63" t="s">
        <v>138</v>
      </c>
      <c r="F304" s="65">
        <v>20904</v>
      </c>
      <c r="G304" s="66">
        <v>9.8817567567567599E-3</v>
      </c>
      <c r="H304" s="65">
        <v>223</v>
      </c>
      <c r="I304" s="67">
        <v>0.32290597998688397</v>
      </c>
      <c r="J304" s="67">
        <v>3.1908783495325501</v>
      </c>
      <c r="K304" s="65">
        <v>8</v>
      </c>
      <c r="L304" s="65">
        <v>6</v>
      </c>
      <c r="M304" s="66">
        <v>3.4188034188034198E-2</v>
      </c>
      <c r="N304" s="67">
        <v>642.26591580899606</v>
      </c>
      <c r="O304" s="67">
        <v>160.56647895224901</v>
      </c>
      <c r="P304" s="67">
        <v>37.7799996584654</v>
      </c>
      <c r="Q304" s="77">
        <v>5.8822987065844601E-2</v>
      </c>
    </row>
    <row r="305" spans="1:17" x14ac:dyDescent="0.35">
      <c r="A305" s="76" t="s">
        <v>136</v>
      </c>
      <c r="B305" s="63">
        <v>736499</v>
      </c>
      <c r="C305" s="63" t="s">
        <v>140</v>
      </c>
      <c r="D305" s="64">
        <v>42601</v>
      </c>
      <c r="E305" s="63" t="s">
        <v>138</v>
      </c>
      <c r="F305" s="65">
        <v>36498</v>
      </c>
      <c r="G305" s="66">
        <v>1.0519627223947999E-2</v>
      </c>
      <c r="H305" s="65">
        <v>267</v>
      </c>
      <c r="I305" s="67">
        <v>0.327114092423612</v>
      </c>
      <c r="J305" s="67">
        <v>3.4411183119964801</v>
      </c>
      <c r="K305" s="65">
        <v>80</v>
      </c>
      <c r="L305" s="65">
        <v>16</v>
      </c>
      <c r="M305" s="66">
        <v>3.35570469798658E-2</v>
      </c>
      <c r="N305" s="67">
        <v>314.36454100657301</v>
      </c>
      <c r="O305" s="67">
        <v>62.872908201314701</v>
      </c>
      <c r="P305" s="67">
        <v>48.7399997711182</v>
      </c>
      <c r="Q305" s="77">
        <v>0.15504293078047601</v>
      </c>
    </row>
    <row r="306" spans="1:17" x14ac:dyDescent="0.35">
      <c r="A306" s="76" t="s">
        <v>136</v>
      </c>
      <c r="B306" s="63">
        <v>736499</v>
      </c>
      <c r="C306" s="63" t="s">
        <v>140</v>
      </c>
      <c r="D306" s="64">
        <v>42602</v>
      </c>
      <c r="E306" s="63" t="s">
        <v>138</v>
      </c>
      <c r="F306" s="65">
        <v>3675</v>
      </c>
      <c r="G306" s="66">
        <v>8.3437630371297495E-3</v>
      </c>
      <c r="H306" s="65">
        <v>549</v>
      </c>
      <c r="I306" s="67">
        <v>0.33228571383016398</v>
      </c>
      <c r="J306" s="67">
        <v>2.7725132568223998</v>
      </c>
      <c r="K306" s="65">
        <v>59</v>
      </c>
      <c r="L306" s="65">
        <v>15</v>
      </c>
      <c r="M306" s="66">
        <v>2.8571428571428598E-2</v>
      </c>
      <c r="N306" s="67">
        <v>495.12847042593597</v>
      </c>
      <c r="O306" s="67">
        <v>123.78211760648399</v>
      </c>
      <c r="P306" s="67">
        <v>46.519999936223002</v>
      </c>
      <c r="Q306" s="77">
        <v>9.39554130187749E-2</v>
      </c>
    </row>
    <row r="307" spans="1:17" x14ac:dyDescent="0.35">
      <c r="A307" s="76" t="s">
        <v>136</v>
      </c>
      <c r="B307" s="63">
        <v>736499</v>
      </c>
      <c r="C307" s="63" t="s">
        <v>140</v>
      </c>
      <c r="D307" s="64">
        <v>42603</v>
      </c>
      <c r="E307" s="63" t="s">
        <v>138</v>
      </c>
      <c r="F307" s="65">
        <v>66379</v>
      </c>
      <c r="G307" s="66">
        <v>7.7305009113192097E-3</v>
      </c>
      <c r="H307" s="65">
        <v>489</v>
      </c>
      <c r="I307" s="67">
        <v>0.31796748275921599</v>
      </c>
      <c r="J307" s="67">
        <v>2.4580479152399999</v>
      </c>
      <c r="K307" s="65">
        <v>87</v>
      </c>
      <c r="L307" s="65">
        <v>15</v>
      </c>
      <c r="M307" s="66">
        <v>4.8780487804878099E-2</v>
      </c>
      <c r="N307" s="67">
        <v>664.76979118356405</v>
      </c>
      <c r="O307" s="67">
        <v>110.79496519726101</v>
      </c>
      <c r="P307" s="67">
        <v>39.1100003793836</v>
      </c>
      <c r="Q307" s="77">
        <v>5.8832397166772098E-2</v>
      </c>
    </row>
    <row r="308" spans="1:17" x14ac:dyDescent="0.35">
      <c r="A308" s="76" t="s">
        <v>136</v>
      </c>
      <c r="B308" s="63">
        <v>736499</v>
      </c>
      <c r="C308" s="63" t="s">
        <v>140</v>
      </c>
      <c r="D308" s="64">
        <v>42604</v>
      </c>
      <c r="E308" s="63" t="s">
        <v>138</v>
      </c>
      <c r="F308" s="65">
        <v>7988</v>
      </c>
      <c r="G308" s="66">
        <v>9.5218523085354202E-3</v>
      </c>
      <c r="H308" s="65">
        <v>195</v>
      </c>
      <c r="I308" s="67">
        <v>0.35705035024409698</v>
      </c>
      <c r="J308" s="67">
        <v>3.3997807017351298</v>
      </c>
      <c r="K308" s="65">
        <v>64</v>
      </c>
      <c r="L308" s="65">
        <v>19</v>
      </c>
      <c r="M308" s="66">
        <v>5.7553956834532398E-2</v>
      </c>
      <c r="N308" s="67">
        <v>762.80391263558897</v>
      </c>
      <c r="O308" s="67">
        <v>95.350489079448593</v>
      </c>
      <c r="P308" s="67">
        <v>49.629998683929401</v>
      </c>
      <c r="Q308" s="77">
        <v>6.5062590610542606E-2</v>
      </c>
    </row>
    <row r="309" spans="1:17" x14ac:dyDescent="0.35">
      <c r="A309" s="76" t="s">
        <v>136</v>
      </c>
      <c r="B309" s="63">
        <v>736499</v>
      </c>
      <c r="C309" s="63" t="s">
        <v>140</v>
      </c>
      <c r="D309" s="64">
        <v>42605</v>
      </c>
      <c r="E309" s="63" t="s">
        <v>138</v>
      </c>
      <c r="F309" s="65">
        <v>60391</v>
      </c>
      <c r="G309" s="66">
        <v>7.9053843759726104E-3</v>
      </c>
      <c r="H309" s="65">
        <v>557</v>
      </c>
      <c r="I309" s="67">
        <v>0.33307085403307202</v>
      </c>
      <c r="J309" s="67">
        <v>2.6330531255649001</v>
      </c>
      <c r="K309" s="65">
        <v>85</v>
      </c>
      <c r="L309" s="65">
        <v>17</v>
      </c>
      <c r="M309" s="66">
        <v>5.5118110236220499E-2</v>
      </c>
      <c r="N309" s="67">
        <v>710.682876357993</v>
      </c>
      <c r="O309" s="67">
        <v>101.52612519399899</v>
      </c>
      <c r="P309" s="67">
        <v>42.2999984622002</v>
      </c>
      <c r="Q309" s="77">
        <v>5.9520216216511698E-2</v>
      </c>
    </row>
    <row r="310" spans="1:17" x14ac:dyDescent="0.35">
      <c r="A310" s="76" t="s">
        <v>136</v>
      </c>
      <c r="B310" s="63">
        <v>736499</v>
      </c>
      <c r="C310" s="63" t="s">
        <v>140</v>
      </c>
      <c r="D310" s="64">
        <v>42606</v>
      </c>
      <c r="E310" s="63" t="s">
        <v>138</v>
      </c>
      <c r="F310" s="65">
        <v>2219</v>
      </c>
      <c r="G310" s="66">
        <v>9.54829232464194E-3</v>
      </c>
      <c r="H310" s="65">
        <v>415</v>
      </c>
      <c r="I310" s="67">
        <v>0.35523075438462798</v>
      </c>
      <c r="J310" s="67">
        <v>3.3918470855675098</v>
      </c>
      <c r="K310" s="65">
        <v>58</v>
      </c>
      <c r="L310" s="65">
        <v>20</v>
      </c>
      <c r="M310" s="66">
        <v>3.8461538461538498E-2</v>
      </c>
      <c r="N310" s="67">
        <v>453.74203106517899</v>
      </c>
      <c r="O310" s="67">
        <v>90.748406213035807</v>
      </c>
      <c r="P310" s="67">
        <v>46.179998070001602</v>
      </c>
      <c r="Q310" s="77">
        <v>0.101775887857671</v>
      </c>
    </row>
    <row r="311" spans="1:17" x14ac:dyDescent="0.35">
      <c r="A311" s="76" t="s">
        <v>136</v>
      </c>
      <c r="B311" s="63">
        <v>736499</v>
      </c>
      <c r="C311" s="63" t="s">
        <v>140</v>
      </c>
      <c r="D311" s="64">
        <v>42607</v>
      </c>
      <c r="E311" s="63" t="s">
        <v>138</v>
      </c>
      <c r="F311" s="65">
        <v>46484</v>
      </c>
      <c r="G311" s="66">
        <v>8.29875518672199E-3</v>
      </c>
      <c r="H311" s="65">
        <v>532</v>
      </c>
      <c r="I311" s="67">
        <v>0.35614582073564299</v>
      </c>
      <c r="J311" s="67">
        <v>2.9555669770592798</v>
      </c>
      <c r="K311" s="65">
        <v>45</v>
      </c>
      <c r="L311" s="65">
        <v>6</v>
      </c>
      <c r="M311" s="66">
        <v>3.125E-2</v>
      </c>
      <c r="N311" s="67">
        <v>228.14278521194899</v>
      </c>
      <c r="O311" s="67">
        <v>76.047595070649606</v>
      </c>
      <c r="P311" s="67">
        <v>34.1899987906218</v>
      </c>
      <c r="Q311" s="77">
        <v>0.149862283652137</v>
      </c>
    </row>
    <row r="312" spans="1:17" x14ac:dyDescent="0.35">
      <c r="A312" s="76" t="s">
        <v>136</v>
      </c>
      <c r="B312" s="63">
        <v>736499</v>
      </c>
      <c r="C312" s="63" t="s">
        <v>140</v>
      </c>
      <c r="D312" s="64">
        <v>42608</v>
      </c>
      <c r="E312" s="63" t="s">
        <v>138</v>
      </c>
      <c r="F312" s="65">
        <v>52986</v>
      </c>
      <c r="G312" s="66">
        <v>9.2305178892337896E-3</v>
      </c>
      <c r="H312" s="65">
        <v>450</v>
      </c>
      <c r="I312" s="67">
        <v>0.355486714338834</v>
      </c>
      <c r="J312" s="67">
        <v>3.28132647608955</v>
      </c>
      <c r="K312" s="65">
        <v>38</v>
      </c>
      <c r="L312" s="65">
        <v>19</v>
      </c>
      <c r="M312" s="66">
        <v>5.3097345132743397E-2</v>
      </c>
      <c r="N312" s="67">
        <v>625.23712185173702</v>
      </c>
      <c r="O312" s="67">
        <v>104.20618697529</v>
      </c>
      <c r="P312" s="67">
        <v>40.169998720288298</v>
      </c>
      <c r="Q312" s="77">
        <v>6.4247622728027698E-2</v>
      </c>
    </row>
    <row r="313" spans="1:17" x14ac:dyDescent="0.35">
      <c r="A313" s="76" t="s">
        <v>136</v>
      </c>
      <c r="B313" s="63">
        <v>736499</v>
      </c>
      <c r="C313" s="63" t="s">
        <v>140</v>
      </c>
      <c r="D313" s="64">
        <v>42609</v>
      </c>
      <c r="E313" s="63" t="s">
        <v>138</v>
      </c>
      <c r="F313" s="65">
        <v>31179</v>
      </c>
      <c r="G313" s="66">
        <v>1.05038052707717E-2</v>
      </c>
      <c r="H313" s="65">
        <v>234</v>
      </c>
      <c r="I313" s="67">
        <v>0.35275448546438198</v>
      </c>
      <c r="J313" s="67">
        <v>3.7052644237091501</v>
      </c>
      <c r="K313" s="65">
        <v>81</v>
      </c>
      <c r="L313" s="65">
        <v>15</v>
      </c>
      <c r="M313" s="66">
        <v>2.39520958083832E-2</v>
      </c>
      <c r="N313" s="67">
        <v>336.60975997459099</v>
      </c>
      <c r="O313" s="67">
        <v>84.152439993647704</v>
      </c>
      <c r="P313" s="67">
        <v>58.909999072551699</v>
      </c>
      <c r="Q313" s="77">
        <v>0.17500977712885901</v>
      </c>
    </row>
    <row r="314" spans="1:17" x14ac:dyDescent="0.35">
      <c r="A314" s="76" t="s">
        <v>136</v>
      </c>
      <c r="B314" s="63">
        <v>736499</v>
      </c>
      <c r="C314" s="63" t="s">
        <v>140</v>
      </c>
      <c r="D314" s="64">
        <v>42610</v>
      </c>
      <c r="E314" s="63" t="s">
        <v>138</v>
      </c>
      <c r="F314" s="65">
        <v>13140</v>
      </c>
      <c r="G314" s="66">
        <v>7.1628961976959397E-3</v>
      </c>
      <c r="H314" s="65">
        <v>169</v>
      </c>
      <c r="I314" s="67">
        <v>0.38283332747717702</v>
      </c>
      <c r="J314" s="67">
        <v>2.7421953857375501</v>
      </c>
      <c r="K314" s="65">
        <v>38</v>
      </c>
      <c r="L314" s="65">
        <v>8</v>
      </c>
      <c r="M314" s="66">
        <v>4.1666666666666699E-2</v>
      </c>
      <c r="N314" s="67">
        <v>385.92860706511601</v>
      </c>
      <c r="O314" s="67">
        <v>77.185721413023103</v>
      </c>
      <c r="P314" s="67">
        <v>45.939999297261203</v>
      </c>
      <c r="Q314" s="77">
        <v>0.11903755890661399</v>
      </c>
    </row>
    <row r="315" spans="1:17" x14ac:dyDescent="0.35">
      <c r="A315" s="76" t="s">
        <v>136</v>
      </c>
      <c r="B315" s="63">
        <v>736499</v>
      </c>
      <c r="C315" s="63" t="s">
        <v>140</v>
      </c>
      <c r="D315" s="64">
        <v>42611</v>
      </c>
      <c r="E315" s="63" t="s">
        <v>138</v>
      </c>
      <c r="F315" s="65">
        <v>68650</v>
      </c>
      <c r="G315" s="66">
        <v>9.4127975029262602E-3</v>
      </c>
      <c r="H315" s="65">
        <v>336</v>
      </c>
      <c r="I315" s="67">
        <v>0.37196890531117399</v>
      </c>
      <c r="J315" s="67">
        <v>3.5012679830792401</v>
      </c>
      <c r="K315" s="65">
        <v>32</v>
      </c>
      <c r="L315" s="65">
        <v>11</v>
      </c>
      <c r="M315" s="66">
        <v>1.55440414507772E-2</v>
      </c>
      <c r="N315" s="67">
        <v>225.51301553919899</v>
      </c>
      <c r="O315" s="67">
        <v>75.1710051797331</v>
      </c>
      <c r="P315" s="67">
        <v>71.789998725056606</v>
      </c>
      <c r="Q315" s="77">
        <v>0.31834082194062102</v>
      </c>
    </row>
    <row r="316" spans="1:17" x14ac:dyDescent="0.35">
      <c r="A316" s="76" t="s">
        <v>136</v>
      </c>
      <c r="B316" s="63">
        <v>736499</v>
      </c>
      <c r="C316" s="63" t="s">
        <v>140</v>
      </c>
      <c r="D316" s="64">
        <v>42612</v>
      </c>
      <c r="E316" s="63" t="s">
        <v>138</v>
      </c>
      <c r="F316" s="65">
        <v>66100</v>
      </c>
      <c r="G316" s="66">
        <v>9.5971371251965497E-3</v>
      </c>
      <c r="H316" s="65">
        <v>384</v>
      </c>
      <c r="I316" s="67">
        <v>0.37864406028036302</v>
      </c>
      <c r="J316" s="67">
        <v>3.6338989681518399</v>
      </c>
      <c r="K316" s="65">
        <v>53</v>
      </c>
      <c r="L316" s="65">
        <v>13</v>
      </c>
      <c r="M316" s="66">
        <v>3.9548022598870101E-2</v>
      </c>
      <c r="N316" s="67">
        <v>652.61252976055903</v>
      </c>
      <c r="O316" s="67">
        <v>93.230361394365602</v>
      </c>
      <c r="P316" s="67">
        <v>67.0199986696243</v>
      </c>
      <c r="Q316" s="77">
        <v>0.102694930932775</v>
      </c>
    </row>
    <row r="317" spans="1:17" x14ac:dyDescent="0.35">
      <c r="A317" s="76" t="s">
        <v>136</v>
      </c>
      <c r="B317" s="63">
        <v>736499</v>
      </c>
      <c r="C317" s="63" t="s">
        <v>140</v>
      </c>
      <c r="D317" s="64">
        <v>42613</v>
      </c>
      <c r="E317" s="63" t="s">
        <v>138</v>
      </c>
      <c r="F317" s="65">
        <v>36821</v>
      </c>
      <c r="G317" s="66">
        <v>1.0800172802764799E-2</v>
      </c>
      <c r="H317" s="65">
        <v>188</v>
      </c>
      <c r="I317" s="67">
        <v>0.37315554347303198</v>
      </c>
      <c r="J317" s="67">
        <v>4.0301443518183699</v>
      </c>
      <c r="K317" s="65">
        <v>39</v>
      </c>
      <c r="L317" s="65">
        <v>11</v>
      </c>
      <c r="M317" s="66">
        <v>8.8888888888888906E-3</v>
      </c>
      <c r="N317" s="67">
        <v>128.25487152957399</v>
      </c>
      <c r="O317" s="67">
        <v>64.127435764786995</v>
      </c>
      <c r="P317" s="67">
        <v>83.959997281432194</v>
      </c>
      <c r="Q317" s="77">
        <v>0.65463398216474</v>
      </c>
    </row>
    <row r="318" spans="1:17" x14ac:dyDescent="0.35">
      <c r="A318" s="76" t="s">
        <v>136</v>
      </c>
      <c r="B318" s="63">
        <v>736499</v>
      </c>
      <c r="C318" s="63" t="s">
        <v>140</v>
      </c>
      <c r="D318" s="64">
        <v>42614</v>
      </c>
      <c r="E318" s="63" t="s">
        <v>138</v>
      </c>
      <c r="F318" s="65">
        <v>14721</v>
      </c>
      <c r="G318" s="66">
        <v>9.3347744915004398E-3</v>
      </c>
      <c r="H318" s="65">
        <v>387</v>
      </c>
      <c r="I318" s="67">
        <v>0.35631578258777902</v>
      </c>
      <c r="J318" s="67">
        <v>3.3261274782194201</v>
      </c>
      <c r="K318" s="65">
        <v>69</v>
      </c>
      <c r="L318" s="65">
        <v>21</v>
      </c>
      <c r="M318" s="66">
        <v>7.3684210526315796E-2</v>
      </c>
      <c r="N318" s="67">
        <v>912.822989499046</v>
      </c>
      <c r="O318" s="67">
        <v>65.201642107074704</v>
      </c>
      <c r="P318" s="67">
        <v>67.699998691678005</v>
      </c>
      <c r="Q318" s="77">
        <v>7.4165527676764098E-2</v>
      </c>
    </row>
    <row r="319" spans="1:17" x14ac:dyDescent="0.35">
      <c r="A319" s="76" t="s">
        <v>136</v>
      </c>
      <c r="B319" s="63">
        <v>736499</v>
      </c>
      <c r="C319" s="63" t="s">
        <v>140</v>
      </c>
      <c r="D319" s="64">
        <v>42615</v>
      </c>
      <c r="E319" s="63" t="s">
        <v>138</v>
      </c>
      <c r="F319" s="65">
        <v>29167</v>
      </c>
      <c r="G319" s="66">
        <v>8.8095318459513305E-3</v>
      </c>
      <c r="H319" s="65">
        <v>317</v>
      </c>
      <c r="I319" s="67">
        <v>0.36578542844774198</v>
      </c>
      <c r="J319" s="67">
        <v>3.22239838069533</v>
      </c>
      <c r="K319" s="65">
        <v>16</v>
      </c>
      <c r="L319" s="65">
        <v>31</v>
      </c>
      <c r="M319" s="66">
        <v>3.4482758620689703E-2</v>
      </c>
      <c r="N319" s="67">
        <v>620.64556630160905</v>
      </c>
      <c r="O319" s="67">
        <v>68.960618477956601</v>
      </c>
      <c r="P319" s="67">
        <v>95.469996824860601</v>
      </c>
      <c r="Q319" s="77">
        <v>0.15382369907797899</v>
      </c>
    </row>
    <row r="320" spans="1:17" x14ac:dyDescent="0.35">
      <c r="A320" s="76" t="s">
        <v>136</v>
      </c>
      <c r="B320" s="63">
        <v>736499</v>
      </c>
      <c r="C320" s="63" t="s">
        <v>140</v>
      </c>
      <c r="D320" s="64">
        <v>42616</v>
      </c>
      <c r="E320" s="63" t="s">
        <v>138</v>
      </c>
      <c r="F320" s="65">
        <v>59784</v>
      </c>
      <c r="G320" s="66">
        <v>9.5171773444753908E-3</v>
      </c>
      <c r="H320" s="65">
        <v>299</v>
      </c>
      <c r="I320" s="67">
        <v>0.27887804493671497</v>
      </c>
      <c r="J320" s="67">
        <v>2.6541318111433001</v>
      </c>
      <c r="K320" s="65">
        <v>89</v>
      </c>
      <c r="L320" s="65">
        <v>18</v>
      </c>
      <c r="M320" s="66">
        <v>2.92682926829268E-2</v>
      </c>
      <c r="N320" s="67">
        <v>473.189871613337</v>
      </c>
      <c r="O320" s="67">
        <v>78.864978602222905</v>
      </c>
      <c r="P320" s="67">
        <v>57.169999212026603</v>
      </c>
      <c r="Q320" s="77">
        <v>0.120818307072182</v>
      </c>
    </row>
    <row r="321" spans="1:17" x14ac:dyDescent="0.35">
      <c r="A321" s="76" t="s">
        <v>136</v>
      </c>
      <c r="B321" s="63">
        <v>736499</v>
      </c>
      <c r="C321" s="63" t="s">
        <v>140</v>
      </c>
      <c r="D321" s="64">
        <v>42617</v>
      </c>
      <c r="E321" s="63" t="s">
        <v>138</v>
      </c>
      <c r="F321" s="65">
        <v>66884</v>
      </c>
      <c r="G321" s="66">
        <v>9.7328244274809197E-3</v>
      </c>
      <c r="H321" s="65">
        <v>305</v>
      </c>
      <c r="I321" s="67">
        <v>0.24261437853177401</v>
      </c>
      <c r="J321" s="67">
        <v>2.3613231498321499</v>
      </c>
      <c r="K321" s="65">
        <v>70</v>
      </c>
      <c r="L321" s="65">
        <v>16</v>
      </c>
      <c r="M321" s="66">
        <v>6.5359477124182996E-2</v>
      </c>
      <c r="N321" s="67">
        <v>812.37323322627503</v>
      </c>
      <c r="O321" s="67">
        <v>81.237323322627503</v>
      </c>
      <c r="P321" s="67">
        <v>37.119999915361397</v>
      </c>
      <c r="Q321" s="77">
        <v>4.5693282837424701E-2</v>
      </c>
    </row>
    <row r="322" spans="1:17" x14ac:dyDescent="0.35">
      <c r="A322" s="76" t="s">
        <v>136</v>
      </c>
      <c r="B322" s="63">
        <v>736499</v>
      </c>
      <c r="C322" s="63" t="s">
        <v>140</v>
      </c>
      <c r="D322" s="64">
        <v>42618</v>
      </c>
      <c r="E322" s="63" t="s">
        <v>138</v>
      </c>
      <c r="F322" s="65">
        <v>37081</v>
      </c>
      <c r="G322" s="66">
        <v>9.6106150793650799E-3</v>
      </c>
      <c r="H322" s="65">
        <v>153</v>
      </c>
      <c r="I322" s="67">
        <v>0.230838707281697</v>
      </c>
      <c r="J322" s="67">
        <v>2.21850196110262</v>
      </c>
      <c r="K322" s="65">
        <v>66</v>
      </c>
      <c r="L322" s="65">
        <v>20</v>
      </c>
      <c r="M322" s="66">
        <v>4.5161290322580601E-2</v>
      </c>
      <c r="N322" s="67">
        <v>874.32754682121504</v>
      </c>
      <c r="O322" s="67">
        <v>124.90393526017399</v>
      </c>
      <c r="P322" s="67">
        <v>35.779999628663099</v>
      </c>
      <c r="Q322" s="77">
        <v>4.0922878112153803E-2</v>
      </c>
    </row>
    <row r="323" spans="1:17" x14ac:dyDescent="0.35">
      <c r="A323" s="76" t="s">
        <v>136</v>
      </c>
      <c r="B323" s="63">
        <v>736499</v>
      </c>
      <c r="C323" s="63" t="s">
        <v>140</v>
      </c>
      <c r="D323" s="64">
        <v>42619</v>
      </c>
      <c r="E323" s="63" t="s">
        <v>138</v>
      </c>
      <c r="F323" s="65">
        <v>27723</v>
      </c>
      <c r="G323" s="66">
        <v>7.9742844779625392E-3</v>
      </c>
      <c r="H323" s="65">
        <v>456</v>
      </c>
      <c r="I323" s="67">
        <v>0.23139534994613301</v>
      </c>
      <c r="J323" s="67">
        <v>1.8452123473481601</v>
      </c>
      <c r="K323" s="65">
        <v>78</v>
      </c>
      <c r="L323" s="65">
        <v>17</v>
      </c>
      <c r="M323" s="66">
        <v>6.9767441860465101E-2</v>
      </c>
      <c r="N323" s="67">
        <v>839.31563024388799</v>
      </c>
      <c r="O323" s="67">
        <v>93.257292249320898</v>
      </c>
      <c r="P323" s="67">
        <v>29.850000143051101</v>
      </c>
      <c r="Q323" s="77">
        <v>3.5564689930029501E-2</v>
      </c>
    </row>
    <row r="324" spans="1:17" x14ac:dyDescent="0.35">
      <c r="A324" s="76" t="s">
        <v>136</v>
      </c>
      <c r="B324" s="63">
        <v>736499</v>
      </c>
      <c r="C324" s="63" t="s">
        <v>140</v>
      </c>
      <c r="D324" s="64">
        <v>42620</v>
      </c>
      <c r="E324" s="63" t="s">
        <v>138</v>
      </c>
      <c r="F324" s="65">
        <v>29225</v>
      </c>
      <c r="G324" s="66">
        <v>8.7761730357266299E-3</v>
      </c>
      <c r="H324" s="65">
        <v>480</v>
      </c>
      <c r="I324" s="67">
        <v>0.21566929474590299</v>
      </c>
      <c r="J324" s="67">
        <v>1.8927510491831701</v>
      </c>
      <c r="K324" s="65">
        <v>73</v>
      </c>
      <c r="L324" s="65">
        <v>12</v>
      </c>
      <c r="M324" s="66">
        <v>3.1496062992125998E-2</v>
      </c>
      <c r="N324" s="67">
        <v>404.092072284099</v>
      </c>
      <c r="O324" s="67">
        <v>101.02301807102501</v>
      </c>
      <c r="P324" s="67">
        <v>27.3900004327297</v>
      </c>
      <c r="Q324" s="77">
        <v>6.7781583236488405E-2</v>
      </c>
    </row>
    <row r="325" spans="1:17" x14ac:dyDescent="0.35">
      <c r="A325" s="76" t="s">
        <v>136</v>
      </c>
      <c r="B325" s="63">
        <v>736499</v>
      </c>
      <c r="C325" s="63" t="s">
        <v>140</v>
      </c>
      <c r="D325" s="64">
        <v>42621</v>
      </c>
      <c r="E325" s="63" t="s">
        <v>138</v>
      </c>
      <c r="F325" s="65">
        <v>24597</v>
      </c>
      <c r="G325" s="66">
        <v>8.2198605114579895E-3</v>
      </c>
      <c r="H325" s="65">
        <v>157</v>
      </c>
      <c r="I325" s="67">
        <v>0.25393939695575002</v>
      </c>
      <c r="J325" s="67">
        <v>2.0873464213400301</v>
      </c>
      <c r="K325" s="65">
        <v>73</v>
      </c>
      <c r="L325" s="65">
        <v>13</v>
      </c>
      <c r="M325" s="66">
        <v>7.0707070707070704E-2</v>
      </c>
      <c r="N325" s="67">
        <v>427.46274409675499</v>
      </c>
      <c r="O325" s="67">
        <v>61.0661062995365</v>
      </c>
      <c r="P325" s="67">
        <v>25.140000298619299</v>
      </c>
      <c r="Q325" s="77">
        <v>5.8812143621407298E-2</v>
      </c>
    </row>
    <row r="326" spans="1:17" x14ac:dyDescent="0.35">
      <c r="A326" s="76" t="s">
        <v>136</v>
      </c>
      <c r="B326" s="63">
        <v>736499</v>
      </c>
      <c r="C326" s="63" t="s">
        <v>140</v>
      </c>
      <c r="D326" s="64">
        <v>42622</v>
      </c>
      <c r="E326" s="63" t="s">
        <v>138</v>
      </c>
      <c r="F326" s="65">
        <v>16167</v>
      </c>
      <c r="G326" s="66">
        <v>9.5699650328200693E-3</v>
      </c>
      <c r="H326" s="65">
        <v>428</v>
      </c>
      <c r="I326" s="67">
        <v>0.25999999886904002</v>
      </c>
      <c r="J326" s="67">
        <v>2.4881908977099698</v>
      </c>
      <c r="K326" s="65">
        <v>71</v>
      </c>
      <c r="L326" s="65">
        <v>17</v>
      </c>
      <c r="M326" s="66">
        <v>6.4102564102564097E-2</v>
      </c>
      <c r="N326" s="67">
        <v>1374.85670006794</v>
      </c>
      <c r="O326" s="67">
        <v>137.48567000679401</v>
      </c>
      <c r="P326" s="67">
        <v>40.559999823570301</v>
      </c>
      <c r="Q326" s="77">
        <v>2.9501256255699999E-2</v>
      </c>
    </row>
    <row r="327" spans="1:17" x14ac:dyDescent="0.35">
      <c r="A327" s="76" t="s">
        <v>136</v>
      </c>
      <c r="B327" s="63">
        <v>736499</v>
      </c>
      <c r="C327" s="63" t="s">
        <v>140</v>
      </c>
      <c r="D327" s="64">
        <v>42623</v>
      </c>
      <c r="E327" s="63" t="s">
        <v>138</v>
      </c>
      <c r="F327" s="65">
        <v>35197</v>
      </c>
      <c r="G327" s="66">
        <v>9.3371115343522104E-3</v>
      </c>
      <c r="H327" s="65">
        <v>155</v>
      </c>
      <c r="I327" s="67">
        <v>0.234179103404135</v>
      </c>
      <c r="J327" s="67">
        <v>2.18655640749901</v>
      </c>
      <c r="K327" s="65">
        <v>75</v>
      </c>
      <c r="L327" s="65">
        <v>13</v>
      </c>
      <c r="M327" s="66">
        <v>9.9502487562189105E-3</v>
      </c>
      <c r="N327" s="67">
        <v>222.462291534179</v>
      </c>
      <c r="O327" s="67">
        <v>111.231145767089</v>
      </c>
      <c r="P327" s="67">
        <v>47.0699997842312</v>
      </c>
      <c r="Q327" s="77">
        <v>0.21158641970115399</v>
      </c>
    </row>
    <row r="328" spans="1:17" x14ac:dyDescent="0.35">
      <c r="A328" s="76" t="s">
        <v>136</v>
      </c>
      <c r="B328" s="63">
        <v>736499</v>
      </c>
      <c r="C328" s="63" t="s">
        <v>140</v>
      </c>
      <c r="D328" s="64">
        <v>42624</v>
      </c>
      <c r="E328" s="63" t="s">
        <v>138</v>
      </c>
      <c r="F328" s="65">
        <v>66688</v>
      </c>
      <c r="G328" s="66">
        <v>7.8528621616036406E-3</v>
      </c>
      <c r="H328" s="65">
        <v>354</v>
      </c>
      <c r="I328" s="67">
        <v>0.317587715622626</v>
      </c>
      <c r="J328" s="67">
        <v>2.49397255500305</v>
      </c>
      <c r="K328" s="65">
        <v>82</v>
      </c>
      <c r="L328" s="65">
        <v>21</v>
      </c>
      <c r="M328" s="66">
        <v>5.2631578947368397E-2</v>
      </c>
      <c r="N328" s="67">
        <v>996.075495703005</v>
      </c>
      <c r="O328" s="67">
        <v>83.006291308583698</v>
      </c>
      <c r="P328" s="67">
        <v>72.409999161958694</v>
      </c>
      <c r="Q328" s="77">
        <v>7.26952921483663E-2</v>
      </c>
    </row>
    <row r="329" spans="1:17" x14ac:dyDescent="0.35">
      <c r="A329" s="76" t="s">
        <v>136</v>
      </c>
      <c r="B329" s="63">
        <v>736499</v>
      </c>
      <c r="C329" s="63" t="s">
        <v>140</v>
      </c>
      <c r="D329" s="64">
        <v>42625</v>
      </c>
      <c r="E329" s="63" t="s">
        <v>138</v>
      </c>
      <c r="F329" s="65">
        <v>10606</v>
      </c>
      <c r="G329" s="66">
        <v>7.70372748064037E-3</v>
      </c>
      <c r="H329" s="65">
        <v>165</v>
      </c>
      <c r="I329" s="67">
        <v>0.30776041063169601</v>
      </c>
      <c r="J329" s="67">
        <v>2.3709023328365699</v>
      </c>
      <c r="K329" s="65">
        <v>93</v>
      </c>
      <c r="L329" s="65">
        <v>19</v>
      </c>
      <c r="M329" s="66">
        <v>5.2083333333333301E-2</v>
      </c>
      <c r="N329" s="67">
        <v>936.19367392755498</v>
      </c>
      <c r="O329" s="67">
        <v>93.619367392755507</v>
      </c>
      <c r="P329" s="67">
        <v>59.089998841285698</v>
      </c>
      <c r="Q329" s="77">
        <v>6.3117280629967396E-2</v>
      </c>
    </row>
    <row r="330" spans="1:17" x14ac:dyDescent="0.35">
      <c r="A330" s="76" t="s">
        <v>136</v>
      </c>
      <c r="B330" s="63">
        <v>736499</v>
      </c>
      <c r="C330" s="63" t="s">
        <v>140</v>
      </c>
      <c r="D330" s="64">
        <v>42626</v>
      </c>
      <c r="E330" s="63" t="s">
        <v>138</v>
      </c>
      <c r="F330" s="65">
        <v>48177</v>
      </c>
      <c r="G330" s="66">
        <v>9.7521847426858595E-3</v>
      </c>
      <c r="H330" s="65">
        <v>293</v>
      </c>
      <c r="I330" s="67">
        <v>0.32268397542305299</v>
      </c>
      <c r="J330" s="67">
        <v>3.14687374182992</v>
      </c>
      <c r="K330" s="65">
        <v>62</v>
      </c>
      <c r="L330" s="65">
        <v>16</v>
      </c>
      <c r="M330" s="66">
        <v>3.4632034632034597E-2</v>
      </c>
      <c r="N330" s="67">
        <v>639.12161465348902</v>
      </c>
      <c r="O330" s="67">
        <v>79.890201831686099</v>
      </c>
      <c r="P330" s="67">
        <v>74.539998322725296</v>
      </c>
      <c r="Q330" s="77">
        <v>0.116628817761293</v>
      </c>
    </row>
    <row r="331" spans="1:17" x14ac:dyDescent="0.35">
      <c r="A331" s="76" t="s">
        <v>136</v>
      </c>
      <c r="B331" s="63">
        <v>736499</v>
      </c>
      <c r="C331" s="63" t="s">
        <v>140</v>
      </c>
      <c r="D331" s="64">
        <v>42627</v>
      </c>
      <c r="E331" s="63" t="s">
        <v>138</v>
      </c>
      <c r="F331" s="65">
        <v>68646</v>
      </c>
      <c r="G331" s="66">
        <v>9.2536010475774803E-3</v>
      </c>
      <c r="H331" s="65">
        <v>254</v>
      </c>
      <c r="I331" s="67">
        <v>0.34014150205085902</v>
      </c>
      <c r="J331" s="67">
        <v>3.1475337597023998</v>
      </c>
      <c r="K331" s="65">
        <v>49</v>
      </c>
      <c r="L331" s="65">
        <v>36</v>
      </c>
      <c r="M331" s="66">
        <v>7.5471698113207503E-2</v>
      </c>
      <c r="N331" s="67">
        <v>1541.97902798873</v>
      </c>
      <c r="O331" s="67">
        <v>96.373689249295893</v>
      </c>
      <c r="P331" s="67">
        <v>72.109998434782</v>
      </c>
      <c r="Q331" s="77">
        <v>4.6764577939064501E-2</v>
      </c>
    </row>
    <row r="332" spans="1:17" x14ac:dyDescent="0.35">
      <c r="A332" s="76" t="s">
        <v>136</v>
      </c>
      <c r="B332" s="63">
        <v>736499</v>
      </c>
      <c r="C332" s="63" t="s">
        <v>140</v>
      </c>
      <c r="D332" s="64">
        <v>42628</v>
      </c>
      <c r="E332" s="63" t="s">
        <v>138</v>
      </c>
      <c r="F332" s="65">
        <v>11025</v>
      </c>
      <c r="G332" s="66">
        <v>8.16281506811538E-3</v>
      </c>
      <c r="H332" s="65">
        <v>409</v>
      </c>
      <c r="I332" s="67">
        <v>0.37297296977123701</v>
      </c>
      <c r="J332" s="67">
        <v>3.0445093776483998</v>
      </c>
      <c r="K332" s="65">
        <v>91</v>
      </c>
      <c r="L332" s="65">
        <v>16</v>
      </c>
      <c r="M332" s="66">
        <v>5.4054054054054099E-2</v>
      </c>
      <c r="N332" s="67">
        <v>637.40187383473904</v>
      </c>
      <c r="O332" s="67">
        <v>79.675234229342394</v>
      </c>
      <c r="P332" s="67">
        <v>55.199999526143102</v>
      </c>
      <c r="Q332" s="77">
        <v>8.6601564557770502E-2</v>
      </c>
    </row>
    <row r="333" spans="1:17" x14ac:dyDescent="0.35">
      <c r="A333" s="76" t="s">
        <v>136</v>
      </c>
      <c r="B333" s="63">
        <v>736499</v>
      </c>
      <c r="C333" s="63" t="s">
        <v>140</v>
      </c>
      <c r="D333" s="64">
        <v>42629</v>
      </c>
      <c r="E333" s="63" t="s">
        <v>138</v>
      </c>
      <c r="F333" s="65">
        <v>7561</v>
      </c>
      <c r="G333" s="66">
        <v>9.3713105076741396E-3</v>
      </c>
      <c r="H333" s="65">
        <v>303</v>
      </c>
      <c r="I333" s="67">
        <v>0.35047243605917799</v>
      </c>
      <c r="J333" s="67">
        <v>3.28438602269153</v>
      </c>
      <c r="K333" s="65">
        <v>23</v>
      </c>
      <c r="L333" s="65">
        <v>31</v>
      </c>
      <c r="M333" s="66">
        <v>3.9370078740157501E-2</v>
      </c>
      <c r="N333" s="67">
        <v>919.92239712806702</v>
      </c>
      <c r="O333" s="67">
        <v>91.992239712806807</v>
      </c>
      <c r="P333" s="67">
        <v>89.019998759031296</v>
      </c>
      <c r="Q333" s="77">
        <v>9.6769030775797404E-2</v>
      </c>
    </row>
    <row r="334" spans="1:17" x14ac:dyDescent="0.35">
      <c r="A334" s="76" t="s">
        <v>136</v>
      </c>
      <c r="B334" s="63">
        <v>736499</v>
      </c>
      <c r="C334" s="63" t="s">
        <v>140</v>
      </c>
      <c r="D334" s="64">
        <v>42630</v>
      </c>
      <c r="E334" s="63" t="s">
        <v>138</v>
      </c>
      <c r="F334" s="65">
        <v>51429</v>
      </c>
      <c r="G334" s="66">
        <v>8.6901161865350907E-3</v>
      </c>
      <c r="H334" s="65">
        <v>186</v>
      </c>
      <c r="I334" s="67">
        <v>0.41908424579616899</v>
      </c>
      <c r="J334" s="67">
        <v>3.6418907879151399</v>
      </c>
      <c r="K334" s="65">
        <v>61</v>
      </c>
      <c r="L334" s="65">
        <v>18</v>
      </c>
      <c r="M334" s="66">
        <v>4.7619047619047603E-2</v>
      </c>
      <c r="N334" s="67">
        <v>1144.8099634426401</v>
      </c>
      <c r="O334" s="67">
        <v>88.062304880202902</v>
      </c>
      <c r="P334" s="67">
        <v>114.40999910235401</v>
      </c>
      <c r="Q334" s="77">
        <v>9.9937983382240803E-2</v>
      </c>
    </row>
    <row r="335" spans="1:17" x14ac:dyDescent="0.35">
      <c r="A335" s="76" t="s">
        <v>136</v>
      </c>
      <c r="B335" s="63">
        <v>736499</v>
      </c>
      <c r="C335" s="63" t="s">
        <v>140</v>
      </c>
      <c r="D335" s="64">
        <v>42631</v>
      </c>
      <c r="E335" s="63" t="s">
        <v>138</v>
      </c>
      <c r="F335" s="65">
        <v>48470</v>
      </c>
      <c r="G335" s="66">
        <v>7.6540605695344299E-3</v>
      </c>
      <c r="H335" s="65">
        <v>421</v>
      </c>
      <c r="I335" s="67">
        <v>0.41952755542721298</v>
      </c>
      <c r="J335" s="67">
        <v>3.2110893198285999</v>
      </c>
      <c r="K335" s="65">
        <v>77</v>
      </c>
      <c r="L335" s="65">
        <v>13</v>
      </c>
      <c r="M335" s="66">
        <v>3.5433070866141697E-2</v>
      </c>
      <c r="N335" s="67">
        <v>1063.2771694615001</v>
      </c>
      <c r="O335" s="67">
        <v>118.14190771794399</v>
      </c>
      <c r="P335" s="67">
        <v>106.55999907851201</v>
      </c>
      <c r="Q335" s="77">
        <v>0.100218458685123</v>
      </c>
    </row>
    <row r="336" spans="1:17" x14ac:dyDescent="0.35">
      <c r="A336" s="76" t="s">
        <v>136</v>
      </c>
      <c r="B336" s="63">
        <v>736499</v>
      </c>
      <c r="C336" s="63" t="s">
        <v>140</v>
      </c>
      <c r="D336" s="64">
        <v>42632</v>
      </c>
      <c r="E336" s="63" t="s">
        <v>138</v>
      </c>
      <c r="F336" s="65">
        <v>49782</v>
      </c>
      <c r="G336" s="66">
        <v>7.41110240148222E-3</v>
      </c>
      <c r="H336" s="65">
        <v>212</v>
      </c>
      <c r="I336" s="67">
        <v>0.414086538187873</v>
      </c>
      <c r="J336" s="67">
        <v>3.0688377375856</v>
      </c>
      <c r="K336" s="65">
        <v>51</v>
      </c>
      <c r="L336" s="65">
        <v>18</v>
      </c>
      <c r="M336" s="66">
        <v>3.3653846153846201E-2</v>
      </c>
      <c r="N336" s="67">
        <v>600.00882450261497</v>
      </c>
      <c r="O336" s="67">
        <v>85.715546357516502</v>
      </c>
      <c r="P336" s="67">
        <v>86.129999943077607</v>
      </c>
      <c r="Q336" s="77">
        <v>0.14354788867393101</v>
      </c>
    </row>
    <row r="337" spans="1:17" x14ac:dyDescent="0.35">
      <c r="A337" s="76" t="s">
        <v>136</v>
      </c>
      <c r="B337" s="63">
        <v>736499</v>
      </c>
      <c r="C337" s="63" t="s">
        <v>140</v>
      </c>
      <c r="D337" s="64">
        <v>42633</v>
      </c>
      <c r="E337" s="63" t="s">
        <v>138</v>
      </c>
      <c r="F337" s="65">
        <v>58593</v>
      </c>
      <c r="G337" s="66">
        <v>8.2809224318658291E-3</v>
      </c>
      <c r="H337" s="65">
        <v>409</v>
      </c>
      <c r="I337" s="67">
        <v>0.413291139033022</v>
      </c>
      <c r="J337" s="67">
        <v>3.4224318641099298</v>
      </c>
      <c r="K337" s="65">
        <v>43</v>
      </c>
      <c r="L337" s="65">
        <v>23</v>
      </c>
      <c r="M337" s="66">
        <v>5.0632911392405097E-2</v>
      </c>
      <c r="N337" s="67">
        <v>1258.7434777255501</v>
      </c>
      <c r="O337" s="67">
        <v>104.895289810463</v>
      </c>
      <c r="P337" s="67">
        <v>97.949999950826196</v>
      </c>
      <c r="Q337" s="77">
        <v>7.7815696116109195E-2</v>
      </c>
    </row>
    <row r="338" spans="1:17" x14ac:dyDescent="0.35">
      <c r="A338" s="76" t="s">
        <v>136</v>
      </c>
      <c r="B338" s="63">
        <v>736499</v>
      </c>
      <c r="C338" s="63" t="s">
        <v>140</v>
      </c>
      <c r="D338" s="64">
        <v>42634</v>
      </c>
      <c r="E338" s="63" t="s">
        <v>138</v>
      </c>
      <c r="F338" s="65">
        <v>58741</v>
      </c>
      <c r="G338" s="66">
        <v>8.5718601314100102E-3</v>
      </c>
      <c r="H338" s="65">
        <v>172</v>
      </c>
      <c r="I338" s="67">
        <v>0.39766520048421899</v>
      </c>
      <c r="J338" s="67">
        <v>3.4087304776798502</v>
      </c>
      <c r="K338" s="65">
        <v>44</v>
      </c>
      <c r="L338" s="65">
        <v>24</v>
      </c>
      <c r="M338" s="66">
        <v>4.8458149779735699E-2</v>
      </c>
      <c r="N338" s="67">
        <v>1001.76381438232</v>
      </c>
      <c r="O338" s="67">
        <v>91.069437671119999</v>
      </c>
      <c r="P338" s="67">
        <v>90.270000509917693</v>
      </c>
      <c r="Q338" s="77">
        <v>9.0111061323948402E-2</v>
      </c>
    </row>
    <row r="339" spans="1:17" x14ac:dyDescent="0.35">
      <c r="A339" s="76" t="s">
        <v>136</v>
      </c>
      <c r="B339" s="63">
        <v>736499</v>
      </c>
      <c r="C339" s="63" t="s">
        <v>140</v>
      </c>
      <c r="D339" s="64">
        <v>42635</v>
      </c>
      <c r="E339" s="63" t="s">
        <v>138</v>
      </c>
      <c r="F339" s="65">
        <v>39057</v>
      </c>
      <c r="G339" s="66">
        <v>8.4866257886785697E-3</v>
      </c>
      <c r="H339" s="65">
        <v>579</v>
      </c>
      <c r="I339" s="67">
        <v>0.42319371765820801</v>
      </c>
      <c r="J339" s="67">
        <v>3.5914867178849001</v>
      </c>
      <c r="K339" s="65">
        <v>87</v>
      </c>
      <c r="L339" s="65">
        <v>15</v>
      </c>
      <c r="M339" s="66">
        <v>5.7591623036649199E-2</v>
      </c>
      <c r="N339" s="67">
        <v>2757.2096175266001</v>
      </c>
      <c r="O339" s="67">
        <v>250.65541977514599</v>
      </c>
      <c r="P339" s="67">
        <v>80.830000072717695</v>
      </c>
      <c r="Q339" s="77">
        <v>2.93158704941801E-2</v>
      </c>
    </row>
    <row r="340" spans="1:17" x14ac:dyDescent="0.35">
      <c r="A340" s="76" t="s">
        <v>136</v>
      </c>
      <c r="B340" s="63">
        <v>736499</v>
      </c>
      <c r="C340" s="63" t="s">
        <v>140</v>
      </c>
      <c r="D340" s="64">
        <v>42636</v>
      </c>
      <c r="E340" s="63" t="s">
        <v>138</v>
      </c>
      <c r="F340" s="65">
        <v>36357</v>
      </c>
      <c r="G340" s="66">
        <v>8.7355381558957609E-3</v>
      </c>
      <c r="H340" s="65">
        <v>214</v>
      </c>
      <c r="I340" s="67">
        <v>0.42297658807657201</v>
      </c>
      <c r="J340" s="67">
        <v>3.6949281241934999</v>
      </c>
      <c r="K340" s="65">
        <v>47</v>
      </c>
      <c r="L340" s="65">
        <v>16</v>
      </c>
      <c r="M340" s="66">
        <v>3.0100334448160501E-2</v>
      </c>
      <c r="N340" s="67">
        <v>909.20715170548397</v>
      </c>
      <c r="O340" s="67">
        <v>101.023016856165</v>
      </c>
      <c r="P340" s="67">
        <v>126.46999983489501</v>
      </c>
      <c r="Q340" s="77">
        <v>0.13909921363647801</v>
      </c>
    </row>
    <row r="341" spans="1:17" x14ac:dyDescent="0.35">
      <c r="A341" s="76" t="s">
        <v>136</v>
      </c>
      <c r="B341" s="63">
        <v>736499</v>
      </c>
      <c r="C341" s="63" t="s">
        <v>140</v>
      </c>
      <c r="D341" s="64">
        <v>42637</v>
      </c>
      <c r="E341" s="63" t="s">
        <v>138</v>
      </c>
      <c r="F341" s="65">
        <v>10392</v>
      </c>
      <c r="G341" s="66">
        <v>7.0997885724726597E-3</v>
      </c>
      <c r="H341" s="65">
        <v>556</v>
      </c>
      <c r="I341" s="67">
        <v>0.406875001102248</v>
      </c>
      <c r="J341" s="67">
        <v>2.8887264832505402</v>
      </c>
      <c r="K341" s="65">
        <v>91</v>
      </c>
      <c r="L341" s="65">
        <v>20</v>
      </c>
      <c r="M341" s="66">
        <v>3.6764705882352901E-2</v>
      </c>
      <c r="N341" s="67">
        <v>1091.0133390748799</v>
      </c>
      <c r="O341" s="67">
        <v>109.101333907488</v>
      </c>
      <c r="P341" s="67">
        <v>110.67000029981099</v>
      </c>
      <c r="Q341" s="77">
        <v>0.101437806794969</v>
      </c>
    </row>
    <row r="342" spans="1:17" x14ac:dyDescent="0.35">
      <c r="A342" s="76" t="s">
        <v>136</v>
      </c>
      <c r="B342" s="63">
        <v>736499</v>
      </c>
      <c r="C342" s="63" t="s">
        <v>140</v>
      </c>
      <c r="D342" s="64">
        <v>42638</v>
      </c>
      <c r="E342" s="63" t="s">
        <v>138</v>
      </c>
      <c r="F342" s="65">
        <v>52935</v>
      </c>
      <c r="G342" s="66">
        <v>6.5279375719073602E-3</v>
      </c>
      <c r="H342" s="65">
        <v>183</v>
      </c>
      <c r="I342" s="67">
        <v>0.49831416183847099</v>
      </c>
      <c r="J342" s="67">
        <v>3.2529637396788802</v>
      </c>
      <c r="K342" s="65">
        <v>91</v>
      </c>
      <c r="L342" s="65">
        <v>23</v>
      </c>
      <c r="M342" s="66">
        <v>4.2145593869731802E-2</v>
      </c>
      <c r="N342" s="67">
        <v>874.94486738043997</v>
      </c>
      <c r="O342" s="67">
        <v>79.540442489130896</v>
      </c>
      <c r="P342" s="67">
        <v>130.05999623984101</v>
      </c>
      <c r="Q342" s="77">
        <v>0.14864936190692399</v>
      </c>
    </row>
    <row r="343" spans="1:17" x14ac:dyDescent="0.35">
      <c r="A343" s="76" t="s">
        <v>136</v>
      </c>
      <c r="B343" s="63">
        <v>736499</v>
      </c>
      <c r="C343" s="63" t="s">
        <v>140</v>
      </c>
      <c r="D343" s="64">
        <v>42639</v>
      </c>
      <c r="E343" s="63" t="s">
        <v>138</v>
      </c>
      <c r="F343" s="65">
        <v>41156</v>
      </c>
      <c r="G343" s="66">
        <v>7.15499753275947E-3</v>
      </c>
      <c r="H343" s="65">
        <v>240</v>
      </c>
      <c r="I343" s="67">
        <v>0.47735630889276898</v>
      </c>
      <c r="J343" s="67">
        <v>3.4154832123749301</v>
      </c>
      <c r="K343" s="65">
        <v>79</v>
      </c>
      <c r="L343" s="65">
        <v>18</v>
      </c>
      <c r="M343" s="66">
        <v>1.5325670498084301E-2</v>
      </c>
      <c r="N343" s="67">
        <v>315.32762962965</v>
      </c>
      <c r="O343" s="67">
        <v>78.831907407412601</v>
      </c>
      <c r="P343" s="67">
        <v>124.589996621013</v>
      </c>
      <c r="Q343" s="77">
        <v>0.39511284427356602</v>
      </c>
    </row>
    <row r="344" spans="1:17" x14ac:dyDescent="0.35">
      <c r="A344" s="76" t="s">
        <v>136</v>
      </c>
      <c r="B344" s="63">
        <v>736499</v>
      </c>
      <c r="C344" s="63" t="s">
        <v>140</v>
      </c>
      <c r="D344" s="64">
        <v>42640</v>
      </c>
      <c r="E344" s="63" t="s">
        <v>138</v>
      </c>
      <c r="F344" s="65">
        <v>4659</v>
      </c>
      <c r="G344" s="66">
        <v>7.5081364998549902E-3</v>
      </c>
      <c r="H344" s="65">
        <v>382</v>
      </c>
      <c r="I344" s="67">
        <v>0.49055792205835103</v>
      </c>
      <c r="J344" s="67">
        <v>3.68317583989933</v>
      </c>
      <c r="K344" s="65">
        <v>24</v>
      </c>
      <c r="L344" s="65">
        <v>20</v>
      </c>
      <c r="M344" s="66">
        <v>4.2918454935622297E-2</v>
      </c>
      <c r="N344" s="67">
        <v>496.20776803460501</v>
      </c>
      <c r="O344" s="67">
        <v>49.620776803460501</v>
      </c>
      <c r="P344" s="67">
        <v>114.29999583959599</v>
      </c>
      <c r="Q344" s="77">
        <v>0.23034705057584801</v>
      </c>
    </row>
    <row r="345" spans="1:17" x14ac:dyDescent="0.35">
      <c r="A345" s="76" t="s">
        <v>136</v>
      </c>
      <c r="B345" s="63">
        <v>736499</v>
      </c>
      <c r="C345" s="63" t="s">
        <v>140</v>
      </c>
      <c r="D345" s="64">
        <v>42641</v>
      </c>
      <c r="E345" s="63" t="s">
        <v>138</v>
      </c>
      <c r="F345" s="65">
        <v>2031</v>
      </c>
      <c r="G345" s="66">
        <v>7.0520553029600102E-3</v>
      </c>
      <c r="H345" s="65">
        <v>296</v>
      </c>
      <c r="I345" s="67">
        <v>0.43171052811177202</v>
      </c>
      <c r="J345" s="67">
        <v>3.0444465191142802</v>
      </c>
      <c r="K345" s="65">
        <v>52</v>
      </c>
      <c r="L345" s="65">
        <v>19</v>
      </c>
      <c r="M345" s="66">
        <v>5.2631578947368397E-2</v>
      </c>
      <c r="N345" s="67">
        <v>954.80200537656299</v>
      </c>
      <c r="O345" s="67">
        <v>119.35025067207</v>
      </c>
      <c r="P345" s="67">
        <v>65.620000272989301</v>
      </c>
      <c r="Q345" s="77">
        <v>6.8726290794822495E-2</v>
      </c>
    </row>
    <row r="346" spans="1:17" x14ac:dyDescent="0.35">
      <c r="A346" s="76" t="s">
        <v>136</v>
      </c>
      <c r="B346" s="63">
        <v>736499</v>
      </c>
      <c r="C346" s="63" t="s">
        <v>140</v>
      </c>
      <c r="D346" s="64">
        <v>42642</v>
      </c>
      <c r="E346" s="63" t="s">
        <v>138</v>
      </c>
      <c r="F346" s="65">
        <v>3541</v>
      </c>
      <c r="G346" s="66">
        <v>7.0277474857627503E-3</v>
      </c>
      <c r="H346" s="65">
        <v>436</v>
      </c>
      <c r="I346" s="67">
        <v>0.41491379730146499</v>
      </c>
      <c r="J346" s="67">
        <v>2.9159093957936499</v>
      </c>
      <c r="K346" s="65">
        <v>27</v>
      </c>
      <c r="L346" s="65">
        <v>16</v>
      </c>
      <c r="M346" s="66">
        <v>2.5862068965517199E-2</v>
      </c>
      <c r="N346" s="67">
        <v>269.33593087247198</v>
      </c>
      <c r="O346" s="67">
        <v>89.778643624157496</v>
      </c>
      <c r="P346" s="67">
        <v>48.130000486969898</v>
      </c>
      <c r="Q346" s="77">
        <v>0.17869877342789101</v>
      </c>
    </row>
    <row r="347" spans="1:17" x14ac:dyDescent="0.35">
      <c r="A347" s="76" t="s">
        <v>136</v>
      </c>
      <c r="B347" s="63">
        <v>736499</v>
      </c>
      <c r="C347" s="63" t="s">
        <v>140</v>
      </c>
      <c r="D347" s="64">
        <v>42643</v>
      </c>
      <c r="E347" s="63" t="s">
        <v>138</v>
      </c>
      <c r="F347" s="65">
        <v>60575</v>
      </c>
      <c r="G347" s="66">
        <v>7.9097359544027003E-3</v>
      </c>
      <c r="H347" s="65">
        <v>558</v>
      </c>
      <c r="I347" s="67">
        <v>0.40551470767925801</v>
      </c>
      <c r="J347" s="67">
        <v>3.20751426336972</v>
      </c>
      <c r="K347" s="65">
        <v>33</v>
      </c>
      <c r="L347" s="65">
        <v>25</v>
      </c>
      <c r="M347" s="66">
        <v>4.4117647058823498E-2</v>
      </c>
      <c r="N347" s="67">
        <v>466.44325030944401</v>
      </c>
      <c r="O347" s="67">
        <v>77.740541718240706</v>
      </c>
      <c r="P347" s="67">
        <v>55.150000244379001</v>
      </c>
      <c r="Q347" s="77">
        <v>0.11823517696481201</v>
      </c>
    </row>
    <row r="348" spans="1:17" x14ac:dyDescent="0.35">
      <c r="A348" s="76" t="s">
        <v>136</v>
      </c>
      <c r="B348" s="63">
        <v>736499</v>
      </c>
      <c r="C348" s="63" t="s">
        <v>140</v>
      </c>
      <c r="D348" s="64">
        <v>42644</v>
      </c>
      <c r="E348" s="63" t="s">
        <v>138</v>
      </c>
      <c r="F348" s="65">
        <v>46198</v>
      </c>
      <c r="G348" s="66">
        <v>7.9539462119880503E-3</v>
      </c>
      <c r="H348" s="65">
        <v>223</v>
      </c>
      <c r="I348" s="67">
        <v>0.41861878837669803</v>
      </c>
      <c r="J348" s="67">
        <v>3.3296713260758599</v>
      </c>
      <c r="K348" s="65">
        <v>75</v>
      </c>
      <c r="L348" s="65">
        <v>27</v>
      </c>
      <c r="M348" s="66">
        <v>4.9723756906077297E-2</v>
      </c>
      <c r="N348" s="67">
        <v>934.87098723512997</v>
      </c>
      <c r="O348" s="67">
        <v>103.874554137237</v>
      </c>
      <c r="P348" s="67">
        <v>75.770000696182294</v>
      </c>
      <c r="Q348" s="77">
        <v>8.1048617114828997E-2</v>
      </c>
    </row>
    <row r="349" spans="1:17" x14ac:dyDescent="0.35">
      <c r="A349" s="76" t="s">
        <v>136</v>
      </c>
      <c r="B349" s="63">
        <v>736499</v>
      </c>
      <c r="C349" s="63" t="s">
        <v>140</v>
      </c>
      <c r="D349" s="64">
        <v>42645</v>
      </c>
      <c r="E349" s="63" t="s">
        <v>138</v>
      </c>
      <c r="F349" s="65">
        <v>56424</v>
      </c>
      <c r="G349" s="66">
        <v>8.0272822665267592E-3</v>
      </c>
      <c r="H349" s="65">
        <v>320</v>
      </c>
      <c r="I349" s="67">
        <v>0.40928104695151801</v>
      </c>
      <c r="J349" s="67">
        <v>3.2854144902194302</v>
      </c>
      <c r="K349" s="65">
        <v>18</v>
      </c>
      <c r="L349" s="65">
        <v>10</v>
      </c>
      <c r="M349" s="66">
        <v>1.30718954248366E-2</v>
      </c>
      <c r="N349" s="67">
        <v>77.677625950758994</v>
      </c>
      <c r="O349" s="67">
        <v>38.838812975379497</v>
      </c>
      <c r="P349" s="67">
        <v>62.620000183582299</v>
      </c>
      <c r="Q349" s="77">
        <v>0.80615234331798502</v>
      </c>
    </row>
    <row r="350" spans="1:17" x14ac:dyDescent="0.35">
      <c r="A350" s="76" t="s">
        <v>136</v>
      </c>
      <c r="B350" s="63">
        <v>736499</v>
      </c>
      <c r="C350" s="63" t="s">
        <v>140</v>
      </c>
      <c r="D350" s="64">
        <v>42646</v>
      </c>
      <c r="E350" s="63" t="s">
        <v>138</v>
      </c>
      <c r="F350" s="65">
        <v>48125</v>
      </c>
      <c r="G350" s="66">
        <v>9.3979915149562301E-3</v>
      </c>
      <c r="H350" s="65">
        <v>364</v>
      </c>
      <c r="I350" s="67">
        <v>0.42108571316514698</v>
      </c>
      <c r="J350" s="67">
        <v>3.9573599593953399</v>
      </c>
      <c r="K350" s="65">
        <v>78</v>
      </c>
      <c r="L350" s="65">
        <v>22</v>
      </c>
      <c r="M350" s="66">
        <v>5.7142857142857099E-2</v>
      </c>
      <c r="N350" s="67">
        <v>707.67055260667405</v>
      </c>
      <c r="O350" s="67">
        <v>70.767055260667405</v>
      </c>
      <c r="P350" s="67">
        <v>73.689999803900704</v>
      </c>
      <c r="Q350" s="77">
        <v>0.10413037469549501</v>
      </c>
    </row>
    <row r="351" spans="1:17" x14ac:dyDescent="0.35">
      <c r="A351" s="76" t="s">
        <v>136</v>
      </c>
      <c r="B351" s="63">
        <v>736499</v>
      </c>
      <c r="C351" s="63" t="s">
        <v>140</v>
      </c>
      <c r="D351" s="64">
        <v>42647</v>
      </c>
      <c r="E351" s="63" t="s">
        <v>138</v>
      </c>
      <c r="F351" s="65">
        <v>48235</v>
      </c>
      <c r="G351" s="66">
        <v>8.6001220662486801E-3</v>
      </c>
      <c r="H351" s="65">
        <v>341</v>
      </c>
      <c r="I351" s="67">
        <v>0.43451612178356402</v>
      </c>
      <c r="J351" s="67">
        <v>3.7368916870916302</v>
      </c>
      <c r="K351" s="65">
        <v>34</v>
      </c>
      <c r="L351" s="65">
        <v>17</v>
      </c>
      <c r="M351" s="66">
        <v>6.4516129032258104E-2</v>
      </c>
      <c r="N351" s="67">
        <v>1528.41107842778</v>
      </c>
      <c r="O351" s="67">
        <v>152.841107842778</v>
      </c>
      <c r="P351" s="67">
        <v>67.349998876452403</v>
      </c>
      <c r="Q351" s="77">
        <v>4.4065369472284198E-2</v>
      </c>
    </row>
    <row r="352" spans="1:17" x14ac:dyDescent="0.35">
      <c r="A352" s="76" t="s">
        <v>136</v>
      </c>
      <c r="B352" s="63">
        <v>736499</v>
      </c>
      <c r="C352" s="63" t="s">
        <v>140</v>
      </c>
      <c r="D352" s="64">
        <v>42648</v>
      </c>
      <c r="E352" s="63" t="s">
        <v>138</v>
      </c>
      <c r="F352" s="65">
        <v>60561</v>
      </c>
      <c r="G352" s="66">
        <v>7.9763498438197196E-3</v>
      </c>
      <c r="H352" s="65">
        <v>583</v>
      </c>
      <c r="I352" s="67">
        <v>0.46209789270704399</v>
      </c>
      <c r="J352" s="67">
        <v>3.6858544543232599</v>
      </c>
      <c r="K352" s="65">
        <v>25</v>
      </c>
      <c r="L352" s="65">
        <v>35</v>
      </c>
      <c r="M352" s="66">
        <v>0.10489510489510501</v>
      </c>
      <c r="N352" s="67">
        <v>1754.10919958056</v>
      </c>
      <c r="O352" s="67">
        <v>116.940613305371</v>
      </c>
      <c r="P352" s="67">
        <v>66.079998657107396</v>
      </c>
      <c r="Q352" s="77">
        <v>3.7671542155362003E-2</v>
      </c>
    </row>
    <row r="353" spans="1:17" x14ac:dyDescent="0.35">
      <c r="A353" s="76" t="s">
        <v>136</v>
      </c>
      <c r="B353" s="63">
        <v>736499</v>
      </c>
      <c r="C353" s="63" t="s">
        <v>140</v>
      </c>
      <c r="D353" s="64">
        <v>42649</v>
      </c>
      <c r="E353" s="63" t="s">
        <v>138</v>
      </c>
      <c r="F353" s="65">
        <v>7569</v>
      </c>
      <c r="G353" s="66">
        <v>9.1983391887575892E-3</v>
      </c>
      <c r="H353" s="65">
        <v>531</v>
      </c>
      <c r="I353" s="67">
        <v>0.44861109761728202</v>
      </c>
      <c r="J353" s="67">
        <v>4.1264770397246</v>
      </c>
      <c r="K353" s="65">
        <v>75</v>
      </c>
      <c r="L353" s="65">
        <v>24</v>
      </c>
      <c r="M353" s="66">
        <v>4.8611111111111098E-2</v>
      </c>
      <c r="N353" s="67">
        <v>782.03428588009604</v>
      </c>
      <c r="O353" s="67">
        <v>111.71918369715701</v>
      </c>
      <c r="P353" s="67">
        <v>64.599998056888595</v>
      </c>
      <c r="Q353" s="77">
        <v>8.2605071444135203E-2</v>
      </c>
    </row>
    <row r="354" spans="1:17" x14ac:dyDescent="0.35">
      <c r="A354" s="76" t="s">
        <v>136</v>
      </c>
      <c r="B354" s="63">
        <v>736499</v>
      </c>
      <c r="C354" s="63" t="s">
        <v>140</v>
      </c>
      <c r="D354" s="64">
        <v>42650</v>
      </c>
      <c r="E354" s="63" t="s">
        <v>138</v>
      </c>
      <c r="F354" s="65">
        <v>53079</v>
      </c>
      <c r="G354" s="66">
        <v>8.3301417081577903E-3</v>
      </c>
      <c r="H354" s="65">
        <v>208</v>
      </c>
      <c r="I354" s="67">
        <v>0.43390803801259797</v>
      </c>
      <c r="J354" s="67">
        <v>3.6145154449536601</v>
      </c>
      <c r="K354" s="65">
        <v>86</v>
      </c>
      <c r="L354" s="65">
        <v>22</v>
      </c>
      <c r="M354" s="66">
        <v>1.1494252873563199E-2</v>
      </c>
      <c r="N354" s="67">
        <v>426.25485228413402</v>
      </c>
      <c r="O354" s="67">
        <v>213.12742614206701</v>
      </c>
      <c r="P354" s="67">
        <v>75.499998614191995</v>
      </c>
      <c r="Q354" s="77">
        <v>0.17712408013566699</v>
      </c>
    </row>
    <row r="355" spans="1:17" x14ac:dyDescent="0.35">
      <c r="A355" s="76" t="s">
        <v>136</v>
      </c>
      <c r="B355" s="63">
        <v>736499</v>
      </c>
      <c r="C355" s="63" t="s">
        <v>140</v>
      </c>
      <c r="D355" s="64">
        <v>42651</v>
      </c>
      <c r="E355" s="63" t="s">
        <v>138</v>
      </c>
      <c r="F355" s="65">
        <v>55519</v>
      </c>
      <c r="G355" s="66">
        <v>6.5601825442099301E-3</v>
      </c>
      <c r="H355" s="65">
        <v>467</v>
      </c>
      <c r="I355" s="67">
        <v>0.464565209180549</v>
      </c>
      <c r="J355" s="67">
        <v>3.0476325759134699</v>
      </c>
      <c r="K355" s="65">
        <v>65</v>
      </c>
      <c r="L355" s="65">
        <v>15</v>
      </c>
      <c r="M355" s="66">
        <v>5.7971014492753603E-2</v>
      </c>
      <c r="N355" s="67">
        <v>1288.9713860097499</v>
      </c>
      <c r="O355" s="67">
        <v>161.121423251218</v>
      </c>
      <c r="P355" s="67">
        <v>64.109998866915703</v>
      </c>
      <c r="Q355" s="77">
        <v>4.9737332855293401E-2</v>
      </c>
    </row>
    <row r="356" spans="1:17" x14ac:dyDescent="0.35">
      <c r="A356" s="76" t="s">
        <v>136</v>
      </c>
      <c r="B356" s="63">
        <v>736499</v>
      </c>
      <c r="C356" s="63" t="s">
        <v>140</v>
      </c>
      <c r="D356" s="64">
        <v>42652</v>
      </c>
      <c r="E356" s="63" t="s">
        <v>138</v>
      </c>
      <c r="F356" s="65">
        <v>8929</v>
      </c>
      <c r="G356" s="66">
        <v>8.4826534502478092E-3</v>
      </c>
      <c r="H356" s="65">
        <v>559</v>
      </c>
      <c r="I356" s="67">
        <v>0.47601122032390603</v>
      </c>
      <c r="J356" s="67">
        <v>4.0378382204372496</v>
      </c>
      <c r="K356" s="65">
        <v>56</v>
      </c>
      <c r="L356" s="65">
        <v>15</v>
      </c>
      <c r="M356" s="66">
        <v>3.9325842696629199E-2</v>
      </c>
      <c r="N356" s="67">
        <v>300.945569871381</v>
      </c>
      <c r="O356" s="67">
        <v>42.992224267340198</v>
      </c>
      <c r="P356" s="67">
        <v>84.729997217655196</v>
      </c>
      <c r="Q356" s="77">
        <v>0.281545919595584</v>
      </c>
    </row>
    <row r="357" spans="1:17" x14ac:dyDescent="0.35">
      <c r="A357" s="76" t="s">
        <v>136</v>
      </c>
      <c r="B357" s="63">
        <v>736499</v>
      </c>
      <c r="C357" s="63" t="s">
        <v>140</v>
      </c>
      <c r="D357" s="64">
        <v>42653</v>
      </c>
      <c r="E357" s="63" t="s">
        <v>138</v>
      </c>
      <c r="F357" s="65">
        <v>4555</v>
      </c>
      <c r="G357" s="66">
        <v>6.8293495460981096E-3</v>
      </c>
      <c r="H357" s="65">
        <v>397</v>
      </c>
      <c r="I357" s="67">
        <v>0.49640244327303801</v>
      </c>
      <c r="J357" s="67">
        <v>3.3901058006487199</v>
      </c>
      <c r="K357" s="65">
        <v>96</v>
      </c>
      <c r="L357" s="65">
        <v>17</v>
      </c>
      <c r="M357" s="66">
        <v>6.0975609756097601E-2</v>
      </c>
      <c r="N357" s="67">
        <v>1394.22058342792</v>
      </c>
      <c r="O357" s="67">
        <v>139.42205834279201</v>
      </c>
      <c r="P357" s="67">
        <v>81.410000696778297</v>
      </c>
      <c r="Q357" s="77">
        <v>5.8391047775681701E-2</v>
      </c>
    </row>
    <row r="358" spans="1:17" x14ac:dyDescent="0.35">
      <c r="A358" s="76" t="s">
        <v>136</v>
      </c>
      <c r="B358" s="63">
        <v>736499</v>
      </c>
      <c r="C358" s="63" t="s">
        <v>140</v>
      </c>
      <c r="D358" s="64">
        <v>42654</v>
      </c>
      <c r="E358" s="63" t="s">
        <v>138</v>
      </c>
      <c r="F358" s="65">
        <v>54239</v>
      </c>
      <c r="G358" s="66">
        <v>7.1969696969696999E-3</v>
      </c>
      <c r="H358" s="65">
        <v>522</v>
      </c>
      <c r="I358" s="67">
        <v>0.55727273682087797</v>
      </c>
      <c r="J358" s="67">
        <v>4.0106749998472297</v>
      </c>
      <c r="K358" s="65">
        <v>72</v>
      </c>
      <c r="L358" s="65">
        <v>19</v>
      </c>
      <c r="M358" s="66">
        <v>4.3062200956937802E-2</v>
      </c>
      <c r="N358" s="67">
        <v>735.86072884671205</v>
      </c>
      <c r="O358" s="67">
        <v>81.762303205190193</v>
      </c>
      <c r="P358" s="67">
        <v>116.470001995564</v>
      </c>
      <c r="Q358" s="77">
        <v>0.158277235664013</v>
      </c>
    </row>
    <row r="359" spans="1:17" x14ac:dyDescent="0.35">
      <c r="A359" s="76" t="s">
        <v>136</v>
      </c>
      <c r="B359" s="63">
        <v>736499</v>
      </c>
      <c r="C359" s="63" t="s">
        <v>140</v>
      </c>
      <c r="D359" s="64">
        <v>42655</v>
      </c>
      <c r="E359" s="63" t="s">
        <v>138</v>
      </c>
      <c r="F359" s="65">
        <v>32594</v>
      </c>
      <c r="G359" s="66">
        <v>7.9749462874622208E-3</v>
      </c>
      <c r="H359" s="65">
        <v>369</v>
      </c>
      <c r="I359" s="67">
        <v>0.57150685773592602</v>
      </c>
      <c r="J359" s="67">
        <v>4.5577364933603199</v>
      </c>
      <c r="K359" s="65">
        <v>19</v>
      </c>
      <c r="L359" s="65">
        <v>17</v>
      </c>
      <c r="M359" s="66">
        <v>4.1095890410958902E-2</v>
      </c>
      <c r="N359" s="67">
        <v>697.59632766605</v>
      </c>
      <c r="O359" s="67">
        <v>77.510703074005505</v>
      </c>
      <c r="P359" s="67">
        <v>125.16000184416799</v>
      </c>
      <c r="Q359" s="77">
        <v>0.17941608474762999</v>
      </c>
    </row>
    <row r="360" spans="1:17" x14ac:dyDescent="0.35">
      <c r="A360" s="76" t="s">
        <v>136</v>
      </c>
      <c r="B360" s="63">
        <v>736499</v>
      </c>
      <c r="C360" s="63" t="s">
        <v>140</v>
      </c>
      <c r="D360" s="64">
        <v>42656</v>
      </c>
      <c r="E360" s="63" t="s">
        <v>138</v>
      </c>
      <c r="F360" s="65">
        <v>12404</v>
      </c>
      <c r="G360" s="66">
        <v>8.3581243802238296E-3</v>
      </c>
      <c r="H360" s="65">
        <v>308</v>
      </c>
      <c r="I360" s="67">
        <v>0.55977403023148697</v>
      </c>
      <c r="J360" s="67">
        <v>4.6786609694939401</v>
      </c>
      <c r="K360" s="65">
        <v>39</v>
      </c>
      <c r="L360" s="65">
        <v>14</v>
      </c>
      <c r="M360" s="66">
        <v>3.3898305084745797E-2</v>
      </c>
      <c r="N360" s="67">
        <v>517.80664950303697</v>
      </c>
      <c r="O360" s="67">
        <v>86.301108250506203</v>
      </c>
      <c r="P360" s="67">
        <v>99.080003350973101</v>
      </c>
      <c r="Q360" s="77">
        <v>0.19134556005811201</v>
      </c>
    </row>
    <row r="361" spans="1:17" x14ac:dyDescent="0.35">
      <c r="A361" s="76" t="s">
        <v>136</v>
      </c>
      <c r="B361" s="63">
        <v>736499</v>
      </c>
      <c r="C361" s="63" t="s">
        <v>140</v>
      </c>
      <c r="D361" s="64">
        <v>42657</v>
      </c>
      <c r="E361" s="63" t="s">
        <v>138</v>
      </c>
      <c r="F361" s="65">
        <v>26208</v>
      </c>
      <c r="G361" s="66">
        <v>7.2171116595617403E-3</v>
      </c>
      <c r="H361" s="65">
        <v>403</v>
      </c>
      <c r="I361" s="67">
        <v>0.55015545172394897</v>
      </c>
      <c r="J361" s="67">
        <v>3.9705333252083599</v>
      </c>
      <c r="K361" s="65">
        <v>95</v>
      </c>
      <c r="L361" s="65">
        <v>25</v>
      </c>
      <c r="M361" s="66">
        <v>5.6994818652849701E-2</v>
      </c>
      <c r="N361" s="67">
        <v>1214.6076156546101</v>
      </c>
      <c r="O361" s="67">
        <v>110.418874150419</v>
      </c>
      <c r="P361" s="67">
        <v>106.18000218272201</v>
      </c>
      <c r="Q361" s="77">
        <v>8.7419180329687499E-2</v>
      </c>
    </row>
    <row r="362" spans="1:17" x14ac:dyDescent="0.35">
      <c r="A362" s="76" t="s">
        <v>136</v>
      </c>
      <c r="B362" s="63">
        <v>736499</v>
      </c>
      <c r="C362" s="63" t="s">
        <v>140</v>
      </c>
      <c r="D362" s="64">
        <v>42658</v>
      </c>
      <c r="E362" s="63" t="s">
        <v>138</v>
      </c>
      <c r="F362" s="65">
        <v>54810</v>
      </c>
      <c r="G362" s="66">
        <v>6.7298754415318802E-3</v>
      </c>
      <c r="H362" s="65">
        <v>205</v>
      </c>
      <c r="I362" s="67">
        <v>0.45441989081999201</v>
      </c>
      <c r="J362" s="67">
        <v>3.0581892633730599</v>
      </c>
      <c r="K362" s="65">
        <v>83</v>
      </c>
      <c r="L362" s="65">
        <v>25</v>
      </c>
      <c r="M362" s="66">
        <v>4.4198895027624301E-2</v>
      </c>
      <c r="N362" s="67">
        <v>2095.8818956161399</v>
      </c>
      <c r="O362" s="67">
        <v>261.98523695201698</v>
      </c>
      <c r="P362" s="67">
        <v>82.250000238418593</v>
      </c>
      <c r="Q362" s="77">
        <v>3.9243623608017801E-2</v>
      </c>
    </row>
    <row r="363" spans="1:17" x14ac:dyDescent="0.35">
      <c r="A363" s="76" t="s">
        <v>136</v>
      </c>
      <c r="B363" s="63">
        <v>736499</v>
      </c>
      <c r="C363" s="63" t="s">
        <v>140</v>
      </c>
      <c r="D363" s="64">
        <v>42659</v>
      </c>
      <c r="E363" s="63" t="s">
        <v>138</v>
      </c>
      <c r="F363" s="65">
        <v>26156</v>
      </c>
      <c r="G363" s="66">
        <v>5.8680603309952803E-3</v>
      </c>
      <c r="H363" s="65">
        <v>395</v>
      </c>
      <c r="I363" s="67">
        <v>0.41843750304542499</v>
      </c>
      <c r="J363" s="67">
        <v>2.4554165126215701</v>
      </c>
      <c r="K363" s="65">
        <v>8</v>
      </c>
      <c r="L363" s="65">
        <v>23</v>
      </c>
      <c r="M363" s="66">
        <v>7.8125E-2</v>
      </c>
      <c r="N363" s="67">
        <v>690.01279731823297</v>
      </c>
      <c r="O363" s="67">
        <v>69.001279731823303</v>
      </c>
      <c r="P363" s="67">
        <v>53.560000389814398</v>
      </c>
      <c r="Q363" s="77">
        <v>7.7621749332733803E-2</v>
      </c>
    </row>
    <row r="364" spans="1:17" x14ac:dyDescent="0.35">
      <c r="A364" s="76" t="s">
        <v>136</v>
      </c>
      <c r="B364" s="63">
        <v>736499</v>
      </c>
      <c r="C364" s="63" t="s">
        <v>140</v>
      </c>
      <c r="D364" s="64">
        <v>42660</v>
      </c>
      <c r="E364" s="63" t="s">
        <v>138</v>
      </c>
      <c r="F364" s="65">
        <v>42956</v>
      </c>
      <c r="G364" s="66">
        <v>7.1540743325772104E-3</v>
      </c>
      <c r="H364" s="65">
        <v>548</v>
      </c>
      <c r="I364" s="67">
        <v>0.54786586080019095</v>
      </c>
      <c r="J364" s="67">
        <v>3.9194730924459602</v>
      </c>
      <c r="K364" s="65">
        <v>49</v>
      </c>
      <c r="L364" s="65">
        <v>8</v>
      </c>
      <c r="M364" s="66">
        <v>2.4390243902439001E-2</v>
      </c>
      <c r="N364" s="67">
        <v>193.221983702286</v>
      </c>
      <c r="O364" s="67">
        <v>48.305495925571599</v>
      </c>
      <c r="P364" s="67">
        <v>89.850001171231298</v>
      </c>
      <c r="Q364" s="77">
        <v>0.46500920573132498</v>
      </c>
    </row>
    <row r="365" spans="1:17" x14ac:dyDescent="0.35">
      <c r="A365" s="76" t="s">
        <v>136</v>
      </c>
      <c r="B365" s="63">
        <v>736499</v>
      </c>
      <c r="C365" s="63" t="s">
        <v>140</v>
      </c>
      <c r="D365" s="64">
        <v>42661</v>
      </c>
      <c r="E365" s="63" t="s">
        <v>138</v>
      </c>
      <c r="F365" s="65">
        <v>14265</v>
      </c>
      <c r="G365" s="66">
        <v>5.9817198640953204E-3</v>
      </c>
      <c r="H365" s="65">
        <v>301</v>
      </c>
      <c r="I365" s="67">
        <v>0.53903999829292304</v>
      </c>
      <c r="J365" s="67">
        <v>3.2243862653306898</v>
      </c>
      <c r="K365" s="65">
        <v>21</v>
      </c>
      <c r="L365" s="65">
        <v>15</v>
      </c>
      <c r="M365" s="66">
        <v>0.08</v>
      </c>
      <c r="N365" s="67">
        <v>1064.8441685514399</v>
      </c>
      <c r="O365" s="67">
        <v>106.484416855144</v>
      </c>
      <c r="P365" s="67">
        <v>67.3799997866154</v>
      </c>
      <c r="Q365" s="77">
        <v>6.3276864142737005E-2</v>
      </c>
    </row>
    <row r="366" spans="1:17" x14ac:dyDescent="0.35">
      <c r="A366" s="76" t="s">
        <v>136</v>
      </c>
      <c r="B366" s="63">
        <v>736499</v>
      </c>
      <c r="C366" s="63" t="s">
        <v>140</v>
      </c>
      <c r="D366" s="64">
        <v>42662</v>
      </c>
      <c r="E366" s="63" t="s">
        <v>138</v>
      </c>
      <c r="F366" s="65">
        <v>18871</v>
      </c>
      <c r="G366" s="66">
        <v>7.51137672021492E-3</v>
      </c>
      <c r="H366" s="65">
        <v>443</v>
      </c>
      <c r="I366" s="67">
        <v>0.51540145506388901</v>
      </c>
      <c r="J366" s="67">
        <v>3.8713744911318</v>
      </c>
      <c r="K366" s="65">
        <v>54</v>
      </c>
      <c r="L366" s="65">
        <v>17</v>
      </c>
      <c r="M366" s="66">
        <v>7.2992700729927001E-2</v>
      </c>
      <c r="N366" s="67">
        <v>766.71702316516098</v>
      </c>
      <c r="O366" s="67">
        <v>76.671702316516104</v>
      </c>
      <c r="P366" s="67">
        <v>70.609999343752904</v>
      </c>
      <c r="Q366" s="77">
        <v>9.2093950193332996E-2</v>
      </c>
    </row>
    <row r="367" spans="1:17" x14ac:dyDescent="0.35">
      <c r="A367" s="76" t="s">
        <v>136</v>
      </c>
      <c r="B367" s="63">
        <v>736499</v>
      </c>
      <c r="C367" s="63" t="s">
        <v>140</v>
      </c>
      <c r="D367" s="64">
        <v>42663</v>
      </c>
      <c r="E367" s="63" t="s">
        <v>138</v>
      </c>
      <c r="F367" s="65">
        <v>58745</v>
      </c>
      <c r="G367" s="66">
        <v>8.8148148148148205E-3</v>
      </c>
      <c r="H367" s="65">
        <v>499</v>
      </c>
      <c r="I367" s="67">
        <v>0.50420166977814296</v>
      </c>
      <c r="J367" s="67">
        <v>4.4444443484147396</v>
      </c>
      <c r="K367" s="65">
        <v>18</v>
      </c>
      <c r="L367" s="65">
        <v>17</v>
      </c>
      <c r="M367" s="66">
        <v>5.8823529411764698E-2</v>
      </c>
      <c r="N367" s="67">
        <v>426.48025012429298</v>
      </c>
      <c r="O367" s="67">
        <v>60.925750017756101</v>
      </c>
      <c r="P367" s="67">
        <v>59.999998703598997</v>
      </c>
      <c r="Q367" s="77">
        <v>0.14068646481545799</v>
      </c>
    </row>
    <row r="368" spans="1:17" x14ac:dyDescent="0.35">
      <c r="A368" s="76" t="s">
        <v>136</v>
      </c>
      <c r="B368" s="63">
        <v>736499</v>
      </c>
      <c r="C368" s="63" t="s">
        <v>140</v>
      </c>
      <c r="D368" s="64">
        <v>42664</v>
      </c>
      <c r="E368" s="63" t="s">
        <v>138</v>
      </c>
      <c r="F368" s="65">
        <v>2124</v>
      </c>
      <c r="G368" s="66">
        <v>7.34983079526227E-3</v>
      </c>
      <c r="H368" s="65">
        <v>458</v>
      </c>
      <c r="I368" s="67">
        <v>0.49345323389811502</v>
      </c>
      <c r="J368" s="67">
        <v>3.62679777452612</v>
      </c>
      <c r="K368" s="65">
        <v>77</v>
      </c>
      <c r="L368" s="65">
        <v>21</v>
      </c>
      <c r="M368" s="66">
        <v>4.3165467625899297E-2</v>
      </c>
      <c r="N368" s="67">
        <v>493.44917370178302</v>
      </c>
      <c r="O368" s="67">
        <v>82.241528950297194</v>
      </c>
      <c r="P368" s="67">
        <v>68.589999511838002</v>
      </c>
      <c r="Q368" s="77">
        <v>0.13900114371919201</v>
      </c>
    </row>
    <row r="369" spans="1:17" x14ac:dyDescent="0.35">
      <c r="A369" s="76" t="s">
        <v>136</v>
      </c>
      <c r="B369" s="63">
        <v>736499</v>
      </c>
      <c r="C369" s="63" t="s">
        <v>140</v>
      </c>
      <c r="D369" s="64">
        <v>42665</v>
      </c>
      <c r="E369" s="63" t="s">
        <v>138</v>
      </c>
      <c r="F369" s="65">
        <v>62273</v>
      </c>
      <c r="G369" s="66">
        <v>6.3813356094785199E-3</v>
      </c>
      <c r="H369" s="65">
        <v>581</v>
      </c>
      <c r="I369" s="67">
        <v>0.52777069446387603</v>
      </c>
      <c r="J369" s="67">
        <v>3.36788192622154</v>
      </c>
      <c r="K369" s="65">
        <v>90</v>
      </c>
      <c r="L369" s="65">
        <v>19</v>
      </c>
      <c r="M369" s="66">
        <v>3.1847133757961797E-2</v>
      </c>
      <c r="N369" s="67">
        <v>327.47970363958098</v>
      </c>
      <c r="O369" s="67">
        <v>65.495940727916206</v>
      </c>
      <c r="P369" s="67">
        <v>82.859999030828504</v>
      </c>
      <c r="Q369" s="77">
        <v>0.25302331139893403</v>
      </c>
    </row>
    <row r="370" spans="1:17" x14ac:dyDescent="0.35">
      <c r="A370" s="76" t="s">
        <v>136</v>
      </c>
      <c r="B370" s="63">
        <v>736499</v>
      </c>
      <c r="C370" s="63" t="s">
        <v>140</v>
      </c>
      <c r="D370" s="64">
        <v>42666</v>
      </c>
      <c r="E370" s="63" t="s">
        <v>138</v>
      </c>
      <c r="F370" s="65">
        <v>65205</v>
      </c>
      <c r="G370" s="66">
        <v>6.89871433051113E-3</v>
      </c>
      <c r="H370" s="65">
        <v>267</v>
      </c>
      <c r="I370" s="67">
        <v>0.509480514696666</v>
      </c>
      <c r="J370" s="67">
        <v>3.5147605278540799</v>
      </c>
      <c r="K370" s="65">
        <v>76</v>
      </c>
      <c r="L370" s="65">
        <v>18</v>
      </c>
      <c r="M370" s="66">
        <v>6.4935064935064901E-2</v>
      </c>
      <c r="N370" s="67">
        <v>1557.69131047939</v>
      </c>
      <c r="O370" s="67">
        <v>155.769131047939</v>
      </c>
      <c r="P370" s="67">
        <v>78.459999263286605</v>
      </c>
      <c r="Q370" s="77">
        <v>5.0369414488895099E-2</v>
      </c>
    </row>
    <row r="371" spans="1:17" x14ac:dyDescent="0.35">
      <c r="A371" s="76" t="s">
        <v>136</v>
      </c>
      <c r="B371" s="63">
        <v>736499</v>
      </c>
      <c r="C371" s="63" t="s">
        <v>140</v>
      </c>
      <c r="D371" s="64">
        <v>42667</v>
      </c>
      <c r="E371" s="63" t="s">
        <v>138</v>
      </c>
      <c r="F371" s="65">
        <v>39380</v>
      </c>
      <c r="G371" s="66">
        <v>6.9859439441124502E-3</v>
      </c>
      <c r="H371" s="65">
        <v>276</v>
      </c>
      <c r="I371" s="67">
        <v>0.50331325003181604</v>
      </c>
      <c r="J371" s="67">
        <v>3.51611815105132</v>
      </c>
      <c r="K371" s="65">
        <v>49</v>
      </c>
      <c r="L371" s="65">
        <v>15</v>
      </c>
      <c r="M371" s="66">
        <v>3.6144578313252997E-2</v>
      </c>
      <c r="N371" s="67">
        <v>664.10393713219298</v>
      </c>
      <c r="O371" s="67">
        <v>110.68398952203199</v>
      </c>
      <c r="P371" s="67">
        <v>83.549999505281406</v>
      </c>
      <c r="Q371" s="77">
        <v>0.12580861945507599</v>
      </c>
    </row>
    <row r="372" spans="1:17" x14ac:dyDescent="0.35">
      <c r="A372" s="76" t="s">
        <v>136</v>
      </c>
      <c r="B372" s="63">
        <v>736499</v>
      </c>
      <c r="C372" s="63" t="s">
        <v>140</v>
      </c>
      <c r="D372" s="64">
        <v>42668</v>
      </c>
      <c r="E372" s="63" t="s">
        <v>138</v>
      </c>
      <c r="F372" s="65">
        <v>65670</v>
      </c>
      <c r="G372" s="66">
        <v>7.1207561564870896E-3</v>
      </c>
      <c r="H372" s="65">
        <v>176</v>
      </c>
      <c r="I372" s="67">
        <v>0.48541666283494</v>
      </c>
      <c r="J372" s="67">
        <v>3.4565336903433201</v>
      </c>
      <c r="K372" s="65">
        <v>78</v>
      </c>
      <c r="L372" s="65">
        <v>16</v>
      </c>
      <c r="M372" s="66">
        <v>4.1666666666666699E-2</v>
      </c>
      <c r="N372" s="67">
        <v>1164.9469791599799</v>
      </c>
      <c r="O372" s="67">
        <v>166.42099702285401</v>
      </c>
      <c r="P372" s="67">
        <v>81.549999356269794</v>
      </c>
      <c r="Q372" s="77">
        <v>7.0003185393960193E-2</v>
      </c>
    </row>
    <row r="373" spans="1:17" x14ac:dyDescent="0.35">
      <c r="A373" s="76" t="s">
        <v>136</v>
      </c>
      <c r="B373" s="63">
        <v>736499</v>
      </c>
      <c r="C373" s="63" t="s">
        <v>140</v>
      </c>
      <c r="D373" s="64">
        <v>42669</v>
      </c>
      <c r="E373" s="63" t="s">
        <v>138</v>
      </c>
      <c r="F373" s="65">
        <v>6421</v>
      </c>
      <c r="G373" s="66">
        <v>6.8936703572174598E-3</v>
      </c>
      <c r="H373" s="65">
        <v>539</v>
      </c>
      <c r="I373" s="67">
        <v>0.46521211546478802</v>
      </c>
      <c r="J373" s="67">
        <v>3.2070189701980398</v>
      </c>
      <c r="K373" s="65">
        <v>95</v>
      </c>
      <c r="L373" s="65">
        <v>23</v>
      </c>
      <c r="M373" s="66">
        <v>7.8787878787878796E-2</v>
      </c>
      <c r="N373" s="67">
        <v>1216.33672933353</v>
      </c>
      <c r="O373" s="67">
        <v>93.564363794886603</v>
      </c>
      <c r="P373" s="67">
        <v>76.759999051690102</v>
      </c>
      <c r="Q373" s="77">
        <v>6.3107523764204296E-2</v>
      </c>
    </row>
    <row r="374" spans="1:17" x14ac:dyDescent="0.35">
      <c r="A374" s="76" t="s">
        <v>136</v>
      </c>
      <c r="B374" s="63">
        <v>736499</v>
      </c>
      <c r="C374" s="63" t="s">
        <v>140</v>
      </c>
      <c r="D374" s="64">
        <v>42670</v>
      </c>
      <c r="E374" s="63" t="s">
        <v>138</v>
      </c>
      <c r="F374" s="65">
        <v>16487</v>
      </c>
      <c r="G374" s="66">
        <v>9.1066782307025092E-3</v>
      </c>
      <c r="H374" s="65">
        <v>597</v>
      </c>
      <c r="I374" s="67">
        <v>0.49804761736165898</v>
      </c>
      <c r="J374" s="67">
        <v>4.5355593948806803</v>
      </c>
      <c r="K374" s="65">
        <v>52</v>
      </c>
      <c r="L374" s="65">
        <v>17</v>
      </c>
      <c r="M374" s="66">
        <v>1.9047619047619001E-2</v>
      </c>
      <c r="N374" s="67">
        <v>226.758570585119</v>
      </c>
      <c r="O374" s="67">
        <v>56.6896426462799</v>
      </c>
      <c r="P374" s="67">
        <v>104.589999645948</v>
      </c>
      <c r="Q374" s="77">
        <v>0.461239455585155</v>
      </c>
    </row>
    <row r="375" spans="1:17" x14ac:dyDescent="0.35">
      <c r="A375" s="76" t="s">
        <v>136</v>
      </c>
      <c r="B375" s="63">
        <v>736499</v>
      </c>
      <c r="C375" s="63" t="s">
        <v>140</v>
      </c>
      <c r="D375" s="64">
        <v>42671</v>
      </c>
      <c r="E375" s="63" t="s">
        <v>138</v>
      </c>
      <c r="F375" s="65">
        <v>10847</v>
      </c>
      <c r="G375" s="66">
        <v>8.2171577062190495E-3</v>
      </c>
      <c r="H375" s="65">
        <v>547</v>
      </c>
      <c r="I375" s="67">
        <v>0.54457264298047803</v>
      </c>
      <c r="J375" s="67">
        <v>4.4748392898631097</v>
      </c>
      <c r="K375" s="65">
        <v>23</v>
      </c>
      <c r="L375" s="65">
        <v>41</v>
      </c>
      <c r="M375" s="66">
        <v>7.2649572649572697E-2</v>
      </c>
      <c r="N375" s="67">
        <v>3487.70133511006</v>
      </c>
      <c r="O375" s="67">
        <v>205.15890206529801</v>
      </c>
      <c r="P375" s="67">
        <v>127.42999845743201</v>
      </c>
      <c r="Q375" s="77">
        <v>3.65369583612613E-2</v>
      </c>
    </row>
    <row r="376" spans="1:17" x14ac:dyDescent="0.35">
      <c r="A376" s="76" t="s">
        <v>136</v>
      </c>
      <c r="B376" s="63">
        <v>736499</v>
      </c>
      <c r="C376" s="63" t="s">
        <v>140</v>
      </c>
      <c r="D376" s="64">
        <v>42672</v>
      </c>
      <c r="E376" s="63" t="s">
        <v>138</v>
      </c>
      <c r="F376" s="65">
        <v>21683</v>
      </c>
      <c r="G376" s="66">
        <v>7.8981246303190603E-3</v>
      </c>
      <c r="H376" s="65">
        <v>185</v>
      </c>
      <c r="I376" s="67">
        <v>0.53656386580761295</v>
      </c>
      <c r="J376" s="67">
        <v>4.2378482842743201</v>
      </c>
      <c r="K376" s="65">
        <v>60</v>
      </c>
      <c r="L376" s="65">
        <v>40</v>
      </c>
      <c r="M376" s="66">
        <v>5.2863436123347998E-2</v>
      </c>
      <c r="N376" s="67">
        <v>1510.9098602327299</v>
      </c>
      <c r="O376" s="67">
        <v>125.90915501939401</v>
      </c>
      <c r="P376" s="67">
        <v>121.799997538328</v>
      </c>
      <c r="Q376" s="77">
        <v>8.0613675735471804E-2</v>
      </c>
    </row>
    <row r="377" spans="1:17" x14ac:dyDescent="0.35">
      <c r="A377" s="76" t="s">
        <v>136</v>
      </c>
      <c r="B377" s="63">
        <v>736499</v>
      </c>
      <c r="C377" s="63" t="s">
        <v>140</v>
      </c>
      <c r="D377" s="64">
        <v>42673</v>
      </c>
      <c r="E377" s="63" t="s">
        <v>138</v>
      </c>
      <c r="F377" s="65">
        <v>32644</v>
      </c>
      <c r="G377" s="66">
        <v>7.6198340903119296E-3</v>
      </c>
      <c r="H377" s="65">
        <v>307</v>
      </c>
      <c r="I377" s="67">
        <v>0.53448275531747702</v>
      </c>
      <c r="J377" s="67">
        <v>4.0726699196519602</v>
      </c>
      <c r="K377" s="65">
        <v>78</v>
      </c>
      <c r="L377" s="65">
        <v>10</v>
      </c>
      <c r="M377" s="66">
        <v>2.4630541871921201E-2</v>
      </c>
      <c r="N377" s="67">
        <v>593.06049987426195</v>
      </c>
      <c r="O377" s="67">
        <v>118.612099974852</v>
      </c>
      <c r="P377" s="67">
        <v>108.499999329448</v>
      </c>
      <c r="Q377" s="77">
        <v>0.18294929328871401</v>
      </c>
    </row>
    <row r="378" spans="1:17" x14ac:dyDescent="0.35">
      <c r="A378" s="76" t="s">
        <v>136</v>
      </c>
      <c r="B378" s="63">
        <v>736499</v>
      </c>
      <c r="C378" s="63" t="s">
        <v>140</v>
      </c>
      <c r="D378" s="64">
        <v>42674</v>
      </c>
      <c r="E378" s="63" t="s">
        <v>138</v>
      </c>
      <c r="F378" s="65">
        <v>31604</v>
      </c>
      <c r="G378" s="66">
        <v>7.4149521287431202E-3</v>
      </c>
      <c r="H378" s="65">
        <v>368</v>
      </c>
      <c r="I378" s="67">
        <v>0.54082416939538902</v>
      </c>
      <c r="J378" s="67">
        <v>4.0101853261340699</v>
      </c>
      <c r="K378" s="65">
        <v>78</v>
      </c>
      <c r="L378" s="65">
        <v>29</v>
      </c>
      <c r="M378" s="66">
        <v>4.3956043956044001E-2</v>
      </c>
      <c r="N378" s="67">
        <v>866.42340157469403</v>
      </c>
      <c r="O378" s="67">
        <v>108.30292519683699</v>
      </c>
      <c r="P378" s="67">
        <v>98.429998829960795</v>
      </c>
      <c r="Q378" s="77">
        <v>0.11360496340596</v>
      </c>
    </row>
    <row r="379" spans="1:17" x14ac:dyDescent="0.35">
      <c r="A379" s="76" t="s">
        <v>136</v>
      </c>
      <c r="B379" s="63">
        <v>736499</v>
      </c>
      <c r="C379" s="63" t="s">
        <v>140</v>
      </c>
      <c r="D379" s="64">
        <v>42675</v>
      </c>
      <c r="E379" s="63" t="s">
        <v>138</v>
      </c>
      <c r="F379" s="65">
        <v>56616</v>
      </c>
      <c r="G379" s="66">
        <v>8.2884730411005702E-3</v>
      </c>
      <c r="H379" s="65">
        <v>545</v>
      </c>
      <c r="I379" s="67">
        <v>0.50742267248864004</v>
      </c>
      <c r="J379" s="67">
        <v>4.2057591413653004</v>
      </c>
      <c r="K379" s="65">
        <v>43</v>
      </c>
      <c r="L379" s="65">
        <v>16</v>
      </c>
      <c r="M379" s="66">
        <v>1.54639175257732E-2</v>
      </c>
      <c r="N379" s="67">
        <v>314.11276136703702</v>
      </c>
      <c r="O379" s="67">
        <v>104.704253789012</v>
      </c>
      <c r="P379" s="67">
        <v>98.439998462796197</v>
      </c>
      <c r="Q379" s="77">
        <v>0.31339063728063599</v>
      </c>
    </row>
    <row r="380" spans="1:17" x14ac:dyDescent="0.35">
      <c r="A380" s="76" t="s">
        <v>136</v>
      </c>
      <c r="B380" s="63">
        <v>736499</v>
      </c>
      <c r="C380" s="63" t="s">
        <v>140</v>
      </c>
      <c r="D380" s="64">
        <v>42676</v>
      </c>
      <c r="E380" s="63" t="s">
        <v>138</v>
      </c>
      <c r="F380" s="65">
        <v>64199</v>
      </c>
      <c r="G380" s="66">
        <v>7.9684725650686402E-3</v>
      </c>
      <c r="H380" s="65">
        <v>488</v>
      </c>
      <c r="I380" s="67">
        <v>0.46054347337264101</v>
      </c>
      <c r="J380" s="67">
        <v>3.66982803259131</v>
      </c>
      <c r="K380" s="65">
        <v>97</v>
      </c>
      <c r="L380" s="65">
        <v>24</v>
      </c>
      <c r="M380" s="66">
        <v>5.9782608695652197E-2</v>
      </c>
      <c r="N380" s="67">
        <v>1522.07939394711</v>
      </c>
      <c r="O380" s="67">
        <v>138.37085399519199</v>
      </c>
      <c r="P380" s="67">
        <v>84.739999100565896</v>
      </c>
      <c r="Q380" s="77">
        <v>5.5673836356732398E-2</v>
      </c>
    </row>
    <row r="381" spans="1:17" x14ac:dyDescent="0.35">
      <c r="A381" s="76" t="s">
        <v>136</v>
      </c>
      <c r="B381" s="63">
        <v>736499</v>
      </c>
      <c r="C381" s="63" t="s">
        <v>140</v>
      </c>
      <c r="D381" s="64">
        <v>42677</v>
      </c>
      <c r="E381" s="63" t="s">
        <v>138</v>
      </c>
      <c r="F381" s="65">
        <v>59713</v>
      </c>
      <c r="G381" s="66">
        <v>7.8198465726305403E-3</v>
      </c>
      <c r="H381" s="65">
        <v>357</v>
      </c>
      <c r="I381" s="67">
        <v>0.46392404448382502</v>
      </c>
      <c r="J381" s="67">
        <v>3.6278148492177298</v>
      </c>
      <c r="K381" s="65">
        <v>66</v>
      </c>
      <c r="L381" s="65">
        <v>12</v>
      </c>
      <c r="M381" s="66">
        <v>5.6962025316455701E-2</v>
      </c>
      <c r="N381" s="67">
        <v>497.96684254349299</v>
      </c>
      <c r="O381" s="67">
        <v>55.329649171499199</v>
      </c>
      <c r="P381" s="67">
        <v>73.299999028444304</v>
      </c>
      <c r="Q381" s="77">
        <v>0.147198553731099</v>
      </c>
    </row>
    <row r="382" spans="1:17" x14ac:dyDescent="0.35">
      <c r="A382" s="76" t="s">
        <v>136</v>
      </c>
      <c r="B382" s="63">
        <v>736499</v>
      </c>
      <c r="C382" s="63" t="s">
        <v>140</v>
      </c>
      <c r="D382" s="64">
        <v>42678</v>
      </c>
      <c r="E382" s="63" t="s">
        <v>138</v>
      </c>
      <c r="F382" s="65">
        <v>7033</v>
      </c>
      <c r="G382" s="66">
        <v>6.3220813057971604E-3</v>
      </c>
      <c r="H382" s="65">
        <v>557</v>
      </c>
      <c r="I382" s="67">
        <v>0.47424241774009901</v>
      </c>
      <c r="J382" s="67">
        <v>2.9981991236107302</v>
      </c>
      <c r="K382" s="65">
        <v>75</v>
      </c>
      <c r="L382" s="65">
        <v>19</v>
      </c>
      <c r="M382" s="66">
        <v>1.8181818181818198E-2</v>
      </c>
      <c r="N382" s="67">
        <v>147.970156772434</v>
      </c>
      <c r="O382" s="67">
        <v>49.323385590811398</v>
      </c>
      <c r="P382" s="67">
        <v>78.249998927116394</v>
      </c>
      <c r="Q382" s="77">
        <v>0.52882284261858503</v>
      </c>
    </row>
    <row r="383" spans="1:17" x14ac:dyDescent="0.35">
      <c r="A383" s="76" t="s">
        <v>136</v>
      </c>
      <c r="B383" s="63">
        <v>658393</v>
      </c>
      <c r="C383" s="63" t="s">
        <v>141</v>
      </c>
      <c r="D383" s="64">
        <v>42552</v>
      </c>
      <c r="E383" s="63" t="s">
        <v>138</v>
      </c>
      <c r="F383" s="65">
        <v>63759</v>
      </c>
      <c r="G383" s="66">
        <v>9.7601715813454698E-3</v>
      </c>
      <c r="H383" s="65">
        <v>259</v>
      </c>
      <c r="I383" s="67">
        <v>0.211470898704816</v>
      </c>
      <c r="J383" s="67">
        <v>2.0639922558203301</v>
      </c>
      <c r="K383" s="65">
        <v>36</v>
      </c>
      <c r="L383" s="65">
        <v>41</v>
      </c>
      <c r="M383" s="66">
        <v>5.8227848101265797E-3</v>
      </c>
      <c r="N383" s="67">
        <v>2946.8407038635</v>
      </c>
      <c r="O383" s="67">
        <v>128.12350886363001</v>
      </c>
      <c r="P383" s="67">
        <v>835.31004988402105</v>
      </c>
      <c r="Q383" s="77">
        <v>0.28345951947415299</v>
      </c>
    </row>
    <row r="384" spans="1:17" x14ac:dyDescent="0.35">
      <c r="A384" s="76" t="s">
        <v>136</v>
      </c>
      <c r="B384" s="63">
        <v>658393</v>
      </c>
      <c r="C384" s="63" t="s">
        <v>141</v>
      </c>
      <c r="D384" s="64">
        <v>42553</v>
      </c>
      <c r="E384" s="63" t="s">
        <v>138</v>
      </c>
      <c r="F384" s="65">
        <v>6797</v>
      </c>
      <c r="G384" s="66">
        <v>8.7242159653152206E-3</v>
      </c>
      <c r="H384" s="65">
        <v>578</v>
      </c>
      <c r="I384" s="67">
        <v>0.20625967871377199</v>
      </c>
      <c r="J384" s="67">
        <v>1.79945398203547</v>
      </c>
      <c r="K384" s="65">
        <v>82</v>
      </c>
      <c r="L384" s="65">
        <v>35</v>
      </c>
      <c r="M384" s="66">
        <v>5.80110497237569E-3</v>
      </c>
      <c r="N384" s="67">
        <v>1435.7334156417201</v>
      </c>
      <c r="O384" s="67">
        <v>68.368257887701006</v>
      </c>
      <c r="P384" s="67">
        <v>746.66003694385302</v>
      </c>
      <c r="Q384" s="77">
        <v>0.52005478789397896</v>
      </c>
    </row>
    <row r="385" spans="1:17" x14ac:dyDescent="0.35">
      <c r="A385" s="76" t="s">
        <v>136</v>
      </c>
      <c r="B385" s="63">
        <v>658393</v>
      </c>
      <c r="C385" s="63" t="s">
        <v>141</v>
      </c>
      <c r="D385" s="64">
        <v>42554</v>
      </c>
      <c r="E385" s="63" t="s">
        <v>138</v>
      </c>
      <c r="F385" s="65">
        <v>8358</v>
      </c>
      <c r="G385" s="66">
        <v>8.6760765682401993E-3</v>
      </c>
      <c r="H385" s="65">
        <v>261</v>
      </c>
      <c r="I385" s="67">
        <v>0.193403382351238</v>
      </c>
      <c r="J385" s="67">
        <v>1.6779825538359801</v>
      </c>
      <c r="K385" s="65">
        <v>15</v>
      </c>
      <c r="L385" s="65">
        <v>27</v>
      </c>
      <c r="M385" s="66">
        <v>4.1388092964024202E-3</v>
      </c>
      <c r="N385" s="67">
        <v>1493.7764861134699</v>
      </c>
      <c r="O385" s="67">
        <v>114.90588354719</v>
      </c>
      <c r="P385" s="67">
        <v>607.48002396523998</v>
      </c>
      <c r="Q385" s="77">
        <v>0.40667397673784</v>
      </c>
    </row>
    <row r="386" spans="1:17" x14ac:dyDescent="0.35">
      <c r="A386" s="76" t="s">
        <v>136</v>
      </c>
      <c r="B386" s="63">
        <v>658393</v>
      </c>
      <c r="C386" s="63" t="s">
        <v>141</v>
      </c>
      <c r="D386" s="64">
        <v>42555</v>
      </c>
      <c r="E386" s="63" t="s">
        <v>138</v>
      </c>
      <c r="F386" s="65">
        <v>54947</v>
      </c>
      <c r="G386" s="66">
        <v>9.0411641550524093E-3</v>
      </c>
      <c r="H386" s="65">
        <v>164</v>
      </c>
      <c r="I386" s="67">
        <v>0.19317466894974</v>
      </c>
      <c r="J386" s="67">
        <v>1.7465238925725</v>
      </c>
      <c r="K386" s="65">
        <v>62</v>
      </c>
      <c r="L386" s="65">
        <v>24</v>
      </c>
      <c r="M386" s="66">
        <v>4.6528274874731599E-3</v>
      </c>
      <c r="N386" s="67">
        <v>1675.03676446227</v>
      </c>
      <c r="O386" s="67">
        <v>128.848981881713</v>
      </c>
      <c r="P386" s="67">
        <v>539.73002504557405</v>
      </c>
      <c r="Q386" s="77">
        <v>0.32221980824333901</v>
      </c>
    </row>
    <row r="387" spans="1:17" x14ac:dyDescent="0.35">
      <c r="A387" s="76" t="s">
        <v>136</v>
      </c>
      <c r="B387" s="63">
        <v>658393</v>
      </c>
      <c r="C387" s="63" t="s">
        <v>141</v>
      </c>
      <c r="D387" s="64">
        <v>42556</v>
      </c>
      <c r="E387" s="63" t="s">
        <v>138</v>
      </c>
      <c r="F387" s="65">
        <v>55815</v>
      </c>
      <c r="G387" s="66">
        <v>1.01152240854387E-2</v>
      </c>
      <c r="H387" s="65">
        <v>329</v>
      </c>
      <c r="I387" s="67">
        <v>0.20254187417061001</v>
      </c>
      <c r="J387" s="67">
        <v>2.0487564439204502</v>
      </c>
      <c r="K387" s="65">
        <v>77</v>
      </c>
      <c r="L387" s="65">
        <v>28</v>
      </c>
      <c r="M387" s="66">
        <v>6.8699012451696002E-3</v>
      </c>
      <c r="N387" s="67">
        <v>1131.25594919993</v>
      </c>
      <c r="O387" s="67">
        <v>70.703496824995398</v>
      </c>
      <c r="P387" s="67">
        <v>471.72002494335197</v>
      </c>
      <c r="Q387" s="77">
        <v>0.41698788437486001</v>
      </c>
    </row>
    <row r="388" spans="1:17" x14ac:dyDescent="0.35">
      <c r="A388" s="76" t="s">
        <v>136</v>
      </c>
      <c r="B388" s="63">
        <v>658393</v>
      </c>
      <c r="C388" s="63" t="s">
        <v>141</v>
      </c>
      <c r="D388" s="64">
        <v>42557</v>
      </c>
      <c r="E388" s="63" t="s">
        <v>138</v>
      </c>
      <c r="F388" s="65">
        <v>10522</v>
      </c>
      <c r="G388" s="66">
        <v>9.6599219892735191E-3</v>
      </c>
      <c r="H388" s="65">
        <v>241</v>
      </c>
      <c r="I388" s="67">
        <v>0.20489661001214801</v>
      </c>
      <c r="J388" s="67">
        <v>1.9792852685839499</v>
      </c>
      <c r="K388" s="65">
        <v>11</v>
      </c>
      <c r="L388" s="65">
        <v>21</v>
      </c>
      <c r="M388" s="66">
        <v>4.9071153172099502E-3</v>
      </c>
      <c r="N388" s="67">
        <v>2026.2771106568</v>
      </c>
      <c r="O388" s="67">
        <v>144.734079332628</v>
      </c>
      <c r="P388" s="67">
        <v>584.57002836465801</v>
      </c>
      <c r="Q388" s="77">
        <v>0.28849461176372698</v>
      </c>
    </row>
    <row r="389" spans="1:17" x14ac:dyDescent="0.35">
      <c r="A389" s="76" t="s">
        <v>136</v>
      </c>
      <c r="B389" s="63">
        <v>658393</v>
      </c>
      <c r="C389" s="63" t="s">
        <v>141</v>
      </c>
      <c r="D389" s="64">
        <v>42558</v>
      </c>
      <c r="E389" s="63" t="s">
        <v>138</v>
      </c>
      <c r="F389" s="65">
        <v>68333</v>
      </c>
      <c r="G389" s="66">
        <v>1.11050622015905E-2</v>
      </c>
      <c r="H389" s="65">
        <v>184</v>
      </c>
      <c r="I389" s="67">
        <v>0.202159668037279</v>
      </c>
      <c r="J389" s="67">
        <v>2.24499568820687</v>
      </c>
      <c r="K389" s="65">
        <v>63</v>
      </c>
      <c r="L389" s="65">
        <v>22</v>
      </c>
      <c r="M389" s="66">
        <v>4.9685326266975796E-3</v>
      </c>
      <c r="N389" s="67">
        <v>2081.0787699815901</v>
      </c>
      <c r="O389" s="67">
        <v>138.73858466543899</v>
      </c>
      <c r="P389" s="67">
        <v>610.32003780454397</v>
      </c>
      <c r="Q389" s="77">
        <v>0.293270993202215</v>
      </c>
    </row>
    <row r="390" spans="1:17" x14ac:dyDescent="0.35">
      <c r="A390" s="76" t="s">
        <v>136</v>
      </c>
      <c r="B390" s="63">
        <v>658393</v>
      </c>
      <c r="C390" s="63" t="s">
        <v>141</v>
      </c>
      <c r="D390" s="64">
        <v>42559</v>
      </c>
      <c r="E390" s="63" t="s">
        <v>138</v>
      </c>
      <c r="F390" s="65">
        <v>9271</v>
      </c>
      <c r="G390" s="66">
        <v>1.00769966688567E-2</v>
      </c>
      <c r="H390" s="65">
        <v>580</v>
      </c>
      <c r="I390" s="67">
        <v>0.20526452269857901</v>
      </c>
      <c r="J390" s="67">
        <v>2.0684499114680399</v>
      </c>
      <c r="K390" s="65">
        <v>35</v>
      </c>
      <c r="L390" s="65">
        <v>21</v>
      </c>
      <c r="M390" s="66">
        <v>3.4315127251930201E-3</v>
      </c>
      <c r="N390" s="67">
        <v>1408.33261895277</v>
      </c>
      <c r="O390" s="67">
        <v>117.361051579397</v>
      </c>
      <c r="P390" s="67">
        <v>717.81003587692999</v>
      </c>
      <c r="Q390" s="77">
        <v>0.50968785797966698</v>
      </c>
    </row>
    <row r="391" spans="1:17" x14ac:dyDescent="0.35">
      <c r="A391" s="76" t="s">
        <v>136</v>
      </c>
      <c r="B391" s="63">
        <v>658393</v>
      </c>
      <c r="C391" s="63" t="s">
        <v>141</v>
      </c>
      <c r="D391" s="64">
        <v>42560</v>
      </c>
      <c r="E391" s="63" t="s">
        <v>138</v>
      </c>
      <c r="F391" s="65">
        <v>7172</v>
      </c>
      <c r="G391" s="66">
        <v>9.4859539602028895E-3</v>
      </c>
      <c r="H391" s="65">
        <v>197</v>
      </c>
      <c r="I391" s="67">
        <v>0.20884605455623301</v>
      </c>
      <c r="J391" s="67">
        <v>1.98110405829045</v>
      </c>
      <c r="K391" s="65">
        <v>55</v>
      </c>
      <c r="L391" s="65">
        <v>27</v>
      </c>
      <c r="M391" s="66">
        <v>4.2844901456726703E-3</v>
      </c>
      <c r="N391" s="67">
        <v>1124.81631716632</v>
      </c>
      <c r="O391" s="67">
        <v>74.987754477754507</v>
      </c>
      <c r="P391" s="67">
        <v>731.17003700137104</v>
      </c>
      <c r="Q391" s="77">
        <v>0.65003505536207395</v>
      </c>
    </row>
    <row r="392" spans="1:17" x14ac:dyDescent="0.35">
      <c r="A392" s="76" t="s">
        <v>136</v>
      </c>
      <c r="B392" s="63">
        <v>658393</v>
      </c>
      <c r="C392" s="63" t="s">
        <v>141</v>
      </c>
      <c r="D392" s="64">
        <v>42561</v>
      </c>
      <c r="E392" s="63" t="s">
        <v>138</v>
      </c>
      <c r="F392" s="65">
        <v>39945</v>
      </c>
      <c r="G392" s="66">
        <v>1.02603552406013E-2</v>
      </c>
      <c r="H392" s="65">
        <v>570</v>
      </c>
      <c r="I392" s="67">
        <v>0.21510179763680201</v>
      </c>
      <c r="J392" s="67">
        <v>2.2070208566455101</v>
      </c>
      <c r="K392" s="65">
        <v>20</v>
      </c>
      <c r="L392" s="65">
        <v>28</v>
      </c>
      <c r="M392" s="66">
        <v>4.9652432969215501E-3</v>
      </c>
      <c r="N392" s="67">
        <v>2366.1077134868301</v>
      </c>
      <c r="O392" s="67">
        <v>118.305385674341</v>
      </c>
      <c r="P392" s="67">
        <v>866.43004088103805</v>
      </c>
      <c r="Q392" s="77">
        <v>0.36618368468281498</v>
      </c>
    </row>
    <row r="393" spans="1:17" x14ac:dyDescent="0.35">
      <c r="A393" s="76" t="s">
        <v>136</v>
      </c>
      <c r="B393" s="63">
        <v>658393</v>
      </c>
      <c r="C393" s="63" t="s">
        <v>141</v>
      </c>
      <c r="D393" s="64">
        <v>42562</v>
      </c>
      <c r="E393" s="63" t="s">
        <v>138</v>
      </c>
      <c r="F393" s="65">
        <v>33746</v>
      </c>
      <c r="G393" s="66">
        <v>9.8999577587543606E-3</v>
      </c>
      <c r="H393" s="65">
        <v>423</v>
      </c>
      <c r="I393" s="67">
        <v>0.21376182371712699</v>
      </c>
      <c r="J393" s="67">
        <v>2.1162330252338601</v>
      </c>
      <c r="K393" s="65">
        <v>69</v>
      </c>
      <c r="L393" s="65">
        <v>36</v>
      </c>
      <c r="M393" s="66">
        <v>4.5908722657304899E-3</v>
      </c>
      <c r="N393" s="67">
        <v>1758.4493209914001</v>
      </c>
      <c r="O393" s="67">
        <v>103.438195352436</v>
      </c>
      <c r="P393" s="67">
        <v>791.56003322452295</v>
      </c>
      <c r="Q393" s="77">
        <v>0.450146628495523</v>
      </c>
    </row>
    <row r="394" spans="1:17" x14ac:dyDescent="0.35">
      <c r="A394" s="76" t="s">
        <v>136</v>
      </c>
      <c r="B394" s="63">
        <v>658393</v>
      </c>
      <c r="C394" s="63" t="s">
        <v>141</v>
      </c>
      <c r="D394" s="64">
        <v>42563</v>
      </c>
      <c r="E394" s="63" t="s">
        <v>138</v>
      </c>
      <c r="F394" s="65">
        <v>63388</v>
      </c>
      <c r="G394" s="66">
        <v>1.10064656653991E-2</v>
      </c>
      <c r="H394" s="65">
        <v>370</v>
      </c>
      <c r="I394" s="67">
        <v>0.17733699324823099</v>
      </c>
      <c r="J394" s="67">
        <v>1.9518535273917601</v>
      </c>
      <c r="K394" s="65">
        <v>99</v>
      </c>
      <c r="L394" s="65">
        <v>19</v>
      </c>
      <c r="M394" s="66">
        <v>2.9585798816567999E-3</v>
      </c>
      <c r="N394" s="67">
        <v>654.20519894495999</v>
      </c>
      <c r="O394" s="67">
        <v>72.689466549439899</v>
      </c>
      <c r="P394" s="67">
        <v>539.45913346111797</v>
      </c>
      <c r="Q394" s="77">
        <v>0.82460233322985899</v>
      </c>
    </row>
    <row r="395" spans="1:17" x14ac:dyDescent="0.35">
      <c r="A395" s="76" t="s">
        <v>136</v>
      </c>
      <c r="B395" s="63">
        <v>658393</v>
      </c>
      <c r="C395" s="63" t="s">
        <v>141</v>
      </c>
      <c r="D395" s="64">
        <v>42564</v>
      </c>
      <c r="E395" s="63" t="s">
        <v>138</v>
      </c>
      <c r="F395" s="65">
        <v>33228</v>
      </c>
      <c r="G395" s="66">
        <v>1.18962265443403E-2</v>
      </c>
      <c r="H395" s="65">
        <v>278</v>
      </c>
      <c r="I395" s="67">
        <v>0.153910945521778</v>
      </c>
      <c r="J395" s="67">
        <v>1.8309594755806899</v>
      </c>
      <c r="K395" s="65">
        <v>76</v>
      </c>
      <c r="L395" s="65">
        <v>24</v>
      </c>
      <c r="M395" s="66">
        <v>4.9904030710172702E-3</v>
      </c>
      <c r="N395" s="67">
        <v>1236.9694818178</v>
      </c>
      <c r="O395" s="67">
        <v>95.151498601369397</v>
      </c>
      <c r="P395" s="67">
        <v>400.93801308423298</v>
      </c>
      <c r="Q395" s="77">
        <v>0.32412926832683903</v>
      </c>
    </row>
    <row r="396" spans="1:17" x14ac:dyDescent="0.35">
      <c r="A396" s="76" t="s">
        <v>136</v>
      </c>
      <c r="B396" s="63">
        <v>658393</v>
      </c>
      <c r="C396" s="63" t="s">
        <v>141</v>
      </c>
      <c r="D396" s="64">
        <v>42565</v>
      </c>
      <c r="E396" s="63" t="s">
        <v>138</v>
      </c>
      <c r="F396" s="65">
        <v>27766</v>
      </c>
      <c r="G396" s="66">
        <v>1.2684036248691299E-2</v>
      </c>
      <c r="H396" s="65">
        <v>492</v>
      </c>
      <c r="I396" s="67">
        <v>0.15400474284014901</v>
      </c>
      <c r="J396" s="67">
        <v>1.9534017406548301</v>
      </c>
      <c r="K396" s="65">
        <v>56</v>
      </c>
      <c r="L396" s="65">
        <v>20</v>
      </c>
      <c r="M396" s="66">
        <v>5.5292259083728297E-3</v>
      </c>
      <c r="N396" s="67">
        <v>1217.1319992378001</v>
      </c>
      <c r="O396" s="67">
        <v>86.937999945557294</v>
      </c>
      <c r="P396" s="67">
        <v>389.94000887125702</v>
      </c>
      <c r="Q396" s="77">
        <v>0.32037610474085598</v>
      </c>
    </row>
    <row r="397" spans="1:17" x14ac:dyDescent="0.35">
      <c r="A397" s="76" t="s">
        <v>136</v>
      </c>
      <c r="B397" s="63">
        <v>658393</v>
      </c>
      <c r="C397" s="63" t="s">
        <v>141</v>
      </c>
      <c r="D397" s="64">
        <v>42566</v>
      </c>
      <c r="E397" s="63" t="s">
        <v>138</v>
      </c>
      <c r="F397" s="65">
        <v>64481</v>
      </c>
      <c r="G397" s="66">
        <v>1.18666160962233E-2</v>
      </c>
      <c r="H397" s="65">
        <v>429</v>
      </c>
      <c r="I397" s="67">
        <v>0.14988244229942699</v>
      </c>
      <c r="J397" s="67">
        <v>1.77859740233165</v>
      </c>
      <c r="K397" s="65">
        <v>73</v>
      </c>
      <c r="L397" s="65">
        <v>27</v>
      </c>
      <c r="M397" s="66">
        <v>4.0411462160176298E-3</v>
      </c>
      <c r="N397" s="67">
        <v>1119.1114158079699</v>
      </c>
      <c r="O397" s="67">
        <v>101.737401437088</v>
      </c>
      <c r="P397" s="67">
        <v>407.980007939041</v>
      </c>
      <c r="Q397" s="77">
        <v>0.36455709608188502</v>
      </c>
    </row>
    <row r="398" spans="1:17" x14ac:dyDescent="0.35">
      <c r="A398" s="76" t="s">
        <v>136</v>
      </c>
      <c r="B398" s="63">
        <v>658393</v>
      </c>
      <c r="C398" s="63" t="s">
        <v>141</v>
      </c>
      <c r="D398" s="64">
        <v>42567</v>
      </c>
      <c r="E398" s="63" t="s">
        <v>138</v>
      </c>
      <c r="F398" s="65">
        <v>325</v>
      </c>
      <c r="G398" s="66">
        <v>1.18318002039193E-2</v>
      </c>
      <c r="H398" s="65">
        <v>209</v>
      </c>
      <c r="I398" s="67">
        <v>0.140222541956146</v>
      </c>
      <c r="J398" s="67">
        <v>1.65908510051081</v>
      </c>
      <c r="K398" s="65">
        <v>92</v>
      </c>
      <c r="L398" s="65">
        <v>26</v>
      </c>
      <c r="M398" s="66">
        <v>5.6818181818181802E-3</v>
      </c>
      <c r="N398" s="67">
        <v>1676.8519671685201</v>
      </c>
      <c r="O398" s="67">
        <v>139.73766393071</v>
      </c>
      <c r="P398" s="67">
        <v>296.150008611381</v>
      </c>
      <c r="Q398" s="77">
        <v>0.176610705303612</v>
      </c>
    </row>
    <row r="399" spans="1:17" x14ac:dyDescent="0.35">
      <c r="A399" s="76" t="s">
        <v>136</v>
      </c>
      <c r="B399" s="63">
        <v>658393</v>
      </c>
      <c r="C399" s="63" t="s">
        <v>141</v>
      </c>
      <c r="D399" s="64">
        <v>42568</v>
      </c>
      <c r="E399" s="63" t="s">
        <v>138</v>
      </c>
      <c r="F399" s="65">
        <v>1144</v>
      </c>
      <c r="G399" s="66">
        <v>1.2129153349682601E-2</v>
      </c>
      <c r="H399" s="65">
        <v>574</v>
      </c>
      <c r="I399" s="67">
        <v>0.12204672060635</v>
      </c>
      <c r="J399" s="67">
        <v>1.4803233900602799</v>
      </c>
      <c r="K399" s="65">
        <v>59</v>
      </c>
      <c r="L399" s="65">
        <v>18</v>
      </c>
      <c r="M399" s="66">
        <v>6.5693430656934299E-3</v>
      </c>
      <c r="N399" s="67">
        <v>986.12671663421304</v>
      </c>
      <c r="O399" s="67">
        <v>109.569635181579</v>
      </c>
      <c r="P399" s="67">
        <v>167.20400723069901</v>
      </c>
      <c r="Q399" s="77">
        <v>0.16955630996530499</v>
      </c>
    </row>
    <row r="400" spans="1:17" x14ac:dyDescent="0.35">
      <c r="A400" s="76" t="s">
        <v>136</v>
      </c>
      <c r="B400" s="63">
        <v>658393</v>
      </c>
      <c r="C400" s="63" t="s">
        <v>141</v>
      </c>
      <c r="D400" s="64">
        <v>42569</v>
      </c>
      <c r="E400" s="63" t="s">
        <v>138</v>
      </c>
      <c r="F400" s="65">
        <v>9179</v>
      </c>
      <c r="G400" s="66">
        <v>1.35198401370254E-2</v>
      </c>
      <c r="H400" s="65">
        <v>472</v>
      </c>
      <c r="I400" s="67">
        <v>0.11956081746423</v>
      </c>
      <c r="J400" s="67">
        <v>1.6164431387684599</v>
      </c>
      <c r="K400" s="65">
        <v>67</v>
      </c>
      <c r="L400" s="65">
        <v>19</v>
      </c>
      <c r="M400" s="66">
        <v>2.53378378378378E-3</v>
      </c>
      <c r="N400" s="67">
        <v>115.56746543602701</v>
      </c>
      <c r="O400" s="67">
        <v>38.522488478675598</v>
      </c>
      <c r="P400" s="67">
        <v>141.56000787764799</v>
      </c>
      <c r="Q400" s="77">
        <v>1.2249122825663199</v>
      </c>
    </row>
    <row r="401" spans="1:17" x14ac:dyDescent="0.35">
      <c r="A401" s="76" t="s">
        <v>136</v>
      </c>
      <c r="B401" s="63">
        <v>658393</v>
      </c>
      <c r="C401" s="63" t="s">
        <v>141</v>
      </c>
      <c r="D401" s="64">
        <v>42570</v>
      </c>
      <c r="E401" s="63" t="s">
        <v>138</v>
      </c>
      <c r="F401" s="65">
        <v>49218</v>
      </c>
      <c r="G401" s="66">
        <v>1.5586968024794E-2</v>
      </c>
      <c r="H401" s="65">
        <v>598</v>
      </c>
      <c r="I401" s="67">
        <v>0.118496609134482</v>
      </c>
      <c r="J401" s="67">
        <v>1.8470028576256901</v>
      </c>
      <c r="K401" s="65">
        <v>23</v>
      </c>
      <c r="L401" s="65">
        <v>17</v>
      </c>
      <c r="M401" s="66">
        <v>8.7293889427740093E-3</v>
      </c>
      <c r="N401" s="67">
        <v>1291.9007778703501</v>
      </c>
      <c r="O401" s="67">
        <v>143.544530874484</v>
      </c>
      <c r="P401" s="67">
        <v>122.170004017651</v>
      </c>
      <c r="Q401" s="77">
        <v>9.4566089060681105E-2</v>
      </c>
    </row>
    <row r="402" spans="1:17" x14ac:dyDescent="0.35">
      <c r="A402" s="76" t="s">
        <v>136</v>
      </c>
      <c r="B402" s="63">
        <v>658393</v>
      </c>
      <c r="C402" s="63" t="s">
        <v>141</v>
      </c>
      <c r="D402" s="64">
        <v>42571</v>
      </c>
      <c r="E402" s="63" t="s">
        <v>138</v>
      </c>
      <c r="F402" s="65">
        <v>14072</v>
      </c>
      <c r="G402" s="66">
        <v>1.6363308704270999E-2</v>
      </c>
      <c r="H402" s="65">
        <v>233</v>
      </c>
      <c r="I402" s="67">
        <v>0.12639868370203999</v>
      </c>
      <c r="J402" s="67">
        <v>2.06830068122999</v>
      </c>
      <c r="K402" s="65">
        <v>74</v>
      </c>
      <c r="L402" s="65">
        <v>23</v>
      </c>
      <c r="M402" s="66">
        <v>8.8105726872246704E-3</v>
      </c>
      <c r="N402" s="67">
        <v>613.88192649575501</v>
      </c>
      <c r="O402" s="67">
        <v>76.735240811969405</v>
      </c>
      <c r="P402" s="67">
        <v>114.770004801452</v>
      </c>
      <c r="Q402" s="77">
        <v>0.186957784303242</v>
      </c>
    </row>
    <row r="403" spans="1:17" x14ac:dyDescent="0.35">
      <c r="A403" s="76" t="s">
        <v>136</v>
      </c>
      <c r="B403" s="63">
        <v>658393</v>
      </c>
      <c r="C403" s="63" t="s">
        <v>141</v>
      </c>
      <c r="D403" s="64">
        <v>42572</v>
      </c>
      <c r="E403" s="63" t="s">
        <v>138</v>
      </c>
      <c r="F403" s="65">
        <v>3525</v>
      </c>
      <c r="G403" s="66">
        <v>1.8070365877019299E-2</v>
      </c>
      <c r="H403" s="65">
        <v>367</v>
      </c>
      <c r="I403" s="67">
        <v>0.128645471140339</v>
      </c>
      <c r="J403" s="67">
        <v>2.32467073192745</v>
      </c>
      <c r="K403" s="65">
        <v>41</v>
      </c>
      <c r="L403" s="65">
        <v>17</v>
      </c>
      <c r="M403" s="66">
        <v>9.4228504122496996E-3</v>
      </c>
      <c r="N403" s="67">
        <v>628.14417576993901</v>
      </c>
      <c r="O403" s="67">
        <v>78.518021971242305</v>
      </c>
      <c r="P403" s="67">
        <v>109.220004998147</v>
      </c>
      <c r="Q403" s="77">
        <v>0.17387728679370901</v>
      </c>
    </row>
    <row r="404" spans="1:17" x14ac:dyDescent="0.35">
      <c r="A404" s="76" t="s">
        <v>136</v>
      </c>
      <c r="B404" s="63">
        <v>658393</v>
      </c>
      <c r="C404" s="63" t="s">
        <v>141</v>
      </c>
      <c r="D404" s="64">
        <v>42573</v>
      </c>
      <c r="E404" s="63" t="s">
        <v>138</v>
      </c>
      <c r="F404" s="65">
        <v>30413</v>
      </c>
      <c r="G404" s="66">
        <v>1.66033999009738E-2</v>
      </c>
      <c r="H404" s="65">
        <v>497</v>
      </c>
      <c r="I404" s="67">
        <v>0.119155074453081</v>
      </c>
      <c r="J404" s="67">
        <v>1.97837935137481</v>
      </c>
      <c r="K404" s="65">
        <v>66</v>
      </c>
      <c r="L404" s="65">
        <v>22</v>
      </c>
      <c r="M404" s="66">
        <v>6.9582504970178904E-3</v>
      </c>
      <c r="N404" s="67">
        <v>891.52046036767695</v>
      </c>
      <c r="O404" s="67">
        <v>127.360065766811</v>
      </c>
      <c r="P404" s="67">
        <v>119.87000489979999</v>
      </c>
      <c r="Q404" s="77">
        <v>0.13445569701267801</v>
      </c>
    </row>
    <row r="405" spans="1:17" x14ac:dyDescent="0.35">
      <c r="A405" s="76" t="s">
        <v>136</v>
      </c>
      <c r="B405" s="63">
        <v>658393</v>
      </c>
      <c r="C405" s="63" t="s">
        <v>141</v>
      </c>
      <c r="D405" s="64">
        <v>42574</v>
      </c>
      <c r="E405" s="63" t="s">
        <v>138</v>
      </c>
      <c r="F405" s="65">
        <v>274</v>
      </c>
      <c r="G405" s="66">
        <v>1.68847615027438E-2</v>
      </c>
      <c r="H405" s="65">
        <v>357</v>
      </c>
      <c r="I405" s="67">
        <v>0.116340004533529</v>
      </c>
      <c r="J405" s="67">
        <v>1.96437322977677</v>
      </c>
      <c r="K405" s="65">
        <v>9</v>
      </c>
      <c r="L405" s="65">
        <v>17</v>
      </c>
      <c r="M405" s="66">
        <v>3.0000000000000001E-3</v>
      </c>
      <c r="N405" s="67">
        <v>279.62659489099701</v>
      </c>
      <c r="O405" s="67">
        <v>93.208864963665704</v>
      </c>
      <c r="P405" s="67">
        <v>116.340004533529</v>
      </c>
      <c r="Q405" s="77">
        <v>0.41605486266025798</v>
      </c>
    </row>
    <row r="406" spans="1:17" x14ac:dyDescent="0.35">
      <c r="A406" s="76" t="s">
        <v>136</v>
      </c>
      <c r="B406" s="63">
        <v>658393</v>
      </c>
      <c r="C406" s="63" t="s">
        <v>141</v>
      </c>
      <c r="D406" s="64">
        <v>42575</v>
      </c>
      <c r="E406" s="63" t="s">
        <v>138</v>
      </c>
      <c r="F406" s="65">
        <v>25495</v>
      </c>
      <c r="G406" s="66">
        <v>1.65963201245748E-2</v>
      </c>
      <c r="H406" s="65">
        <v>244</v>
      </c>
      <c r="I406" s="67">
        <v>9.8580248331950004E-2</v>
      </c>
      <c r="J406" s="67">
        <v>1.63606935927713</v>
      </c>
      <c r="K406" s="65">
        <v>86</v>
      </c>
      <c r="L406" s="65">
        <v>17</v>
      </c>
      <c r="M406" s="66">
        <v>6.17283950617284E-3</v>
      </c>
      <c r="N406" s="67">
        <v>335.89764879510102</v>
      </c>
      <c r="O406" s="67">
        <v>67.179529759020198</v>
      </c>
      <c r="P406" s="67">
        <v>79.8500011488795</v>
      </c>
      <c r="Q406" s="77">
        <v>0.237721226794262</v>
      </c>
    </row>
    <row r="407" spans="1:17" x14ac:dyDescent="0.35">
      <c r="A407" s="76" t="s">
        <v>136</v>
      </c>
      <c r="B407" s="63">
        <v>658393</v>
      </c>
      <c r="C407" s="63" t="s">
        <v>141</v>
      </c>
      <c r="D407" s="64">
        <v>42576</v>
      </c>
      <c r="E407" s="63" t="s">
        <v>138</v>
      </c>
      <c r="F407" s="65">
        <v>42015</v>
      </c>
      <c r="G407" s="66">
        <v>1.5764526640992E-2</v>
      </c>
      <c r="H407" s="65">
        <v>369</v>
      </c>
      <c r="I407" s="67">
        <v>9.5073825220933703E-2</v>
      </c>
      <c r="J407" s="67">
        <v>1.49879385055643</v>
      </c>
      <c r="K407" s="65">
        <v>50</v>
      </c>
      <c r="L407" s="65">
        <v>11</v>
      </c>
      <c r="M407" s="66">
        <v>2.6845637583892599E-3</v>
      </c>
      <c r="N407" s="67">
        <v>265.88296836676898</v>
      </c>
      <c r="O407" s="67">
        <v>132.941484183385</v>
      </c>
      <c r="P407" s="67">
        <v>70.829999789595604</v>
      </c>
      <c r="Q407" s="77">
        <v>0.26639540029465097</v>
      </c>
    </row>
    <row r="408" spans="1:17" x14ac:dyDescent="0.35">
      <c r="A408" s="76" t="s">
        <v>136</v>
      </c>
      <c r="B408" s="63">
        <v>658393</v>
      </c>
      <c r="C408" s="63" t="s">
        <v>141</v>
      </c>
      <c r="D408" s="64">
        <v>42577</v>
      </c>
      <c r="E408" s="63" t="s">
        <v>138</v>
      </c>
      <c r="F408" s="65">
        <v>57841</v>
      </c>
      <c r="G408" s="66">
        <v>1.58602836620848E-2</v>
      </c>
      <c r="H408" s="65">
        <v>236</v>
      </c>
      <c r="I408" s="67">
        <v>9.9850574358441399E-2</v>
      </c>
      <c r="J408" s="67">
        <v>1.5836584331469701</v>
      </c>
      <c r="K408" s="65">
        <v>91</v>
      </c>
      <c r="L408" s="65">
        <v>13</v>
      </c>
      <c r="M408" s="66">
        <v>1.03448275862069E-2</v>
      </c>
      <c r="N408" s="67">
        <v>973.59323843686298</v>
      </c>
      <c r="O408" s="67">
        <v>108.17702649298499</v>
      </c>
      <c r="P408" s="67">
        <v>86.869999691844001</v>
      </c>
      <c r="Q408" s="77">
        <v>8.9226173993686195E-2</v>
      </c>
    </row>
    <row r="409" spans="1:17" x14ac:dyDescent="0.35">
      <c r="A409" s="76" t="s">
        <v>136</v>
      </c>
      <c r="B409" s="63">
        <v>658393</v>
      </c>
      <c r="C409" s="63" t="s">
        <v>141</v>
      </c>
      <c r="D409" s="64">
        <v>42578</v>
      </c>
      <c r="E409" s="63" t="s">
        <v>138</v>
      </c>
      <c r="F409" s="65">
        <v>17101</v>
      </c>
      <c r="G409" s="66">
        <v>1.46626557799742E-2</v>
      </c>
      <c r="H409" s="65">
        <v>161</v>
      </c>
      <c r="I409" s="67">
        <v>9.9953105291056901E-2</v>
      </c>
      <c r="J409" s="67">
        <v>1.4655779770222901</v>
      </c>
      <c r="K409" s="65">
        <v>71</v>
      </c>
      <c r="L409" s="65">
        <v>11</v>
      </c>
      <c r="M409" s="66">
        <v>4.6893317702227403E-3</v>
      </c>
      <c r="N409" s="67">
        <v>659.04573619762402</v>
      </c>
      <c r="O409" s="67">
        <v>164.76143404940601</v>
      </c>
      <c r="P409" s="67">
        <v>85.259998813271494</v>
      </c>
      <c r="Q409" s="77">
        <v>0.129368864906373</v>
      </c>
    </row>
    <row r="410" spans="1:17" x14ac:dyDescent="0.35">
      <c r="A410" s="76" t="s">
        <v>136</v>
      </c>
      <c r="B410" s="63">
        <v>658393</v>
      </c>
      <c r="C410" s="63" t="s">
        <v>141</v>
      </c>
      <c r="D410" s="64">
        <v>42579</v>
      </c>
      <c r="E410" s="63" t="s">
        <v>138</v>
      </c>
      <c r="F410" s="65">
        <v>7830</v>
      </c>
      <c r="G410" s="66">
        <v>1.59595843619037E-2</v>
      </c>
      <c r="H410" s="65">
        <v>323</v>
      </c>
      <c r="I410" s="67">
        <v>0.100743405726388</v>
      </c>
      <c r="J410" s="67">
        <v>1.6078228825957701</v>
      </c>
      <c r="K410" s="65">
        <v>32</v>
      </c>
      <c r="L410" s="65">
        <v>12</v>
      </c>
      <c r="M410" s="66">
        <v>8.3932853717026395E-3</v>
      </c>
      <c r="N410" s="67">
        <v>633.63298733836803</v>
      </c>
      <c r="O410" s="67">
        <v>90.518998191195394</v>
      </c>
      <c r="P410" s="67">
        <v>84.0200003758073</v>
      </c>
      <c r="Q410" s="77">
        <v>0.13260042020340601</v>
      </c>
    </row>
    <row r="411" spans="1:17" x14ac:dyDescent="0.35">
      <c r="A411" s="76" t="s">
        <v>136</v>
      </c>
      <c r="B411" s="63">
        <v>658393</v>
      </c>
      <c r="C411" s="63" t="s">
        <v>141</v>
      </c>
      <c r="D411" s="64">
        <v>42580</v>
      </c>
      <c r="E411" s="63" t="s">
        <v>138</v>
      </c>
      <c r="F411" s="65">
        <v>10679</v>
      </c>
      <c r="G411" s="66">
        <v>1.5786581405805099E-2</v>
      </c>
      <c r="H411" s="65">
        <v>572</v>
      </c>
      <c r="I411" s="67">
        <v>0.100168775114769</v>
      </c>
      <c r="J411" s="67">
        <v>1.5813225226690799</v>
      </c>
      <c r="K411" s="65">
        <v>94</v>
      </c>
      <c r="L411" s="65">
        <v>9</v>
      </c>
      <c r="M411" s="66">
        <v>3.1645569620253199E-3</v>
      </c>
      <c r="N411" s="67">
        <v>319.344801420122</v>
      </c>
      <c r="O411" s="67">
        <v>106.448267140041</v>
      </c>
      <c r="P411" s="67">
        <v>94.959998808801203</v>
      </c>
      <c r="Q411" s="77">
        <v>0.29735883717697997</v>
      </c>
    </row>
    <row r="412" spans="1:17" x14ac:dyDescent="0.35">
      <c r="A412" s="76" t="s">
        <v>136</v>
      </c>
      <c r="B412" s="63">
        <v>658393</v>
      </c>
      <c r="C412" s="63" t="s">
        <v>141</v>
      </c>
      <c r="D412" s="64">
        <v>42581</v>
      </c>
      <c r="E412" s="63" t="s">
        <v>138</v>
      </c>
      <c r="F412" s="65">
        <v>13162</v>
      </c>
      <c r="G412" s="66">
        <v>1.37131998411708E-2</v>
      </c>
      <c r="H412" s="65">
        <v>483</v>
      </c>
      <c r="I412" s="67">
        <v>0.10900724214629801</v>
      </c>
      <c r="J412" s="67">
        <v>1.4948380956870799</v>
      </c>
      <c r="K412" s="65">
        <v>23</v>
      </c>
      <c r="L412" s="65">
        <v>11</v>
      </c>
      <c r="M412" s="66">
        <v>5.1706308169596699E-3</v>
      </c>
      <c r="N412" s="67">
        <v>468.06120792124801</v>
      </c>
      <c r="O412" s="67">
        <v>93.612241584249603</v>
      </c>
      <c r="P412" s="67">
        <v>105.41000315546999</v>
      </c>
      <c r="Q412" s="77">
        <v>0.225205595703213</v>
      </c>
    </row>
    <row r="413" spans="1:17" x14ac:dyDescent="0.35">
      <c r="A413" s="76" t="s">
        <v>136</v>
      </c>
      <c r="B413" s="63">
        <v>658393</v>
      </c>
      <c r="C413" s="63" t="s">
        <v>141</v>
      </c>
      <c r="D413" s="64">
        <v>42582</v>
      </c>
      <c r="E413" s="63" t="s">
        <v>138</v>
      </c>
      <c r="F413" s="65">
        <v>29373</v>
      </c>
      <c r="G413" s="66">
        <v>1.39024742234979E-2</v>
      </c>
      <c r="H413" s="65">
        <v>212</v>
      </c>
      <c r="I413" s="67">
        <v>0.11042676192322699</v>
      </c>
      <c r="J413" s="67">
        <v>1.535205211222</v>
      </c>
      <c r="K413" s="65">
        <v>64</v>
      </c>
      <c r="L413" s="65">
        <v>9</v>
      </c>
      <c r="M413" s="66">
        <v>3.4602076124567501E-3</v>
      </c>
      <c r="N413" s="67">
        <v>634.84311588118203</v>
      </c>
      <c r="O413" s="67">
        <v>211.61437196039401</v>
      </c>
      <c r="P413" s="67">
        <v>95.740002587437601</v>
      </c>
      <c r="Q413" s="77">
        <v>0.15080891671093799</v>
      </c>
    </row>
    <row r="414" spans="1:17" x14ac:dyDescent="0.35">
      <c r="A414" s="76" t="s">
        <v>136</v>
      </c>
      <c r="B414" s="63">
        <v>658393</v>
      </c>
      <c r="C414" s="63" t="s">
        <v>141</v>
      </c>
      <c r="D414" s="64">
        <v>42583</v>
      </c>
      <c r="E414" s="63" t="s">
        <v>138</v>
      </c>
      <c r="F414" s="65">
        <v>12240</v>
      </c>
      <c r="G414" s="66">
        <v>1.5699057351775202E-2</v>
      </c>
      <c r="H414" s="65">
        <v>351</v>
      </c>
      <c r="I414" s="67">
        <v>0.111672282812638</v>
      </c>
      <c r="J414" s="67">
        <v>1.7531495724792601</v>
      </c>
      <c r="K414" s="65">
        <v>34</v>
      </c>
      <c r="L414" s="65">
        <v>12</v>
      </c>
      <c r="M414" s="66">
        <v>5.6116722783389403E-3</v>
      </c>
      <c r="N414" s="67">
        <v>284.23003768855102</v>
      </c>
      <c r="O414" s="67">
        <v>56.8460075377102</v>
      </c>
      <c r="P414" s="67">
        <v>99.500003986060605</v>
      </c>
      <c r="Q414" s="77">
        <v>0.35006857401570302</v>
      </c>
    </row>
    <row r="415" spans="1:17" x14ac:dyDescent="0.35">
      <c r="A415" s="76" t="s">
        <v>136</v>
      </c>
      <c r="B415" s="63">
        <v>658393</v>
      </c>
      <c r="C415" s="63" t="s">
        <v>141</v>
      </c>
      <c r="D415" s="64">
        <v>42584</v>
      </c>
      <c r="E415" s="63" t="s">
        <v>138</v>
      </c>
      <c r="F415" s="65">
        <v>35999</v>
      </c>
      <c r="G415" s="66">
        <v>1.33958965866225E-2</v>
      </c>
      <c r="H415" s="65">
        <v>468</v>
      </c>
      <c r="I415" s="67">
        <v>0.110384618750886</v>
      </c>
      <c r="J415" s="67">
        <v>1.4787009375406199</v>
      </c>
      <c r="K415" s="65">
        <v>41</v>
      </c>
      <c r="L415" s="65">
        <v>9</v>
      </c>
      <c r="M415" s="66">
        <v>8.2417582417582402E-3</v>
      </c>
      <c r="N415" s="67">
        <v>600.87947644823896</v>
      </c>
      <c r="O415" s="67">
        <v>100.14657940804</v>
      </c>
      <c r="P415" s="67">
        <v>80.360002450644998</v>
      </c>
      <c r="Q415" s="77">
        <v>0.13373730606618101</v>
      </c>
    </row>
    <row r="416" spans="1:17" x14ac:dyDescent="0.35">
      <c r="A416" s="76" t="s">
        <v>136</v>
      </c>
      <c r="B416" s="63">
        <v>658393</v>
      </c>
      <c r="C416" s="63" t="s">
        <v>141</v>
      </c>
      <c r="D416" s="64">
        <v>42585</v>
      </c>
      <c r="E416" s="63" t="s">
        <v>138</v>
      </c>
      <c r="F416" s="65">
        <v>53815</v>
      </c>
      <c r="G416" s="66">
        <v>1.50650098354364E-2</v>
      </c>
      <c r="H416" s="65">
        <v>157</v>
      </c>
      <c r="I416" s="67">
        <v>0.112452232688191</v>
      </c>
      <c r="J416" s="67">
        <v>1.69409399146437</v>
      </c>
      <c r="K416" s="65">
        <v>72</v>
      </c>
      <c r="L416" s="65">
        <v>5</v>
      </c>
      <c r="M416" s="66">
        <v>4.7770700636942699E-3</v>
      </c>
      <c r="N416" s="67">
        <v>251.37954671787099</v>
      </c>
      <c r="O416" s="67">
        <v>83.793182239290203</v>
      </c>
      <c r="P416" s="67">
        <v>70.620002128183799</v>
      </c>
      <c r="Q416" s="77">
        <v>0.28092978545880798</v>
      </c>
    </row>
    <row r="417" spans="1:17" x14ac:dyDescent="0.35">
      <c r="A417" s="76" t="s">
        <v>136</v>
      </c>
      <c r="B417" s="63">
        <v>658393</v>
      </c>
      <c r="C417" s="63" t="s">
        <v>141</v>
      </c>
      <c r="D417" s="64">
        <v>42586</v>
      </c>
      <c r="E417" s="63" t="s">
        <v>138</v>
      </c>
      <c r="F417" s="65">
        <v>65148</v>
      </c>
      <c r="G417" s="66">
        <v>1.7173491640416799E-2</v>
      </c>
      <c r="H417" s="65">
        <v>594</v>
      </c>
      <c r="I417" s="67">
        <v>0.111375665249438</v>
      </c>
      <c r="J417" s="67">
        <v>1.9127090561070701</v>
      </c>
      <c r="K417" s="65">
        <v>8</v>
      </c>
      <c r="L417" s="65">
        <v>7</v>
      </c>
      <c r="M417" s="66">
        <v>3.5273368606701899E-3</v>
      </c>
      <c r="N417" s="67">
        <v>155.026724799417</v>
      </c>
      <c r="O417" s="67">
        <v>77.513362399708299</v>
      </c>
      <c r="P417" s="67">
        <v>63.150002196431203</v>
      </c>
      <c r="Q417" s="77">
        <v>0.407349134661386</v>
      </c>
    </row>
    <row r="418" spans="1:17" x14ac:dyDescent="0.35">
      <c r="A418" s="76" t="s">
        <v>136</v>
      </c>
      <c r="B418" s="63">
        <v>658393</v>
      </c>
      <c r="C418" s="63" t="s">
        <v>141</v>
      </c>
      <c r="D418" s="64">
        <v>42587</v>
      </c>
      <c r="E418" s="63" t="s">
        <v>138</v>
      </c>
      <c r="F418" s="65">
        <v>8354</v>
      </c>
      <c r="G418" s="66">
        <v>1.58489943042677E-2</v>
      </c>
      <c r="H418" s="65">
        <v>552</v>
      </c>
      <c r="I418" s="67">
        <v>0.111979171038709</v>
      </c>
      <c r="J418" s="67">
        <v>1.7747572439891099</v>
      </c>
      <c r="K418" s="65">
        <v>57</v>
      </c>
      <c r="L418" s="65">
        <v>15</v>
      </c>
      <c r="M418" s="66">
        <v>5.2083333333333296E-3</v>
      </c>
      <c r="N418" s="67">
        <v>129.93619655366399</v>
      </c>
      <c r="O418" s="67">
        <v>43.312065517888001</v>
      </c>
      <c r="P418" s="67">
        <v>64.500002518296199</v>
      </c>
      <c r="Q418" s="77">
        <v>0.49639749530191601</v>
      </c>
    </row>
    <row r="419" spans="1:17" x14ac:dyDescent="0.35">
      <c r="A419" s="76" t="s">
        <v>136</v>
      </c>
      <c r="B419" s="63">
        <v>658393</v>
      </c>
      <c r="C419" s="63" t="s">
        <v>141</v>
      </c>
      <c r="D419" s="64">
        <v>42588</v>
      </c>
      <c r="E419" s="63" t="s">
        <v>138</v>
      </c>
      <c r="F419" s="65">
        <v>23861</v>
      </c>
      <c r="G419" s="66">
        <v>1.7177314211212501E-2</v>
      </c>
      <c r="H419" s="65">
        <v>279</v>
      </c>
      <c r="I419" s="67">
        <v>0.110246681228308</v>
      </c>
      <c r="J419" s="67">
        <v>1.8937418842020399</v>
      </c>
      <c r="K419" s="65">
        <v>97</v>
      </c>
      <c r="L419" s="65">
        <v>8</v>
      </c>
      <c r="M419" s="66">
        <v>3.79506641366224E-3</v>
      </c>
      <c r="N419" s="67">
        <v>287.592684447632</v>
      </c>
      <c r="O419" s="67">
        <v>143.796342223816</v>
      </c>
      <c r="P419" s="67">
        <v>58.100001007318497</v>
      </c>
      <c r="Q419" s="77">
        <v>0.202021832088354</v>
      </c>
    </row>
    <row r="420" spans="1:17" x14ac:dyDescent="0.35">
      <c r="A420" s="76" t="s">
        <v>136</v>
      </c>
      <c r="B420" s="63">
        <v>658393</v>
      </c>
      <c r="C420" s="63" t="s">
        <v>141</v>
      </c>
      <c r="D420" s="64">
        <v>42589</v>
      </c>
      <c r="E420" s="63" t="s">
        <v>138</v>
      </c>
      <c r="F420" s="65">
        <v>31365</v>
      </c>
      <c r="G420" s="66">
        <v>1.4973585921464401E-2</v>
      </c>
      <c r="H420" s="65">
        <v>380</v>
      </c>
      <c r="I420" s="67">
        <v>0.112044947318147</v>
      </c>
      <c r="J420" s="67">
        <v>1.67771464573422</v>
      </c>
      <c r="K420" s="65">
        <v>98</v>
      </c>
      <c r="L420" s="65">
        <v>8</v>
      </c>
      <c r="M420" s="66">
        <v>6.7415730337078697E-3</v>
      </c>
      <c r="N420" s="67">
        <v>120.451802692653</v>
      </c>
      <c r="O420" s="67">
        <v>40.1506008975512</v>
      </c>
      <c r="P420" s="67">
        <v>49.860001556575298</v>
      </c>
      <c r="Q420" s="77">
        <v>0.41394151388334799</v>
      </c>
    </row>
    <row r="421" spans="1:17" x14ac:dyDescent="0.35">
      <c r="A421" s="76" t="s">
        <v>136</v>
      </c>
      <c r="B421" s="63">
        <v>658393</v>
      </c>
      <c r="C421" s="63" t="s">
        <v>141</v>
      </c>
      <c r="D421" s="64">
        <v>42590</v>
      </c>
      <c r="E421" s="63" t="s">
        <v>138</v>
      </c>
      <c r="F421" s="65">
        <v>2905</v>
      </c>
      <c r="G421" s="66">
        <v>1.3324098809406E-2</v>
      </c>
      <c r="H421" s="65">
        <v>554</v>
      </c>
      <c r="I421" s="67">
        <v>0.11084158762846801</v>
      </c>
      <c r="J421" s="67">
        <v>1.4768642657531501</v>
      </c>
      <c r="K421" s="65">
        <v>62</v>
      </c>
      <c r="L421" s="65">
        <v>12</v>
      </c>
      <c r="M421" s="66">
        <v>7.4257425742574297E-3</v>
      </c>
      <c r="N421" s="67">
        <v>522.24521535000804</v>
      </c>
      <c r="O421" s="67">
        <v>174.081738450003</v>
      </c>
      <c r="P421" s="67">
        <v>44.780001401901202</v>
      </c>
      <c r="Q421" s="77">
        <v>8.5745163547146605E-2</v>
      </c>
    </row>
    <row r="422" spans="1:17" x14ac:dyDescent="0.35">
      <c r="A422" s="76" t="s">
        <v>136</v>
      </c>
      <c r="B422" s="63">
        <v>658393</v>
      </c>
      <c r="C422" s="63" t="s">
        <v>141</v>
      </c>
      <c r="D422" s="64">
        <v>42591</v>
      </c>
      <c r="E422" s="63" t="s">
        <v>138</v>
      </c>
      <c r="F422" s="65">
        <v>41609</v>
      </c>
      <c r="G422" s="66">
        <v>1.51064589032949E-2</v>
      </c>
      <c r="H422" s="65">
        <v>389</v>
      </c>
      <c r="I422" s="67">
        <v>0.111706040076071</v>
      </c>
      <c r="J422" s="67">
        <v>1.6874827036589699</v>
      </c>
      <c r="K422" s="65">
        <v>71</v>
      </c>
      <c r="L422" s="65">
        <v>6</v>
      </c>
      <c r="M422" s="66">
        <v>1.0498687664042E-2</v>
      </c>
      <c r="N422" s="67">
        <v>708.09623006500703</v>
      </c>
      <c r="O422" s="67">
        <v>177.02405751625199</v>
      </c>
      <c r="P422" s="67">
        <v>42.560001268982901</v>
      </c>
      <c r="Q422" s="77">
        <v>6.0104826804508897E-2</v>
      </c>
    </row>
    <row r="423" spans="1:17" x14ac:dyDescent="0.35">
      <c r="A423" s="76" t="s">
        <v>136</v>
      </c>
      <c r="B423" s="63">
        <v>658393</v>
      </c>
      <c r="C423" s="63" t="s">
        <v>141</v>
      </c>
      <c r="D423" s="64">
        <v>42592</v>
      </c>
      <c r="E423" s="63" t="s">
        <v>138</v>
      </c>
      <c r="F423" s="65">
        <v>43200</v>
      </c>
      <c r="G423" s="66">
        <v>1.5931212081532899E-2</v>
      </c>
      <c r="H423" s="65">
        <v>252</v>
      </c>
      <c r="I423" s="67">
        <v>0.111643839739773</v>
      </c>
      <c r="J423" s="67">
        <v>1.778621688491</v>
      </c>
      <c r="K423" s="65">
        <v>34</v>
      </c>
      <c r="L423" s="65">
        <v>8</v>
      </c>
      <c r="M423" s="66">
        <v>8.21917808219178E-3</v>
      </c>
      <c r="N423" s="67">
        <v>464.08862774897102</v>
      </c>
      <c r="O423" s="67">
        <v>154.69620924965699</v>
      </c>
      <c r="P423" s="67">
        <v>40.750001505017302</v>
      </c>
      <c r="Q423" s="77">
        <v>8.7806507353287794E-2</v>
      </c>
    </row>
    <row r="424" spans="1:17" x14ac:dyDescent="0.35">
      <c r="A424" s="76" t="s">
        <v>136</v>
      </c>
      <c r="B424" s="63">
        <v>658393</v>
      </c>
      <c r="C424" s="63" t="s">
        <v>141</v>
      </c>
      <c r="D424" s="64">
        <v>42593</v>
      </c>
      <c r="E424" s="63" t="s">
        <v>138</v>
      </c>
      <c r="F424" s="65">
        <v>65666</v>
      </c>
      <c r="G424" s="66">
        <v>1.69464847848898E-2</v>
      </c>
      <c r="H424" s="65">
        <v>269</v>
      </c>
      <c r="I424" s="67">
        <v>0.11040247932953</v>
      </c>
      <c r="J424" s="67">
        <v>1.8709339361719901</v>
      </c>
      <c r="K424" s="65">
        <v>30</v>
      </c>
      <c r="L424" s="65">
        <v>5</v>
      </c>
      <c r="M424" s="66">
        <v>6.1919504643962904E-3</v>
      </c>
      <c r="N424" s="67">
        <v>111.87273996783701</v>
      </c>
      <c r="O424" s="67">
        <v>55.936369983918503</v>
      </c>
      <c r="P424" s="67">
        <v>35.660000823438203</v>
      </c>
      <c r="Q424" s="77">
        <v>0.31875505001209697</v>
      </c>
    </row>
    <row r="425" spans="1:17" x14ac:dyDescent="0.35">
      <c r="A425" s="76" t="s">
        <v>136</v>
      </c>
      <c r="B425" s="63">
        <v>658393</v>
      </c>
      <c r="C425" s="63" t="s">
        <v>141</v>
      </c>
      <c r="D425" s="64">
        <v>42594</v>
      </c>
      <c r="E425" s="63" t="s">
        <v>138</v>
      </c>
      <c r="F425" s="65">
        <v>40960</v>
      </c>
      <c r="G425" s="66">
        <v>1.60775701321841E-2</v>
      </c>
      <c r="H425" s="65">
        <v>256</v>
      </c>
      <c r="I425" s="67">
        <v>0.112061859348539</v>
      </c>
      <c r="J425" s="67">
        <v>1.8016824028191001</v>
      </c>
      <c r="K425" s="65">
        <v>70</v>
      </c>
      <c r="L425" s="65">
        <v>8</v>
      </c>
      <c r="M425" s="66">
        <v>7.7319587628866E-3</v>
      </c>
      <c r="N425" s="67">
        <v>285.00603486554598</v>
      </c>
      <c r="O425" s="67">
        <v>95.002011621848794</v>
      </c>
      <c r="P425" s="67">
        <v>43.480001427233198</v>
      </c>
      <c r="Q425" s="77">
        <v>0.15255817810224701</v>
      </c>
    </row>
    <row r="426" spans="1:17" x14ac:dyDescent="0.35">
      <c r="A426" s="76" t="s">
        <v>136</v>
      </c>
      <c r="B426" s="63">
        <v>658393</v>
      </c>
      <c r="C426" s="63" t="s">
        <v>141</v>
      </c>
      <c r="D426" s="64">
        <v>42595</v>
      </c>
      <c r="E426" s="63" t="s">
        <v>138</v>
      </c>
      <c r="F426" s="65">
        <v>25780</v>
      </c>
      <c r="G426" s="66">
        <v>1.3192946847646801E-2</v>
      </c>
      <c r="H426" s="65">
        <v>436</v>
      </c>
      <c r="I426" s="67">
        <v>0.11146635021298</v>
      </c>
      <c r="J426" s="67">
        <v>1.4705696336610301</v>
      </c>
      <c r="K426" s="65">
        <v>93</v>
      </c>
      <c r="L426" s="65">
        <v>7</v>
      </c>
      <c r="M426" s="66">
        <v>9.6153846153846194E-3</v>
      </c>
      <c r="N426" s="67">
        <v>322.64184532422098</v>
      </c>
      <c r="O426" s="67">
        <v>80.660461331055203</v>
      </c>
      <c r="P426" s="67">
        <v>46.370001688599601</v>
      </c>
      <c r="Q426" s="77">
        <v>0.14371973865325099</v>
      </c>
    </row>
    <row r="427" spans="1:17" x14ac:dyDescent="0.35">
      <c r="A427" s="76" t="s">
        <v>136</v>
      </c>
      <c r="B427" s="63">
        <v>658393</v>
      </c>
      <c r="C427" s="63" t="s">
        <v>141</v>
      </c>
      <c r="D427" s="64">
        <v>42596</v>
      </c>
      <c r="E427" s="63" t="s">
        <v>138</v>
      </c>
      <c r="F427" s="65">
        <v>40702</v>
      </c>
      <c r="G427" s="66">
        <v>1.38655046053283E-2</v>
      </c>
      <c r="H427" s="65">
        <v>342</v>
      </c>
      <c r="I427" s="67">
        <v>0.11038095397608599</v>
      </c>
      <c r="J427" s="67">
        <v>1.5304876256959601</v>
      </c>
      <c r="K427" s="65">
        <v>24</v>
      </c>
      <c r="L427" s="65">
        <v>6</v>
      </c>
      <c r="M427" s="66">
        <v>4.7619047619047597E-3</v>
      </c>
      <c r="N427" s="67">
        <v>137.006375147857</v>
      </c>
      <c r="O427" s="67">
        <v>68.5031875739284</v>
      </c>
      <c r="P427" s="67">
        <v>46.3600006699562</v>
      </c>
      <c r="Q427" s="77">
        <v>0.33837841939781699</v>
      </c>
    </row>
    <row r="428" spans="1:17" x14ac:dyDescent="0.35">
      <c r="A428" s="76" t="s">
        <v>136</v>
      </c>
      <c r="B428" s="63">
        <v>658393</v>
      </c>
      <c r="C428" s="63" t="s">
        <v>141</v>
      </c>
      <c r="D428" s="64">
        <v>42597</v>
      </c>
      <c r="E428" s="63" t="s">
        <v>138</v>
      </c>
      <c r="F428" s="65">
        <v>9160</v>
      </c>
      <c r="G428" s="66">
        <v>1.4726664187430299E-2</v>
      </c>
      <c r="H428" s="65">
        <v>162</v>
      </c>
      <c r="I428" s="67">
        <v>0.11025252783990901</v>
      </c>
      <c r="J428" s="67">
        <v>1.62365195331364</v>
      </c>
      <c r="K428" s="65">
        <v>38</v>
      </c>
      <c r="L428" s="65">
        <v>9</v>
      </c>
      <c r="M428" s="66">
        <v>7.5757575757575803E-3</v>
      </c>
      <c r="N428" s="67">
        <v>367.046039789828</v>
      </c>
      <c r="O428" s="67">
        <v>122.348679929943</v>
      </c>
      <c r="P428" s="67">
        <v>43.660001024603801</v>
      </c>
      <c r="Q428" s="77">
        <v>0.118949658330611</v>
      </c>
    </row>
    <row r="429" spans="1:17" x14ac:dyDescent="0.35">
      <c r="A429" s="76" t="s">
        <v>136</v>
      </c>
      <c r="B429" s="63">
        <v>658393</v>
      </c>
      <c r="C429" s="63" t="s">
        <v>141</v>
      </c>
      <c r="D429" s="64">
        <v>42598</v>
      </c>
      <c r="E429" s="63" t="s">
        <v>138</v>
      </c>
      <c r="F429" s="65">
        <v>68016</v>
      </c>
      <c r="G429" s="66">
        <v>1.5467289719626199E-2</v>
      </c>
      <c r="H429" s="65">
        <v>446</v>
      </c>
      <c r="I429" s="67">
        <v>0.108761333536886</v>
      </c>
      <c r="J429" s="67">
        <v>1.6822430561079</v>
      </c>
      <c r="K429" s="65">
        <v>69</v>
      </c>
      <c r="L429" s="65">
        <v>8</v>
      </c>
      <c r="M429" s="66">
        <v>1.2084592145015101E-2</v>
      </c>
      <c r="N429" s="67">
        <v>204.906019594653</v>
      </c>
      <c r="O429" s="67">
        <v>51.2265048986633</v>
      </c>
      <c r="P429" s="67">
        <v>36.000001400709202</v>
      </c>
      <c r="Q429" s="77">
        <v>0.17569030657042001</v>
      </c>
    </row>
    <row r="430" spans="1:17" x14ac:dyDescent="0.35">
      <c r="A430" s="76" t="s">
        <v>136</v>
      </c>
      <c r="B430" s="63">
        <v>658393</v>
      </c>
      <c r="C430" s="63" t="s">
        <v>141</v>
      </c>
      <c r="D430" s="64">
        <v>42599</v>
      </c>
      <c r="E430" s="63" t="s">
        <v>138</v>
      </c>
      <c r="F430" s="65">
        <v>61092</v>
      </c>
      <c r="G430" s="66">
        <v>1.65293126053568E-2</v>
      </c>
      <c r="H430" s="65">
        <v>411</v>
      </c>
      <c r="I430" s="67">
        <v>0.10189802060299499</v>
      </c>
      <c r="J430" s="67">
        <v>1.68430423641399</v>
      </c>
      <c r="K430" s="65">
        <v>24</v>
      </c>
      <c r="L430" s="65">
        <v>3</v>
      </c>
      <c r="M430" s="66">
        <v>0</v>
      </c>
      <c r="N430" s="67">
        <v>0</v>
      </c>
      <c r="O430" s="67">
        <v>0</v>
      </c>
      <c r="P430" s="67">
        <v>35.970001272857203</v>
      </c>
      <c r="Q430" s="77">
        <v>0</v>
      </c>
    </row>
    <row r="431" spans="1:17" x14ac:dyDescent="0.35">
      <c r="A431" s="76" t="s">
        <v>136</v>
      </c>
      <c r="B431" s="63">
        <v>658393</v>
      </c>
      <c r="C431" s="63" t="s">
        <v>141</v>
      </c>
      <c r="D431" s="64">
        <v>42600</v>
      </c>
      <c r="E431" s="63" t="s">
        <v>138</v>
      </c>
      <c r="F431" s="65">
        <v>64047</v>
      </c>
      <c r="G431" s="66">
        <v>1.6329378925331501E-2</v>
      </c>
      <c r="H431" s="65">
        <v>323</v>
      </c>
      <c r="I431" s="67">
        <v>9.78917429844538E-2</v>
      </c>
      <c r="J431" s="67">
        <v>1.5985113648543099</v>
      </c>
      <c r="K431" s="65">
        <v>64</v>
      </c>
      <c r="L431" s="65">
        <v>5</v>
      </c>
      <c r="M431" s="66">
        <v>2.84900284900285E-3</v>
      </c>
      <c r="N431" s="67">
        <v>236.118301520534</v>
      </c>
      <c r="O431" s="67">
        <v>236.118301520534</v>
      </c>
      <c r="P431" s="67">
        <v>34.360001787543297</v>
      </c>
      <c r="Q431" s="77">
        <v>0.145520281851406</v>
      </c>
    </row>
    <row r="432" spans="1:17" x14ac:dyDescent="0.35">
      <c r="A432" s="76" t="s">
        <v>136</v>
      </c>
      <c r="B432" s="63">
        <v>658393</v>
      </c>
      <c r="C432" s="63" t="s">
        <v>141</v>
      </c>
      <c r="D432" s="64">
        <v>42601</v>
      </c>
      <c r="E432" s="63" t="s">
        <v>138</v>
      </c>
      <c r="F432" s="65">
        <v>30631</v>
      </c>
      <c r="G432" s="66">
        <v>1.55722901829829E-2</v>
      </c>
      <c r="H432" s="65">
        <v>185</v>
      </c>
      <c r="I432" s="67">
        <v>9.8446394718319397E-2</v>
      </c>
      <c r="J432" s="67">
        <v>1.5330358260221499</v>
      </c>
      <c r="K432" s="65">
        <v>46</v>
      </c>
      <c r="L432" s="65">
        <v>5</v>
      </c>
      <c r="M432" s="66">
        <v>4.3763676148796497E-3</v>
      </c>
      <c r="N432" s="67">
        <v>60.269013214242896</v>
      </c>
      <c r="O432" s="67">
        <v>30.134506607121502</v>
      </c>
      <c r="P432" s="67">
        <v>44.990002386272003</v>
      </c>
      <c r="Q432" s="77">
        <v>0.74648646106652705</v>
      </c>
    </row>
    <row r="433" spans="1:17" x14ac:dyDescent="0.35">
      <c r="A433" s="76" t="s">
        <v>136</v>
      </c>
      <c r="B433" s="63">
        <v>658393</v>
      </c>
      <c r="C433" s="63" t="s">
        <v>141</v>
      </c>
      <c r="D433" s="64">
        <v>42602</v>
      </c>
      <c r="E433" s="63" t="s">
        <v>138</v>
      </c>
      <c r="F433" s="65">
        <v>46038</v>
      </c>
      <c r="G433" s="66">
        <v>1.3550210596320099E-2</v>
      </c>
      <c r="H433" s="65">
        <v>587</v>
      </c>
      <c r="I433" s="67">
        <v>0.100756649087909</v>
      </c>
      <c r="J433" s="67">
        <v>1.3652738141206899</v>
      </c>
      <c r="K433" s="65">
        <v>41</v>
      </c>
      <c r="L433" s="65">
        <v>6</v>
      </c>
      <c r="M433" s="66">
        <v>4.0899795501022499E-3</v>
      </c>
      <c r="N433" s="67">
        <v>314.45076474240602</v>
      </c>
      <c r="O433" s="67">
        <v>157.22538237120301</v>
      </c>
      <c r="P433" s="67">
        <v>49.270001403987401</v>
      </c>
      <c r="Q433" s="77">
        <v>0.156685901032388</v>
      </c>
    </row>
    <row r="434" spans="1:17" x14ac:dyDescent="0.35">
      <c r="A434" s="76" t="s">
        <v>136</v>
      </c>
      <c r="B434" s="63">
        <v>658393</v>
      </c>
      <c r="C434" s="63" t="s">
        <v>141</v>
      </c>
      <c r="D434" s="64">
        <v>42603</v>
      </c>
      <c r="E434" s="63" t="s">
        <v>138</v>
      </c>
      <c r="F434" s="65">
        <v>45946</v>
      </c>
      <c r="G434" s="66">
        <v>1.2216094407875199E-2</v>
      </c>
      <c r="H434" s="65">
        <v>378</v>
      </c>
      <c r="I434" s="67">
        <v>0.104733009180687</v>
      </c>
      <c r="J434" s="67">
        <v>1.2794283277721401</v>
      </c>
      <c r="K434" s="65">
        <v>46</v>
      </c>
      <c r="L434" s="65">
        <v>8</v>
      </c>
      <c r="M434" s="66">
        <v>1.2135922330097099E-2</v>
      </c>
      <c r="N434" s="67">
        <v>424.55597075126701</v>
      </c>
      <c r="O434" s="67">
        <v>84.911194150253394</v>
      </c>
      <c r="P434" s="67">
        <v>43.149999782442997</v>
      </c>
      <c r="Q434" s="77">
        <v>0.101635597554046</v>
      </c>
    </row>
    <row r="435" spans="1:17" x14ac:dyDescent="0.35">
      <c r="A435" s="76" t="s">
        <v>136</v>
      </c>
      <c r="B435" s="63">
        <v>658393</v>
      </c>
      <c r="C435" s="63" t="s">
        <v>141</v>
      </c>
      <c r="D435" s="64">
        <v>42604</v>
      </c>
      <c r="E435" s="63" t="s">
        <v>138</v>
      </c>
      <c r="F435" s="65">
        <v>4749</v>
      </c>
      <c r="G435" s="66">
        <v>1.3371026894865501E-2</v>
      </c>
      <c r="H435" s="65">
        <v>282</v>
      </c>
      <c r="I435" s="67">
        <v>0.10434285855719</v>
      </c>
      <c r="J435" s="67">
        <v>1.39517116805534</v>
      </c>
      <c r="K435" s="65">
        <v>41</v>
      </c>
      <c r="L435" s="65">
        <v>8</v>
      </c>
      <c r="M435" s="66">
        <v>5.7142857142857099E-3</v>
      </c>
      <c r="N435" s="67">
        <v>257.54440815454097</v>
      </c>
      <c r="O435" s="67">
        <v>128.772204077271</v>
      </c>
      <c r="P435" s="67">
        <v>36.520000495016603</v>
      </c>
      <c r="Q435" s="77">
        <v>0.14180078983932901</v>
      </c>
    </row>
    <row r="436" spans="1:17" x14ac:dyDescent="0.35">
      <c r="A436" s="76" t="s">
        <v>136</v>
      </c>
      <c r="B436" s="63">
        <v>658393</v>
      </c>
      <c r="C436" s="63" t="s">
        <v>141</v>
      </c>
      <c r="D436" s="64">
        <v>42605</v>
      </c>
      <c r="E436" s="63" t="s">
        <v>138</v>
      </c>
      <c r="F436" s="65">
        <v>66455</v>
      </c>
      <c r="G436" s="66">
        <v>1.54216185625354E-2</v>
      </c>
      <c r="H436" s="65">
        <v>510</v>
      </c>
      <c r="I436" s="67">
        <v>0.10562691245148299</v>
      </c>
      <c r="J436" s="67">
        <v>1.6289379537650901</v>
      </c>
      <c r="K436" s="65">
        <v>49</v>
      </c>
      <c r="L436" s="65">
        <v>5</v>
      </c>
      <c r="M436" s="66">
        <v>6.1162079510703399E-3</v>
      </c>
      <c r="N436" s="67">
        <v>102.517673487827</v>
      </c>
      <c r="O436" s="67">
        <v>51.258836743913498</v>
      </c>
      <c r="P436" s="67">
        <v>34.540000371635003</v>
      </c>
      <c r="Q436" s="77">
        <v>0.33691752062376101</v>
      </c>
    </row>
    <row r="437" spans="1:17" x14ac:dyDescent="0.35">
      <c r="A437" s="76" t="s">
        <v>136</v>
      </c>
      <c r="B437" s="63">
        <v>658393</v>
      </c>
      <c r="C437" s="63" t="s">
        <v>141</v>
      </c>
      <c r="D437" s="64">
        <v>42606</v>
      </c>
      <c r="E437" s="63" t="s">
        <v>138</v>
      </c>
      <c r="F437" s="65">
        <v>15725</v>
      </c>
      <c r="G437" s="66">
        <v>1.34623655913979E-2</v>
      </c>
      <c r="H437" s="65">
        <v>482</v>
      </c>
      <c r="I437" s="67">
        <v>0.108913741553553</v>
      </c>
      <c r="J437" s="67">
        <v>1.46623660672096</v>
      </c>
      <c r="K437" s="65">
        <v>34</v>
      </c>
      <c r="L437" s="65">
        <v>4</v>
      </c>
      <c r="M437" s="66">
        <v>9.5846645367412102E-3</v>
      </c>
      <c r="N437" s="67">
        <v>1070.87430840506</v>
      </c>
      <c r="O437" s="67">
        <v>356.95810280168502</v>
      </c>
      <c r="P437" s="67">
        <v>34.0900011062622</v>
      </c>
      <c r="Q437" s="77">
        <v>3.1833802378764098E-2</v>
      </c>
    </row>
    <row r="438" spans="1:17" x14ac:dyDescent="0.35">
      <c r="A438" s="76" t="s">
        <v>136</v>
      </c>
      <c r="B438" s="63">
        <v>658393</v>
      </c>
      <c r="C438" s="63" t="s">
        <v>141</v>
      </c>
      <c r="D438" s="64">
        <v>42607</v>
      </c>
      <c r="E438" s="63" t="s">
        <v>138</v>
      </c>
      <c r="F438" s="65">
        <v>19535</v>
      </c>
      <c r="G438" s="66">
        <v>1.3070220399795E-2</v>
      </c>
      <c r="H438" s="65">
        <v>428</v>
      </c>
      <c r="I438" s="67">
        <v>0.108745100363797</v>
      </c>
      <c r="J438" s="67">
        <v>1.4213224291526501</v>
      </c>
      <c r="K438" s="65">
        <v>88</v>
      </c>
      <c r="L438" s="65">
        <v>9</v>
      </c>
      <c r="M438" s="66">
        <v>1.5686274509803901E-2</v>
      </c>
      <c r="N438" s="67">
        <v>606.48387784607598</v>
      </c>
      <c r="O438" s="67">
        <v>151.620969461519</v>
      </c>
      <c r="P438" s="67">
        <v>27.730000592768199</v>
      </c>
      <c r="Q438" s="77">
        <v>4.5722568407343497E-2</v>
      </c>
    </row>
    <row r="439" spans="1:17" x14ac:dyDescent="0.35">
      <c r="A439" s="76" t="s">
        <v>136</v>
      </c>
      <c r="B439" s="63">
        <v>658393</v>
      </c>
      <c r="C439" s="63" t="s">
        <v>141</v>
      </c>
      <c r="D439" s="64">
        <v>42608</v>
      </c>
      <c r="E439" s="63" t="s">
        <v>138</v>
      </c>
      <c r="F439" s="65">
        <v>62371</v>
      </c>
      <c r="G439" s="66">
        <v>1.5538702497733099E-2</v>
      </c>
      <c r="H439" s="65">
        <v>219</v>
      </c>
      <c r="I439" s="67">
        <v>0.106578250818291</v>
      </c>
      <c r="J439" s="67">
        <v>1.65608773219419</v>
      </c>
      <c r="K439" s="65">
        <v>44</v>
      </c>
      <c r="L439" s="65">
        <v>7</v>
      </c>
      <c r="M439" s="66">
        <v>2.6525198938992002E-3</v>
      </c>
      <c r="N439" s="67">
        <v>67.9858583153312</v>
      </c>
      <c r="O439" s="67">
        <v>67.9858583153312</v>
      </c>
      <c r="P439" s="67">
        <v>40.1800005584955</v>
      </c>
      <c r="Q439" s="77">
        <v>0.59100527012740101</v>
      </c>
    </row>
    <row r="440" spans="1:17" x14ac:dyDescent="0.35">
      <c r="A440" s="76" t="s">
        <v>136</v>
      </c>
      <c r="B440" s="63">
        <v>658393</v>
      </c>
      <c r="C440" s="63" t="s">
        <v>141</v>
      </c>
      <c r="D440" s="64">
        <v>42609</v>
      </c>
      <c r="E440" s="63" t="s">
        <v>138</v>
      </c>
      <c r="F440" s="65">
        <v>14236</v>
      </c>
      <c r="G440" s="66">
        <v>1.3258024148544E-2</v>
      </c>
      <c r="H440" s="65">
        <v>374</v>
      </c>
      <c r="I440" s="67">
        <v>0.10625000134566601</v>
      </c>
      <c r="J440" s="67">
        <v>1.40866508362367</v>
      </c>
      <c r="K440" s="65">
        <v>95</v>
      </c>
      <c r="L440" s="65">
        <v>6</v>
      </c>
      <c r="M440" s="66">
        <v>7.6530612244898001E-3</v>
      </c>
      <c r="N440" s="67">
        <v>379.11708981112201</v>
      </c>
      <c r="O440" s="67">
        <v>126.372363270374</v>
      </c>
      <c r="P440" s="67">
        <v>41.650000527501099</v>
      </c>
      <c r="Q440" s="77">
        <v>0.109860519736136</v>
      </c>
    </row>
    <row r="441" spans="1:17" x14ac:dyDescent="0.35">
      <c r="A441" s="76" t="s">
        <v>136</v>
      </c>
      <c r="B441" s="63">
        <v>658393</v>
      </c>
      <c r="C441" s="63" t="s">
        <v>141</v>
      </c>
      <c r="D441" s="64">
        <v>42610</v>
      </c>
      <c r="E441" s="63" t="s">
        <v>138</v>
      </c>
      <c r="F441" s="65">
        <v>63435</v>
      </c>
      <c r="G441" s="66">
        <v>1.19947745536598E-2</v>
      </c>
      <c r="H441" s="65">
        <v>314</v>
      </c>
      <c r="I441" s="67">
        <v>0.106831684831542</v>
      </c>
      <c r="J441" s="67">
        <v>1.2814219747419799</v>
      </c>
      <c r="K441" s="65">
        <v>73</v>
      </c>
      <c r="L441" s="65">
        <v>3</v>
      </c>
      <c r="M441" s="66">
        <v>6.6006600660065999E-3</v>
      </c>
      <c r="N441" s="67">
        <v>102.431453041094</v>
      </c>
      <c r="O441" s="67">
        <v>51.215726520546902</v>
      </c>
      <c r="P441" s="67">
        <v>32.3700005039573</v>
      </c>
      <c r="Q441" s="77">
        <v>0.31601621907062999</v>
      </c>
    </row>
    <row r="442" spans="1:17" x14ac:dyDescent="0.35">
      <c r="A442" s="76" t="s">
        <v>136</v>
      </c>
      <c r="B442" s="63">
        <v>658393</v>
      </c>
      <c r="C442" s="63" t="s">
        <v>141</v>
      </c>
      <c r="D442" s="64">
        <v>42611</v>
      </c>
      <c r="E442" s="63" t="s">
        <v>138</v>
      </c>
      <c r="F442" s="65">
        <v>41631</v>
      </c>
      <c r="G442" s="66">
        <v>1.30049907107209E-2</v>
      </c>
      <c r="H442" s="65">
        <v>495</v>
      </c>
      <c r="I442" s="67">
        <v>0.108515409090105</v>
      </c>
      <c r="J442" s="67">
        <v>1.4112418871868899</v>
      </c>
      <c r="K442" s="65">
        <v>29</v>
      </c>
      <c r="L442" s="65">
        <v>4</v>
      </c>
      <c r="M442" s="66">
        <v>5.60224089635854E-3</v>
      </c>
      <c r="N442" s="67">
        <v>259.053274195119</v>
      </c>
      <c r="O442" s="67">
        <v>129.52663709756001</v>
      </c>
      <c r="P442" s="67">
        <v>38.740001045167404</v>
      </c>
      <c r="Q442" s="77">
        <v>0.149544533515482</v>
      </c>
    </row>
    <row r="443" spans="1:17" x14ac:dyDescent="0.35">
      <c r="A443" s="76" t="s">
        <v>136</v>
      </c>
      <c r="B443" s="63">
        <v>658393</v>
      </c>
      <c r="C443" s="63" t="s">
        <v>141</v>
      </c>
      <c r="D443" s="64">
        <v>42612</v>
      </c>
      <c r="E443" s="63" t="s">
        <v>138</v>
      </c>
      <c r="F443" s="65">
        <v>49757</v>
      </c>
      <c r="G443" s="66">
        <v>1.33606969341598E-2</v>
      </c>
      <c r="H443" s="65">
        <v>532</v>
      </c>
      <c r="I443" s="67">
        <v>0.10802508063824599</v>
      </c>
      <c r="J443" s="67">
        <v>1.4432903636957799</v>
      </c>
      <c r="K443" s="65">
        <v>43</v>
      </c>
      <c r="L443" s="65">
        <v>4</v>
      </c>
      <c r="M443" s="66">
        <v>3.1347962382445101E-3</v>
      </c>
      <c r="N443" s="67">
        <v>44.749095987134801</v>
      </c>
      <c r="O443" s="67">
        <v>44.749095987134801</v>
      </c>
      <c r="P443" s="67">
        <v>34.460000723600402</v>
      </c>
      <c r="Q443" s="77">
        <v>0.77007143861649296</v>
      </c>
    </row>
    <row r="444" spans="1:17" x14ac:dyDescent="0.35">
      <c r="A444" s="76" t="s">
        <v>136</v>
      </c>
      <c r="B444" s="63">
        <v>658393</v>
      </c>
      <c r="C444" s="63" t="s">
        <v>141</v>
      </c>
      <c r="D444" s="64">
        <v>42613</v>
      </c>
      <c r="E444" s="63" t="s">
        <v>138</v>
      </c>
      <c r="F444" s="65">
        <v>24705</v>
      </c>
      <c r="G444" s="66">
        <v>1.36525446935023E-2</v>
      </c>
      <c r="H444" s="65">
        <v>221</v>
      </c>
      <c r="I444" s="67">
        <v>0.106733527386769</v>
      </c>
      <c r="J444" s="67">
        <v>1.4571842529430199</v>
      </c>
      <c r="K444" s="65">
        <v>89</v>
      </c>
      <c r="L444" s="65">
        <v>5</v>
      </c>
      <c r="M444" s="66">
        <v>8.5959885386819503E-3</v>
      </c>
      <c r="N444" s="67">
        <v>470.29661338768</v>
      </c>
      <c r="O444" s="67">
        <v>156.76553779589301</v>
      </c>
      <c r="P444" s="67">
        <v>37.250001057982402</v>
      </c>
      <c r="Q444" s="77">
        <v>7.9205335521470396E-2</v>
      </c>
    </row>
    <row r="445" spans="1:17" x14ac:dyDescent="0.35">
      <c r="A445" s="76" t="s">
        <v>136</v>
      </c>
      <c r="B445" s="63">
        <v>658393</v>
      </c>
      <c r="C445" s="63" t="s">
        <v>141</v>
      </c>
      <c r="D445" s="64">
        <v>42614</v>
      </c>
      <c r="E445" s="63" t="s">
        <v>138</v>
      </c>
      <c r="F445" s="65">
        <v>60951</v>
      </c>
      <c r="G445" s="66">
        <v>1.39794168096055E-2</v>
      </c>
      <c r="H445" s="65">
        <v>357</v>
      </c>
      <c r="I445" s="67">
        <v>0.111779142034017</v>
      </c>
      <c r="J445" s="67">
        <v>1.5626072171136201</v>
      </c>
      <c r="K445" s="65">
        <v>79</v>
      </c>
      <c r="L445" s="65">
        <v>0</v>
      </c>
      <c r="M445" s="66">
        <v>0</v>
      </c>
      <c r="N445" s="67">
        <v>0</v>
      </c>
      <c r="O445" s="67">
        <v>0</v>
      </c>
      <c r="P445" s="67">
        <v>36.440000303089597</v>
      </c>
      <c r="Q445" s="77">
        <v>0</v>
      </c>
    </row>
    <row r="446" spans="1:17" x14ac:dyDescent="0.35">
      <c r="A446" s="76" t="s">
        <v>136</v>
      </c>
      <c r="B446" s="63">
        <v>658393</v>
      </c>
      <c r="C446" s="63" t="s">
        <v>141</v>
      </c>
      <c r="D446" s="64">
        <v>42615</v>
      </c>
      <c r="E446" s="63" t="s">
        <v>138</v>
      </c>
      <c r="F446" s="65">
        <v>7906</v>
      </c>
      <c r="G446" s="66">
        <v>1.3989437974329401E-2</v>
      </c>
      <c r="H446" s="65">
        <v>377</v>
      </c>
      <c r="I446" s="67">
        <v>0.111525002494454</v>
      </c>
      <c r="J446" s="67">
        <v>1.5601721049831001</v>
      </c>
      <c r="K446" s="65">
        <v>43</v>
      </c>
      <c r="L446" s="65">
        <v>10</v>
      </c>
      <c r="M446" s="66">
        <v>5.0000000000000001E-3</v>
      </c>
      <c r="N446" s="67">
        <v>119.807745205766</v>
      </c>
      <c r="O446" s="67">
        <v>59.903872602883098</v>
      </c>
      <c r="P446" s="67">
        <v>44.610000997781803</v>
      </c>
      <c r="Q446" s="77">
        <v>0.37234655339824102</v>
      </c>
    </row>
    <row r="447" spans="1:17" x14ac:dyDescent="0.35">
      <c r="A447" s="76" t="s">
        <v>136</v>
      </c>
      <c r="B447" s="63">
        <v>658393</v>
      </c>
      <c r="C447" s="63" t="s">
        <v>141</v>
      </c>
      <c r="D447" s="64">
        <v>42616</v>
      </c>
      <c r="E447" s="63" t="s">
        <v>138</v>
      </c>
      <c r="F447" s="65">
        <v>65073</v>
      </c>
      <c r="G447" s="66">
        <v>1.3339824732229799E-2</v>
      </c>
      <c r="H447" s="65">
        <v>267</v>
      </c>
      <c r="I447" s="67">
        <v>0.111143555501227</v>
      </c>
      <c r="J447" s="67">
        <v>1.48263555050322</v>
      </c>
      <c r="K447" s="65">
        <v>75</v>
      </c>
      <c r="L447" s="65">
        <v>7</v>
      </c>
      <c r="M447" s="66">
        <v>4.8661800486617997E-3</v>
      </c>
      <c r="N447" s="67">
        <v>63.409472239354997</v>
      </c>
      <c r="O447" s="67">
        <v>31.704736119677499</v>
      </c>
      <c r="P447" s="67">
        <v>45.680001311004197</v>
      </c>
      <c r="Q447" s="77">
        <v>0.72039712203523099</v>
      </c>
    </row>
    <row r="448" spans="1:17" x14ac:dyDescent="0.35">
      <c r="A448" s="76" t="s">
        <v>136</v>
      </c>
      <c r="B448" s="63">
        <v>658393</v>
      </c>
      <c r="C448" s="63" t="s">
        <v>141</v>
      </c>
      <c r="D448" s="64">
        <v>42617</v>
      </c>
      <c r="E448" s="63" t="s">
        <v>138</v>
      </c>
      <c r="F448" s="65">
        <v>24989</v>
      </c>
      <c r="G448" s="66">
        <v>1.4851485148514899E-2</v>
      </c>
      <c r="H448" s="65">
        <v>207</v>
      </c>
      <c r="I448" s="67">
        <v>0.111214474305626</v>
      </c>
      <c r="J448" s="67">
        <v>1.6517001134498901</v>
      </c>
      <c r="K448" s="65">
        <v>69</v>
      </c>
      <c r="L448" s="65">
        <v>4</v>
      </c>
      <c r="M448" s="66">
        <v>5.1679586563307496E-3</v>
      </c>
      <c r="N448" s="67">
        <v>440.426853474974</v>
      </c>
      <c r="O448" s="67">
        <v>220.213426737487</v>
      </c>
      <c r="P448" s="67">
        <v>43.040001556277304</v>
      </c>
      <c r="Q448" s="77">
        <v>9.7723381798114795E-2</v>
      </c>
    </row>
    <row r="449" spans="1:17" x14ac:dyDescent="0.35">
      <c r="A449" s="76" t="s">
        <v>136</v>
      </c>
      <c r="B449" s="63">
        <v>658393</v>
      </c>
      <c r="C449" s="63" t="s">
        <v>141</v>
      </c>
      <c r="D449" s="64">
        <v>42618</v>
      </c>
      <c r="E449" s="63" t="s">
        <v>138</v>
      </c>
      <c r="F449" s="65">
        <v>17708</v>
      </c>
      <c r="G449" s="66">
        <v>1.2281315605318401E-2</v>
      </c>
      <c r="H449" s="65">
        <v>218</v>
      </c>
      <c r="I449" s="67">
        <v>0.110313395765262</v>
      </c>
      <c r="J449" s="67">
        <v>1.3547936288875799</v>
      </c>
      <c r="K449" s="65">
        <v>40</v>
      </c>
      <c r="L449" s="65">
        <v>9</v>
      </c>
      <c r="M449" s="66">
        <v>1.13960113960114E-2</v>
      </c>
      <c r="N449" s="67">
        <v>281.770878425192</v>
      </c>
      <c r="O449" s="67">
        <v>70.442719606298098</v>
      </c>
      <c r="P449" s="67">
        <v>38.720001913607099</v>
      </c>
      <c r="Q449" s="77">
        <v>0.13741662066006199</v>
      </c>
    </row>
    <row r="450" spans="1:17" x14ac:dyDescent="0.35">
      <c r="A450" s="76" t="s">
        <v>136</v>
      </c>
      <c r="B450" s="63">
        <v>658393</v>
      </c>
      <c r="C450" s="63" t="s">
        <v>141</v>
      </c>
      <c r="D450" s="64">
        <v>42619</v>
      </c>
      <c r="E450" s="63" t="s">
        <v>138</v>
      </c>
      <c r="F450" s="65">
        <v>25331</v>
      </c>
      <c r="G450" s="66">
        <v>1.22594090964815E-2</v>
      </c>
      <c r="H450" s="65">
        <v>232</v>
      </c>
      <c r="I450" s="67">
        <v>0.11560000186165199</v>
      </c>
      <c r="J450" s="67">
        <v>1.4171877143760201</v>
      </c>
      <c r="K450" s="65">
        <v>15</v>
      </c>
      <c r="L450" s="65">
        <v>1</v>
      </c>
      <c r="M450" s="66">
        <v>3.3333333333333301E-3</v>
      </c>
      <c r="N450" s="67">
        <v>217.699978925404</v>
      </c>
      <c r="O450" s="67">
        <v>217.699978925404</v>
      </c>
      <c r="P450" s="67">
        <v>34.6800005584955</v>
      </c>
      <c r="Q450" s="77">
        <v>0.15930180944288799</v>
      </c>
    </row>
    <row r="451" spans="1:17" x14ac:dyDescent="0.35">
      <c r="A451" s="76" t="s">
        <v>136</v>
      </c>
      <c r="B451" s="63">
        <v>658393</v>
      </c>
      <c r="C451" s="63" t="s">
        <v>141</v>
      </c>
      <c r="D451" s="64">
        <v>42620</v>
      </c>
      <c r="E451" s="63" t="s">
        <v>138</v>
      </c>
      <c r="F451" s="65">
        <v>14870</v>
      </c>
      <c r="G451" s="66">
        <v>1.2098116837470901E-2</v>
      </c>
      <c r="H451" s="65">
        <v>460</v>
      </c>
      <c r="I451" s="67">
        <v>0.11437309148296999</v>
      </c>
      <c r="J451" s="67">
        <v>1.3836990238237199</v>
      </c>
      <c r="K451" s="65">
        <v>28</v>
      </c>
      <c r="L451" s="65">
        <v>3</v>
      </c>
      <c r="M451" s="66">
        <v>6.1162079510703399E-3</v>
      </c>
      <c r="N451" s="67">
        <v>197.15142025078299</v>
      </c>
      <c r="O451" s="67">
        <v>98.575710125391694</v>
      </c>
      <c r="P451" s="67">
        <v>37.400000914931297</v>
      </c>
      <c r="Q451" s="77">
        <v>0.18970190966596701</v>
      </c>
    </row>
    <row r="452" spans="1:17" x14ac:dyDescent="0.35">
      <c r="A452" s="76" t="s">
        <v>136</v>
      </c>
      <c r="B452" s="63">
        <v>658393</v>
      </c>
      <c r="C452" s="63" t="s">
        <v>141</v>
      </c>
      <c r="D452" s="64">
        <v>42621</v>
      </c>
      <c r="E452" s="63" t="s">
        <v>138</v>
      </c>
      <c r="F452" s="65">
        <v>13465</v>
      </c>
      <c r="G452" s="66">
        <v>1.6771167864607198E-2</v>
      </c>
      <c r="H452" s="65">
        <v>388</v>
      </c>
      <c r="I452" s="67">
        <v>0.11696048730865399</v>
      </c>
      <c r="J452" s="67">
        <v>1.96156396617971</v>
      </c>
      <c r="K452" s="65">
        <v>35</v>
      </c>
      <c r="L452" s="65">
        <v>2</v>
      </c>
      <c r="M452" s="66">
        <v>0</v>
      </c>
      <c r="N452" s="67">
        <v>0</v>
      </c>
      <c r="O452" s="67">
        <v>0</v>
      </c>
      <c r="P452" s="67">
        <v>38.480000324547298</v>
      </c>
      <c r="Q452" s="77">
        <v>0</v>
      </c>
    </row>
    <row r="453" spans="1:17" x14ac:dyDescent="0.35">
      <c r="A453" s="76" t="s">
        <v>136</v>
      </c>
      <c r="B453" s="63">
        <v>658393</v>
      </c>
      <c r="C453" s="63" t="s">
        <v>141</v>
      </c>
      <c r="D453" s="64">
        <v>42622</v>
      </c>
      <c r="E453" s="63" t="s">
        <v>138</v>
      </c>
      <c r="F453" s="65">
        <v>28213</v>
      </c>
      <c r="G453" s="66">
        <v>1.5731477453965501E-2</v>
      </c>
      <c r="H453" s="65">
        <v>449</v>
      </c>
      <c r="I453" s="67">
        <v>0.11357143159080201</v>
      </c>
      <c r="J453" s="67">
        <v>1.7866464154852899</v>
      </c>
      <c r="K453" s="65">
        <v>46</v>
      </c>
      <c r="L453" s="65">
        <v>2</v>
      </c>
      <c r="M453" s="66">
        <v>0</v>
      </c>
      <c r="N453" s="67">
        <v>0</v>
      </c>
      <c r="O453" s="67">
        <v>0</v>
      </c>
      <c r="P453" s="67">
        <v>49.290001310408101</v>
      </c>
      <c r="Q453" s="77">
        <v>0</v>
      </c>
    </row>
    <row r="454" spans="1:17" x14ac:dyDescent="0.35">
      <c r="A454" s="76" t="s">
        <v>136</v>
      </c>
      <c r="B454" s="63">
        <v>658393</v>
      </c>
      <c r="C454" s="63" t="s">
        <v>141</v>
      </c>
      <c r="D454" s="64">
        <v>42623</v>
      </c>
      <c r="E454" s="63" t="s">
        <v>138</v>
      </c>
      <c r="F454" s="65">
        <v>37262</v>
      </c>
      <c r="G454" s="66">
        <v>1.18801364119193E-2</v>
      </c>
      <c r="H454" s="65">
        <v>184</v>
      </c>
      <c r="I454" s="67">
        <v>0.11421176675488</v>
      </c>
      <c r="J454" s="67">
        <v>1.35685136889428</v>
      </c>
      <c r="K454" s="65">
        <v>37</v>
      </c>
      <c r="L454" s="65">
        <v>5</v>
      </c>
      <c r="M454" s="66">
        <v>4.7058823529411804E-3</v>
      </c>
      <c r="N454" s="67">
        <v>60.675545589918997</v>
      </c>
      <c r="O454" s="67">
        <v>30.337772794959498</v>
      </c>
      <c r="P454" s="67">
        <v>48.540000870823903</v>
      </c>
      <c r="Q454" s="77">
        <v>0.79999282081261702</v>
      </c>
    </row>
    <row r="455" spans="1:17" x14ac:dyDescent="0.35">
      <c r="A455" s="76" t="s">
        <v>136</v>
      </c>
      <c r="B455" s="63">
        <v>658393</v>
      </c>
      <c r="C455" s="63" t="s">
        <v>141</v>
      </c>
      <c r="D455" s="64">
        <v>42624</v>
      </c>
      <c r="E455" s="63" t="s">
        <v>138</v>
      </c>
      <c r="F455" s="65">
        <v>26196</v>
      </c>
      <c r="G455" s="66">
        <v>1.0601092896174899E-2</v>
      </c>
      <c r="H455" s="65">
        <v>331</v>
      </c>
      <c r="I455" s="67">
        <v>0.12912371581823601</v>
      </c>
      <c r="J455" s="67">
        <v>1.3688525064884001</v>
      </c>
      <c r="K455" s="65">
        <v>19</v>
      </c>
      <c r="L455" s="65">
        <v>8</v>
      </c>
      <c r="M455" s="66">
        <v>7.7319587628866E-3</v>
      </c>
      <c r="N455" s="67">
        <v>198.03333560019499</v>
      </c>
      <c r="O455" s="67">
        <v>66.011111866731497</v>
      </c>
      <c r="P455" s="67">
        <v>50.100001737475402</v>
      </c>
      <c r="Q455" s="77">
        <v>0.25298771838404699</v>
      </c>
    </row>
    <row r="456" spans="1:17" x14ac:dyDescent="0.35">
      <c r="A456" s="76" t="s">
        <v>136</v>
      </c>
      <c r="B456" s="63">
        <v>658393</v>
      </c>
      <c r="C456" s="63" t="s">
        <v>141</v>
      </c>
      <c r="D456" s="64">
        <v>42625</v>
      </c>
      <c r="E456" s="63" t="s">
        <v>138</v>
      </c>
      <c r="F456" s="65">
        <v>316</v>
      </c>
      <c r="G456" s="66">
        <v>1.23691053482325E-2</v>
      </c>
      <c r="H456" s="65">
        <v>433</v>
      </c>
      <c r="I456" s="67">
        <v>0.120426141233607</v>
      </c>
      <c r="J456" s="67">
        <v>1.48956362759961</v>
      </c>
      <c r="K456" s="65">
        <v>17</v>
      </c>
      <c r="L456" s="65">
        <v>9</v>
      </c>
      <c r="M456" s="66">
        <v>8.5227272727272704E-3</v>
      </c>
      <c r="N456" s="67">
        <v>341.65270104169798</v>
      </c>
      <c r="O456" s="67">
        <v>113.884233680566</v>
      </c>
      <c r="P456" s="67">
        <v>42.390001714229598</v>
      </c>
      <c r="Q456" s="77">
        <v>0.124073369199139</v>
      </c>
    </row>
    <row r="457" spans="1:17" x14ac:dyDescent="0.35">
      <c r="A457" s="76" t="s">
        <v>136</v>
      </c>
      <c r="B457" s="63">
        <v>658393</v>
      </c>
      <c r="C457" s="63" t="s">
        <v>141</v>
      </c>
      <c r="D457" s="64">
        <v>42626</v>
      </c>
      <c r="E457" s="63" t="s">
        <v>138</v>
      </c>
      <c r="F457" s="65">
        <v>66012</v>
      </c>
      <c r="G457" s="66">
        <v>1.49659863945578E-2</v>
      </c>
      <c r="H457" s="65">
        <v>230</v>
      </c>
      <c r="I457" s="67">
        <v>0.13289562788374901</v>
      </c>
      <c r="J457" s="67">
        <v>1.9889141588044099</v>
      </c>
      <c r="K457" s="65">
        <v>71</v>
      </c>
      <c r="L457" s="65">
        <v>4</v>
      </c>
      <c r="M457" s="66">
        <v>1.01010101010101E-2</v>
      </c>
      <c r="N457" s="67">
        <v>576.59404514769301</v>
      </c>
      <c r="O457" s="67">
        <v>192.198015049231</v>
      </c>
      <c r="P457" s="67">
        <v>39.470001481473403</v>
      </c>
      <c r="Q457" s="77">
        <v>6.8453709873752405E-2</v>
      </c>
    </row>
    <row r="458" spans="1:17" x14ac:dyDescent="0.35">
      <c r="A458" s="76" t="s">
        <v>136</v>
      </c>
      <c r="B458" s="63">
        <v>658393</v>
      </c>
      <c r="C458" s="63" t="s">
        <v>141</v>
      </c>
      <c r="D458" s="64">
        <v>42627</v>
      </c>
      <c r="E458" s="63" t="s">
        <v>138</v>
      </c>
      <c r="F458" s="65">
        <v>4138</v>
      </c>
      <c r="G458" s="66">
        <v>1.5799207397622202E-2</v>
      </c>
      <c r="H458" s="65">
        <v>528</v>
      </c>
      <c r="I458" s="67">
        <v>0.121270905868664</v>
      </c>
      <c r="J458" s="67">
        <v>1.91598419311654</v>
      </c>
      <c r="K458" s="65">
        <v>31</v>
      </c>
      <c r="L458" s="65">
        <v>4</v>
      </c>
      <c r="M458" s="66">
        <v>6.6889632107023402E-3</v>
      </c>
      <c r="N458" s="67">
        <v>304.656499318844</v>
      </c>
      <c r="O458" s="67">
        <v>152.328249659422</v>
      </c>
      <c r="P458" s="67">
        <v>36.260000854730599</v>
      </c>
      <c r="Q458" s="77">
        <v>0.119019292008545</v>
      </c>
    </row>
    <row r="459" spans="1:17" x14ac:dyDescent="0.35">
      <c r="A459" s="76" t="s">
        <v>136</v>
      </c>
      <c r="B459" s="63">
        <v>658393</v>
      </c>
      <c r="C459" s="63" t="s">
        <v>141</v>
      </c>
      <c r="D459" s="64">
        <v>42628</v>
      </c>
      <c r="E459" s="63" t="s">
        <v>138</v>
      </c>
      <c r="F459" s="65">
        <v>35058</v>
      </c>
      <c r="G459" s="66">
        <v>1.51353176166095E-2</v>
      </c>
      <c r="H459" s="65">
        <v>516</v>
      </c>
      <c r="I459" s="67">
        <v>0.116840152464613</v>
      </c>
      <c r="J459" s="67">
        <v>1.768412817925</v>
      </c>
      <c r="K459" s="65">
        <v>70</v>
      </c>
      <c r="L459" s="65">
        <v>4</v>
      </c>
      <c r="M459" s="66">
        <v>3.7174721189591098E-3</v>
      </c>
      <c r="N459" s="67">
        <v>48.461064258699601</v>
      </c>
      <c r="O459" s="67">
        <v>48.461064258699601</v>
      </c>
      <c r="P459" s="67">
        <v>31.430001012980899</v>
      </c>
      <c r="Q459" s="77">
        <v>0.64856192272621704</v>
      </c>
    </row>
    <row r="460" spans="1:17" x14ac:dyDescent="0.35">
      <c r="A460" s="76" t="s">
        <v>136</v>
      </c>
      <c r="B460" s="63">
        <v>658393</v>
      </c>
      <c r="C460" s="63" t="s">
        <v>141</v>
      </c>
      <c r="D460" s="64">
        <v>42629</v>
      </c>
      <c r="E460" s="63" t="s">
        <v>138</v>
      </c>
      <c r="F460" s="65">
        <v>29528</v>
      </c>
      <c r="G460" s="66">
        <v>1.4441199893814699E-2</v>
      </c>
      <c r="H460" s="65">
        <v>186</v>
      </c>
      <c r="I460" s="67">
        <v>0.134411769179518</v>
      </c>
      <c r="J460" s="67">
        <v>1.9410672268027001</v>
      </c>
      <c r="K460" s="65">
        <v>54</v>
      </c>
      <c r="L460" s="65">
        <v>7</v>
      </c>
      <c r="M460" s="66">
        <v>3.6764705882352902E-3</v>
      </c>
      <c r="N460" s="67">
        <v>120.469182558881</v>
      </c>
      <c r="O460" s="67">
        <v>120.469182558881</v>
      </c>
      <c r="P460" s="67">
        <v>36.560001216828802</v>
      </c>
      <c r="Q460" s="77">
        <v>0.30348011367105798</v>
      </c>
    </row>
    <row r="461" spans="1:17" x14ac:dyDescent="0.35">
      <c r="A461" s="76" t="s">
        <v>136</v>
      </c>
      <c r="B461" s="63">
        <v>658393</v>
      </c>
      <c r="C461" s="63" t="s">
        <v>141</v>
      </c>
      <c r="D461" s="64">
        <v>42630</v>
      </c>
      <c r="E461" s="63" t="s">
        <v>138</v>
      </c>
      <c r="F461" s="65">
        <v>21130</v>
      </c>
      <c r="G461" s="66">
        <v>1.0586900810822201E-2</v>
      </c>
      <c r="H461" s="65">
        <v>477</v>
      </c>
      <c r="I461" s="67">
        <v>0.17718254313582499</v>
      </c>
      <c r="J461" s="67">
        <v>1.8758140095882001</v>
      </c>
      <c r="K461" s="65">
        <v>56</v>
      </c>
      <c r="L461" s="65">
        <v>3</v>
      </c>
      <c r="M461" s="66">
        <v>3.9682539682539698E-3</v>
      </c>
      <c r="N461" s="67">
        <v>105.69715007859701</v>
      </c>
      <c r="O461" s="67">
        <v>105.69715007859701</v>
      </c>
      <c r="P461" s="67">
        <v>44.6500008702278</v>
      </c>
      <c r="Q461" s="77">
        <v>0.42243334694479301</v>
      </c>
    </row>
    <row r="462" spans="1:17" x14ac:dyDescent="0.35">
      <c r="A462" s="76" t="s">
        <v>136</v>
      </c>
      <c r="B462" s="63">
        <v>658393</v>
      </c>
      <c r="C462" s="63" t="s">
        <v>141</v>
      </c>
      <c r="D462" s="64">
        <v>42631</v>
      </c>
      <c r="E462" s="63" t="s">
        <v>138</v>
      </c>
      <c r="F462" s="65">
        <v>35807</v>
      </c>
      <c r="G462" s="66">
        <v>1.1461910870194899E-2</v>
      </c>
      <c r="H462" s="65">
        <v>407</v>
      </c>
      <c r="I462" s="67">
        <v>0.175126352787879</v>
      </c>
      <c r="J462" s="67">
        <v>2.0072826466769702</v>
      </c>
      <c r="K462" s="65">
        <v>78</v>
      </c>
      <c r="L462" s="65">
        <v>4</v>
      </c>
      <c r="M462" s="66">
        <v>7.2202166064982004E-3</v>
      </c>
      <c r="N462" s="67">
        <v>216.818056847538</v>
      </c>
      <c r="O462" s="67">
        <v>108.409028423769</v>
      </c>
      <c r="P462" s="67">
        <v>48.509999722242398</v>
      </c>
      <c r="Q462" s="77">
        <v>0.22373597673349499</v>
      </c>
    </row>
    <row r="463" spans="1:17" x14ac:dyDescent="0.35">
      <c r="A463" s="76" t="s">
        <v>136</v>
      </c>
      <c r="B463" s="63">
        <v>658393</v>
      </c>
      <c r="C463" s="63" t="s">
        <v>141</v>
      </c>
      <c r="D463" s="64">
        <v>42632</v>
      </c>
      <c r="E463" s="63" t="s">
        <v>138</v>
      </c>
      <c r="F463" s="65">
        <v>59970</v>
      </c>
      <c r="G463" s="66">
        <v>1.0779029887310099E-2</v>
      </c>
      <c r="H463" s="65">
        <v>323</v>
      </c>
      <c r="I463" s="67">
        <v>0.14436363723467699</v>
      </c>
      <c r="J463" s="67">
        <v>1.5560999603933801</v>
      </c>
      <c r="K463" s="65">
        <v>76</v>
      </c>
      <c r="L463" s="65">
        <v>5</v>
      </c>
      <c r="M463" s="66">
        <v>9.0909090909090905E-3</v>
      </c>
      <c r="N463" s="67">
        <v>303.15723145004898</v>
      </c>
      <c r="O463" s="67">
        <v>151.578615725025</v>
      </c>
      <c r="P463" s="67">
        <v>31.760000191628901</v>
      </c>
      <c r="Q463" s="77">
        <v>0.10476411873705201</v>
      </c>
    </row>
    <row r="464" spans="1:17" x14ac:dyDescent="0.35">
      <c r="A464" s="76" t="s">
        <v>136</v>
      </c>
      <c r="B464" s="63">
        <v>658393</v>
      </c>
      <c r="C464" s="63" t="s">
        <v>141</v>
      </c>
      <c r="D464" s="64">
        <v>42633</v>
      </c>
      <c r="E464" s="63" t="s">
        <v>138</v>
      </c>
      <c r="F464" s="65">
        <v>47335</v>
      </c>
      <c r="G464" s="66">
        <v>1.37053087757313E-2</v>
      </c>
      <c r="H464" s="65">
        <v>556</v>
      </c>
      <c r="I464" s="67">
        <v>0.155256916912412</v>
      </c>
      <c r="J464" s="67">
        <v>2.1278439858526701</v>
      </c>
      <c r="K464" s="65">
        <v>97</v>
      </c>
      <c r="L464" s="65">
        <v>1</v>
      </c>
      <c r="M464" s="66">
        <v>3.9525691699604697E-3</v>
      </c>
      <c r="N464" s="67">
        <v>26.369168020575199</v>
      </c>
      <c r="O464" s="67">
        <v>26.369168020575199</v>
      </c>
      <c r="P464" s="67">
        <v>39.279999978840401</v>
      </c>
      <c r="Q464" s="77">
        <v>1.48961847974085</v>
      </c>
    </row>
    <row r="465" spans="1:17" x14ac:dyDescent="0.35">
      <c r="A465" s="76" t="s">
        <v>136</v>
      </c>
      <c r="B465" s="63">
        <v>658393</v>
      </c>
      <c r="C465" s="63" t="s">
        <v>141</v>
      </c>
      <c r="D465" s="64">
        <v>42634</v>
      </c>
      <c r="E465" s="63" t="s">
        <v>138</v>
      </c>
      <c r="F465" s="65">
        <v>4027</v>
      </c>
      <c r="G465" s="66">
        <v>1.1038007721167999E-2</v>
      </c>
      <c r="H465" s="65">
        <v>193</v>
      </c>
      <c r="I465" s="67">
        <v>0.17049261156855</v>
      </c>
      <c r="J465" s="67">
        <v>1.88189876289574</v>
      </c>
      <c r="K465" s="65">
        <v>50</v>
      </c>
      <c r="L465" s="65">
        <v>5</v>
      </c>
      <c r="M465" s="66">
        <v>9.8522167487684695E-3</v>
      </c>
      <c r="N465" s="67">
        <v>216.64167714188301</v>
      </c>
      <c r="O465" s="67">
        <v>108.320838570942</v>
      </c>
      <c r="P465" s="67">
        <v>34.610000148415601</v>
      </c>
      <c r="Q465" s="77">
        <v>0.15975688798674101</v>
      </c>
    </row>
    <row r="466" spans="1:17" x14ac:dyDescent="0.35">
      <c r="A466" s="76" t="s">
        <v>136</v>
      </c>
      <c r="B466" s="63">
        <v>658393</v>
      </c>
      <c r="C466" s="63" t="s">
        <v>141</v>
      </c>
      <c r="D466" s="64">
        <v>42635</v>
      </c>
      <c r="E466" s="63" t="s">
        <v>138</v>
      </c>
      <c r="F466" s="65">
        <v>34656</v>
      </c>
      <c r="G466" s="66">
        <v>1.22444055733156E-2</v>
      </c>
      <c r="H466" s="65">
        <v>306</v>
      </c>
      <c r="I466" s="67">
        <v>0.174679804428164</v>
      </c>
      <c r="J466" s="67">
        <v>2.1388503708858999</v>
      </c>
      <c r="K466" s="65">
        <v>52</v>
      </c>
      <c r="L466" s="65">
        <v>5</v>
      </c>
      <c r="M466" s="66">
        <v>4.92610837438424E-3</v>
      </c>
      <c r="N466" s="67">
        <v>61.689740672230499</v>
      </c>
      <c r="O466" s="67">
        <v>61.689740672230499</v>
      </c>
      <c r="P466" s="67">
        <v>35.460000298917301</v>
      </c>
      <c r="Q466" s="77">
        <v>0.57481195272522101</v>
      </c>
    </row>
    <row r="467" spans="1:17" x14ac:dyDescent="0.35">
      <c r="A467" s="76" t="s">
        <v>136</v>
      </c>
      <c r="B467" s="63">
        <v>658393</v>
      </c>
      <c r="C467" s="63" t="s">
        <v>141</v>
      </c>
      <c r="D467" s="64">
        <v>42636</v>
      </c>
      <c r="E467" s="63" t="s">
        <v>138</v>
      </c>
      <c r="F467" s="65">
        <v>58797</v>
      </c>
      <c r="G467" s="66">
        <v>1.19113929474271E-2</v>
      </c>
      <c r="H467" s="65">
        <v>514</v>
      </c>
      <c r="I467" s="67">
        <v>0.16755395706930601</v>
      </c>
      <c r="J467" s="67">
        <v>1.9958010225488301</v>
      </c>
      <c r="K467" s="65">
        <v>71</v>
      </c>
      <c r="L467" s="65">
        <v>4</v>
      </c>
      <c r="M467" s="66">
        <v>3.5971223021582701E-3</v>
      </c>
      <c r="N467" s="67">
        <v>52.870624184618997</v>
      </c>
      <c r="O467" s="67">
        <v>52.870624184618997</v>
      </c>
      <c r="P467" s="67">
        <v>46.5800000652671</v>
      </c>
      <c r="Q467" s="77">
        <v>0.88101853881305303</v>
      </c>
    </row>
    <row r="468" spans="1:17" x14ac:dyDescent="0.35">
      <c r="A468" s="76" t="s">
        <v>136</v>
      </c>
      <c r="B468" s="63">
        <v>658393</v>
      </c>
      <c r="C468" s="63" t="s">
        <v>141</v>
      </c>
      <c r="D468" s="64">
        <v>42637</v>
      </c>
      <c r="E468" s="63" t="s">
        <v>138</v>
      </c>
      <c r="F468" s="65">
        <v>13682</v>
      </c>
      <c r="G468" s="66">
        <v>9.4145134689389808E-3</v>
      </c>
      <c r="H468" s="65">
        <v>555</v>
      </c>
      <c r="I468" s="67">
        <v>0.17273722676030001</v>
      </c>
      <c r="J468" s="67">
        <v>1.62623694792201</v>
      </c>
      <c r="K468" s="65">
        <v>95</v>
      </c>
      <c r="L468" s="65">
        <v>6</v>
      </c>
      <c r="M468" s="66">
        <v>1.09489051094891E-2</v>
      </c>
      <c r="N468" s="67">
        <v>324.587708838308</v>
      </c>
      <c r="O468" s="67">
        <v>108.195902946103</v>
      </c>
      <c r="P468" s="67">
        <v>47.330000132322297</v>
      </c>
      <c r="Q468" s="77">
        <v>0.14581574977597</v>
      </c>
    </row>
    <row r="469" spans="1:17" x14ac:dyDescent="0.35">
      <c r="A469" s="76" t="s">
        <v>136</v>
      </c>
      <c r="B469" s="63">
        <v>658393</v>
      </c>
      <c r="C469" s="63" t="s">
        <v>141</v>
      </c>
      <c r="D469" s="64">
        <v>42638</v>
      </c>
      <c r="E469" s="63" t="s">
        <v>138</v>
      </c>
      <c r="F469" s="65">
        <v>36319</v>
      </c>
      <c r="G469" s="66">
        <v>8.5031219191587307E-3</v>
      </c>
      <c r="H469" s="65">
        <v>230</v>
      </c>
      <c r="I469" s="67">
        <v>0.254299521086297</v>
      </c>
      <c r="J469" s="67">
        <v>2.1623398317804599</v>
      </c>
      <c r="K469" s="65">
        <v>87</v>
      </c>
      <c r="L469" s="65">
        <v>7</v>
      </c>
      <c r="M469" s="66">
        <v>1.9323671497584499E-2</v>
      </c>
      <c r="N469" s="67">
        <v>288.95845992696201</v>
      </c>
      <c r="O469" s="67">
        <v>72.239614981740402</v>
      </c>
      <c r="P469" s="67">
        <v>52.640000864863403</v>
      </c>
      <c r="Q469" s="77">
        <v>0.18217151655005701</v>
      </c>
    </row>
    <row r="470" spans="1:17" x14ac:dyDescent="0.35">
      <c r="A470" s="76" t="s">
        <v>136</v>
      </c>
      <c r="B470" s="63">
        <v>658393</v>
      </c>
      <c r="C470" s="63" t="s">
        <v>141</v>
      </c>
      <c r="D470" s="64">
        <v>42639</v>
      </c>
      <c r="E470" s="63" t="s">
        <v>138</v>
      </c>
      <c r="F470" s="65">
        <v>20970</v>
      </c>
      <c r="G470" s="66">
        <v>1.02990970654628E-2</v>
      </c>
      <c r="H470" s="65">
        <v>339</v>
      </c>
      <c r="I470" s="67">
        <v>0.209863016152219</v>
      </c>
      <c r="J470" s="67">
        <v>2.16139957380248</v>
      </c>
      <c r="K470" s="65">
        <v>18</v>
      </c>
      <c r="L470" s="65">
        <v>7</v>
      </c>
      <c r="M470" s="66">
        <v>1.3698630136986301E-2</v>
      </c>
      <c r="N470" s="67">
        <v>697.94513969175796</v>
      </c>
      <c r="O470" s="67">
        <v>232.64837989725299</v>
      </c>
      <c r="P470" s="67">
        <v>45.960000537335901</v>
      </c>
      <c r="Q470" s="77">
        <v>6.5850448586308299E-2</v>
      </c>
    </row>
    <row r="471" spans="1:17" x14ac:dyDescent="0.35">
      <c r="A471" s="76" t="s">
        <v>136</v>
      </c>
      <c r="B471" s="63">
        <v>658393</v>
      </c>
      <c r="C471" s="63" t="s">
        <v>141</v>
      </c>
      <c r="D471" s="64">
        <v>42640</v>
      </c>
      <c r="E471" s="63" t="s">
        <v>138</v>
      </c>
      <c r="F471" s="65">
        <v>31248</v>
      </c>
      <c r="G471" s="66">
        <v>7.52572864406836E-3</v>
      </c>
      <c r="H471" s="65">
        <v>318</v>
      </c>
      <c r="I471" s="67">
        <v>0.20567742047771301</v>
      </c>
      <c r="J471" s="67">
        <v>1.54787338192103</v>
      </c>
      <c r="K471" s="65">
        <v>91</v>
      </c>
      <c r="L471" s="65">
        <v>5</v>
      </c>
      <c r="M471" s="66">
        <v>1.9354838709677399E-2</v>
      </c>
      <c r="N471" s="67">
        <v>303.15724827118601</v>
      </c>
      <c r="O471" s="67">
        <v>101.052416090395</v>
      </c>
      <c r="P471" s="67">
        <v>31.880000174045598</v>
      </c>
      <c r="Q471" s="77">
        <v>0.105159947043482</v>
      </c>
    </row>
    <row r="472" spans="1:17" x14ac:dyDescent="0.35">
      <c r="A472" s="76" t="s">
        <v>136</v>
      </c>
      <c r="B472" s="63">
        <v>658393</v>
      </c>
      <c r="C472" s="63" t="s">
        <v>141</v>
      </c>
      <c r="D472" s="64">
        <v>42641</v>
      </c>
      <c r="E472" s="63" t="s">
        <v>138</v>
      </c>
      <c r="F472" s="65">
        <v>55228</v>
      </c>
      <c r="G472" s="66">
        <v>8.1243568217516104E-3</v>
      </c>
      <c r="H472" s="65">
        <v>470</v>
      </c>
      <c r="I472" s="67">
        <v>0.20800000453988701</v>
      </c>
      <c r="J472" s="67">
        <v>1.689866255808</v>
      </c>
      <c r="K472" s="65">
        <v>10</v>
      </c>
      <c r="L472" s="65">
        <v>4</v>
      </c>
      <c r="M472" s="66">
        <v>1.3333333333333299E-2</v>
      </c>
      <c r="N472" s="67">
        <v>293.05935536798501</v>
      </c>
      <c r="O472" s="67">
        <v>146.52967768399199</v>
      </c>
      <c r="P472" s="67">
        <v>31.200000680983099</v>
      </c>
      <c r="Q472" s="77">
        <v>0.10646307688013</v>
      </c>
    </row>
    <row r="473" spans="1:17" x14ac:dyDescent="0.35">
      <c r="A473" s="76" t="s">
        <v>136</v>
      </c>
      <c r="B473" s="63">
        <v>658393</v>
      </c>
      <c r="C473" s="63" t="s">
        <v>141</v>
      </c>
      <c r="D473" s="64">
        <v>42642</v>
      </c>
      <c r="E473" s="63" t="s">
        <v>138</v>
      </c>
      <c r="F473" s="65">
        <v>34253</v>
      </c>
      <c r="G473" s="66">
        <v>9.7947030246042892E-3</v>
      </c>
      <c r="H473" s="65">
        <v>162</v>
      </c>
      <c r="I473" s="67">
        <v>0.237120010077953</v>
      </c>
      <c r="J473" s="67">
        <v>2.3225200799047299</v>
      </c>
      <c r="K473" s="65">
        <v>11</v>
      </c>
      <c r="L473" s="65">
        <v>9</v>
      </c>
      <c r="M473" s="66">
        <v>8.0000000000000002E-3</v>
      </c>
      <c r="N473" s="67">
        <v>154.11411941088301</v>
      </c>
      <c r="O473" s="67">
        <v>154.11411941088301</v>
      </c>
      <c r="P473" s="67">
        <v>29.640001259744199</v>
      </c>
      <c r="Q473" s="77">
        <v>0.192325021049636</v>
      </c>
    </row>
    <row r="474" spans="1:17" x14ac:dyDescent="0.35">
      <c r="A474" s="76" t="s">
        <v>136</v>
      </c>
      <c r="B474" s="63">
        <v>658393</v>
      </c>
      <c r="C474" s="63" t="s">
        <v>141</v>
      </c>
      <c r="D474" s="64">
        <v>42643</v>
      </c>
      <c r="E474" s="63" t="s">
        <v>138</v>
      </c>
      <c r="F474" s="65">
        <v>58408</v>
      </c>
      <c r="G474" s="66">
        <v>6.8615342390558496E-3</v>
      </c>
      <c r="H474" s="65">
        <v>470</v>
      </c>
      <c r="I474" s="67">
        <v>0.23150000803172599</v>
      </c>
      <c r="J474" s="67">
        <v>1.5884452314513899</v>
      </c>
      <c r="K474" s="65">
        <v>36</v>
      </c>
      <c r="L474" s="65">
        <v>2</v>
      </c>
      <c r="M474" s="66">
        <v>0</v>
      </c>
      <c r="N474" s="67">
        <v>0</v>
      </c>
      <c r="O474" s="67">
        <v>0</v>
      </c>
      <c r="P474" s="67">
        <v>23.150000803172599</v>
      </c>
      <c r="Q474" s="77">
        <v>0</v>
      </c>
    </row>
    <row r="475" spans="1:17" x14ac:dyDescent="0.35">
      <c r="A475" s="76" t="s">
        <v>136</v>
      </c>
      <c r="B475" s="63">
        <v>658393</v>
      </c>
      <c r="C475" s="63" t="s">
        <v>141</v>
      </c>
      <c r="D475" s="64">
        <v>42644</v>
      </c>
      <c r="E475" s="63" t="s">
        <v>138</v>
      </c>
      <c r="F475" s="65">
        <v>36265</v>
      </c>
      <c r="G475" s="66">
        <v>9.8938842466806797E-3</v>
      </c>
      <c r="H475" s="65">
        <v>280</v>
      </c>
      <c r="I475" s="67">
        <v>0.21699482468897799</v>
      </c>
      <c r="J475" s="67">
        <v>2.1469216776015201</v>
      </c>
      <c r="K475" s="65">
        <v>29</v>
      </c>
      <c r="L475" s="65">
        <v>9</v>
      </c>
      <c r="M475" s="66">
        <v>1.03626943005181E-2</v>
      </c>
      <c r="N475" s="67">
        <v>209.12866197992599</v>
      </c>
      <c r="O475" s="67">
        <v>104.564330989963</v>
      </c>
      <c r="P475" s="67">
        <v>41.880001164972803</v>
      </c>
      <c r="Q475" s="77">
        <v>0.20025949943194701</v>
      </c>
    </row>
    <row r="476" spans="1:17" x14ac:dyDescent="0.35">
      <c r="A476" s="76" t="s">
        <v>136</v>
      </c>
      <c r="B476" s="63">
        <v>658393</v>
      </c>
      <c r="C476" s="63" t="s">
        <v>141</v>
      </c>
      <c r="D476" s="64">
        <v>42645</v>
      </c>
      <c r="E476" s="63" t="s">
        <v>138</v>
      </c>
      <c r="F476" s="65">
        <v>44445</v>
      </c>
      <c r="G476" s="66">
        <v>8.3357286576602498E-3</v>
      </c>
      <c r="H476" s="65">
        <v>251</v>
      </c>
      <c r="I476" s="67">
        <v>0.258078822985365</v>
      </c>
      <c r="J476" s="67">
        <v>2.1512750406943302</v>
      </c>
      <c r="K476" s="65">
        <v>56</v>
      </c>
      <c r="L476" s="65">
        <v>2</v>
      </c>
      <c r="M476" s="66">
        <v>9.8522167487684695E-3</v>
      </c>
      <c r="N476" s="67">
        <v>417.59457256145902</v>
      </c>
      <c r="O476" s="67">
        <v>208.797286280729</v>
      </c>
      <c r="P476" s="67">
        <v>52.3900010660291</v>
      </c>
      <c r="Q476" s="77">
        <v>0.12545661392263099</v>
      </c>
    </row>
    <row r="477" spans="1:17" x14ac:dyDescent="0.35">
      <c r="A477" s="76" t="s">
        <v>136</v>
      </c>
      <c r="B477" s="63">
        <v>658393</v>
      </c>
      <c r="C477" s="63" t="s">
        <v>141</v>
      </c>
      <c r="D477" s="64">
        <v>42646</v>
      </c>
      <c r="E477" s="63" t="s">
        <v>138</v>
      </c>
      <c r="F477" s="65">
        <v>43499</v>
      </c>
      <c r="G477" s="66">
        <v>6.5517732516735504E-3</v>
      </c>
      <c r="H477" s="65">
        <v>440</v>
      </c>
      <c r="I477" s="67">
        <v>0.29608696452139499</v>
      </c>
      <c r="J477" s="67">
        <v>1.93989465432049</v>
      </c>
      <c r="K477" s="65">
        <v>85</v>
      </c>
      <c r="L477" s="65">
        <v>4</v>
      </c>
      <c r="M477" s="66">
        <v>1.6304347826087001E-2</v>
      </c>
      <c r="N477" s="67">
        <v>178.243196149646</v>
      </c>
      <c r="O477" s="67">
        <v>59.414398716548703</v>
      </c>
      <c r="P477" s="67">
        <v>54.480001471936703</v>
      </c>
      <c r="Q477" s="77">
        <v>0.30564982366113702</v>
      </c>
    </row>
    <row r="478" spans="1:17" x14ac:dyDescent="0.35">
      <c r="A478" s="76" t="s">
        <v>136</v>
      </c>
      <c r="B478" s="63">
        <v>658393</v>
      </c>
      <c r="C478" s="63" t="s">
        <v>141</v>
      </c>
      <c r="D478" s="64">
        <v>42647</v>
      </c>
      <c r="E478" s="63" t="s">
        <v>138</v>
      </c>
      <c r="F478" s="65">
        <v>63126</v>
      </c>
      <c r="G478" s="66">
        <v>7.6899944150878603E-3</v>
      </c>
      <c r="H478" s="65">
        <v>151</v>
      </c>
      <c r="I478" s="67">
        <v>0.36189945524964301</v>
      </c>
      <c r="J478" s="67">
        <v>2.7830047896930901</v>
      </c>
      <c r="K478" s="65">
        <v>87</v>
      </c>
      <c r="L478" s="65">
        <v>3</v>
      </c>
      <c r="M478" s="66">
        <v>1.11731843575419E-2</v>
      </c>
      <c r="N478" s="67">
        <v>204.88688110588899</v>
      </c>
      <c r="O478" s="67">
        <v>102.443440552944</v>
      </c>
      <c r="P478" s="67">
        <v>64.780002489685998</v>
      </c>
      <c r="Q478" s="77">
        <v>0.316174477057936</v>
      </c>
    </row>
    <row r="479" spans="1:17" x14ac:dyDescent="0.35">
      <c r="A479" s="76" t="s">
        <v>136</v>
      </c>
      <c r="B479" s="63">
        <v>658393</v>
      </c>
      <c r="C479" s="63" t="s">
        <v>141</v>
      </c>
      <c r="D479" s="64">
        <v>42648</v>
      </c>
      <c r="E479" s="63" t="s">
        <v>138</v>
      </c>
      <c r="F479" s="65">
        <v>66813</v>
      </c>
      <c r="G479" s="66">
        <v>8.1252044934016793E-3</v>
      </c>
      <c r="H479" s="65">
        <v>497</v>
      </c>
      <c r="I479" s="67">
        <v>0.398791975673013</v>
      </c>
      <c r="J479" s="67">
        <v>3.2402663526709001</v>
      </c>
      <c r="K479" s="65">
        <v>88</v>
      </c>
      <c r="L479" s="65">
        <v>8</v>
      </c>
      <c r="M479" s="66">
        <v>2.68456375838926E-2</v>
      </c>
      <c r="N479" s="67">
        <v>669.40614384111495</v>
      </c>
      <c r="O479" s="67">
        <v>167.35153596027899</v>
      </c>
      <c r="P479" s="67">
        <v>59.420004375278999</v>
      </c>
      <c r="Q479" s="77">
        <v>8.8765250994443295E-2</v>
      </c>
    </row>
    <row r="480" spans="1:17" x14ac:dyDescent="0.35">
      <c r="A480" s="76" t="s">
        <v>136</v>
      </c>
      <c r="B480" s="63">
        <v>658393</v>
      </c>
      <c r="C480" s="63" t="s">
        <v>141</v>
      </c>
      <c r="D480" s="64">
        <v>42649</v>
      </c>
      <c r="E480" s="63" t="s">
        <v>138</v>
      </c>
      <c r="F480" s="65">
        <v>28543</v>
      </c>
      <c r="G480" s="66">
        <v>8.3857442348008408E-3</v>
      </c>
      <c r="H480" s="65">
        <v>282</v>
      </c>
      <c r="I480" s="67">
        <v>0.39136365789807198</v>
      </c>
      <c r="J480" s="67">
        <v>3.2818755379293298</v>
      </c>
      <c r="K480" s="65">
        <v>93</v>
      </c>
      <c r="L480" s="65">
        <v>6</v>
      </c>
      <c r="M480" s="66">
        <v>1.5151515151515201E-2</v>
      </c>
      <c r="N480" s="67">
        <v>109.446803012388</v>
      </c>
      <c r="O480" s="67">
        <v>54.723401506194101</v>
      </c>
      <c r="P480" s="67">
        <v>51.660002842545502</v>
      </c>
      <c r="Q480" s="77">
        <v>0.47201015854888201</v>
      </c>
    </row>
    <row r="481" spans="1:17" x14ac:dyDescent="0.35">
      <c r="A481" s="76" t="s">
        <v>136</v>
      </c>
      <c r="B481" s="63">
        <v>658393</v>
      </c>
      <c r="C481" s="63" t="s">
        <v>141</v>
      </c>
      <c r="D481" s="64">
        <v>42650</v>
      </c>
      <c r="E481" s="63" t="s">
        <v>138</v>
      </c>
      <c r="F481" s="65">
        <v>4755</v>
      </c>
      <c r="G481" s="66">
        <v>7.8394481028535596E-3</v>
      </c>
      <c r="H481" s="65">
        <v>536</v>
      </c>
      <c r="I481" s="67">
        <v>0.36973335360487303</v>
      </c>
      <c r="J481" s="67">
        <v>2.8985054374794101</v>
      </c>
      <c r="K481" s="65">
        <v>80</v>
      </c>
      <c r="L481" s="65">
        <v>7</v>
      </c>
      <c r="M481" s="66">
        <v>1.3333333333333299E-2</v>
      </c>
      <c r="N481" s="67">
        <v>312.56627513983898</v>
      </c>
      <c r="O481" s="67">
        <v>156.28313756992</v>
      </c>
      <c r="P481" s="67">
        <v>55.460003040731003</v>
      </c>
      <c r="Q481" s="77">
        <v>0.17743437936776299</v>
      </c>
    </row>
    <row r="482" spans="1:17" x14ac:dyDescent="0.35">
      <c r="A482" s="76" t="s">
        <v>136</v>
      </c>
      <c r="B482" s="63">
        <v>658393</v>
      </c>
      <c r="C482" s="63" t="s">
        <v>141</v>
      </c>
      <c r="D482" s="64">
        <v>42651</v>
      </c>
      <c r="E482" s="63" t="s">
        <v>138</v>
      </c>
      <c r="F482" s="65">
        <v>30396</v>
      </c>
      <c r="G482" s="66">
        <v>6.3314558237059599E-3</v>
      </c>
      <c r="H482" s="65">
        <v>570</v>
      </c>
      <c r="I482" s="67">
        <v>0.32597404287813497</v>
      </c>
      <c r="J482" s="67">
        <v>2.06389025215775</v>
      </c>
      <c r="K482" s="65">
        <v>83</v>
      </c>
      <c r="L482" s="65">
        <v>2</v>
      </c>
      <c r="M482" s="66">
        <v>1.2987012987013E-2</v>
      </c>
      <c r="N482" s="67">
        <v>212.884406059106</v>
      </c>
      <c r="O482" s="67">
        <v>106.442203029553</v>
      </c>
      <c r="P482" s="67">
        <v>50.200002603232903</v>
      </c>
      <c r="Q482" s="77">
        <v>0.235808735512995</v>
      </c>
    </row>
    <row r="483" spans="1:17" x14ac:dyDescent="0.35">
      <c r="A483" s="76" t="s">
        <v>136</v>
      </c>
      <c r="B483" s="63">
        <v>658393</v>
      </c>
      <c r="C483" s="63" t="s">
        <v>141</v>
      </c>
      <c r="D483" s="64">
        <v>42652</v>
      </c>
      <c r="E483" s="63" t="s">
        <v>138</v>
      </c>
      <c r="F483" s="65">
        <v>50520</v>
      </c>
      <c r="G483" s="66">
        <v>8.4155798378568892E-3</v>
      </c>
      <c r="H483" s="65">
        <v>238</v>
      </c>
      <c r="I483" s="67">
        <v>0.376596878648428</v>
      </c>
      <c r="J483" s="67">
        <v>3.16928109895355</v>
      </c>
      <c r="K483" s="65">
        <v>50</v>
      </c>
      <c r="L483" s="65">
        <v>1</v>
      </c>
      <c r="M483" s="66">
        <v>0</v>
      </c>
      <c r="N483" s="67">
        <v>0</v>
      </c>
      <c r="O483" s="67">
        <v>0</v>
      </c>
      <c r="P483" s="67">
        <v>71.930003821849795</v>
      </c>
      <c r="Q483" s="77">
        <v>0</v>
      </c>
    </row>
    <row r="484" spans="1:17" x14ac:dyDescent="0.35">
      <c r="A484" s="76" t="s">
        <v>136</v>
      </c>
      <c r="B484" s="63">
        <v>658393</v>
      </c>
      <c r="C484" s="63" t="s">
        <v>141</v>
      </c>
      <c r="D484" s="64">
        <v>42653</v>
      </c>
      <c r="E484" s="63" t="s">
        <v>138</v>
      </c>
      <c r="F484" s="65">
        <v>44577</v>
      </c>
      <c r="G484" s="66">
        <v>7.4734906287905502E-3</v>
      </c>
      <c r="H484" s="65">
        <v>481</v>
      </c>
      <c r="I484" s="67">
        <v>0.40198954627776001</v>
      </c>
      <c r="J484" s="67">
        <v>3.0042651069785999</v>
      </c>
      <c r="K484" s="65">
        <v>44</v>
      </c>
      <c r="L484" s="65">
        <v>3</v>
      </c>
      <c r="M484" s="66">
        <v>1.04712041884817E-2</v>
      </c>
      <c r="N484" s="67">
        <v>141.26016125320001</v>
      </c>
      <c r="O484" s="67">
        <v>70.630080626600005</v>
      </c>
      <c r="P484" s="67">
        <v>76.7800033390522</v>
      </c>
      <c r="Q484" s="77">
        <v>0.543536143933949</v>
      </c>
    </row>
    <row r="485" spans="1:17" x14ac:dyDescent="0.35">
      <c r="A485" s="76" t="s">
        <v>136</v>
      </c>
      <c r="B485" s="63">
        <v>658393</v>
      </c>
      <c r="C485" s="63" t="s">
        <v>141</v>
      </c>
      <c r="D485" s="64">
        <v>42654</v>
      </c>
      <c r="E485" s="63" t="s">
        <v>138</v>
      </c>
      <c r="F485" s="65">
        <v>36158</v>
      </c>
      <c r="G485" s="66">
        <v>7.1054205212986703E-3</v>
      </c>
      <c r="H485" s="65">
        <v>594</v>
      </c>
      <c r="I485" s="67">
        <v>0.450495064738068</v>
      </c>
      <c r="J485" s="67">
        <v>3.2009568777336499</v>
      </c>
      <c r="K485" s="65">
        <v>87</v>
      </c>
      <c r="L485" s="65">
        <v>6</v>
      </c>
      <c r="M485" s="66">
        <v>1.9801980198019799E-2</v>
      </c>
      <c r="N485" s="67">
        <v>1013.47649211216</v>
      </c>
      <c r="O485" s="67">
        <v>253.36912302804001</v>
      </c>
      <c r="P485" s="67">
        <v>91.000003077089801</v>
      </c>
      <c r="Q485" s="77">
        <v>8.9789949530490798E-2</v>
      </c>
    </row>
    <row r="486" spans="1:17" x14ac:dyDescent="0.35">
      <c r="A486" s="76" t="s">
        <v>136</v>
      </c>
      <c r="B486" s="63">
        <v>658393</v>
      </c>
      <c r="C486" s="63" t="s">
        <v>141</v>
      </c>
      <c r="D486" s="64">
        <v>42655</v>
      </c>
      <c r="E486" s="63" t="s">
        <v>138</v>
      </c>
      <c r="F486" s="65">
        <v>51710</v>
      </c>
      <c r="G486" s="66">
        <v>7.8879310344827595E-3</v>
      </c>
      <c r="H486" s="65">
        <v>311</v>
      </c>
      <c r="I486" s="67">
        <v>0.47683061024204598</v>
      </c>
      <c r="J486" s="67">
        <v>3.7612069687195899</v>
      </c>
      <c r="K486" s="65">
        <v>75</v>
      </c>
      <c r="L486" s="65">
        <v>12</v>
      </c>
      <c r="M486" s="66">
        <v>4.91803278688525E-2</v>
      </c>
      <c r="N486" s="67">
        <v>1705.85893244657</v>
      </c>
      <c r="O486" s="67">
        <v>189.53988138295301</v>
      </c>
      <c r="P486" s="67">
        <v>87.2600016742945</v>
      </c>
      <c r="Q486" s="77">
        <v>5.1153117068798097E-2</v>
      </c>
    </row>
    <row r="487" spans="1:17" x14ac:dyDescent="0.35">
      <c r="A487" s="76" t="s">
        <v>136</v>
      </c>
      <c r="B487" s="63">
        <v>658393</v>
      </c>
      <c r="C487" s="63" t="s">
        <v>141</v>
      </c>
      <c r="D487" s="64">
        <v>42656</v>
      </c>
      <c r="E487" s="63" t="s">
        <v>138</v>
      </c>
      <c r="F487" s="65">
        <v>33200</v>
      </c>
      <c r="G487" s="66">
        <v>8.0915501098138901E-3</v>
      </c>
      <c r="H487" s="65">
        <v>564</v>
      </c>
      <c r="I487" s="67">
        <v>0.49371430277824402</v>
      </c>
      <c r="J487" s="67">
        <v>3.99491402086199</v>
      </c>
      <c r="K487" s="65">
        <v>19</v>
      </c>
      <c r="L487" s="65">
        <v>7</v>
      </c>
      <c r="M487" s="66">
        <v>4.2857142857142899E-2</v>
      </c>
      <c r="N487" s="67">
        <v>482.63521150634199</v>
      </c>
      <c r="O487" s="67">
        <v>80.439201917723594</v>
      </c>
      <c r="P487" s="67">
        <v>69.120002388954205</v>
      </c>
      <c r="Q487" s="77">
        <v>0.14321375801244399</v>
      </c>
    </row>
    <row r="488" spans="1:17" x14ac:dyDescent="0.35">
      <c r="A488" s="76" t="s">
        <v>136</v>
      </c>
      <c r="B488" s="63">
        <v>658393</v>
      </c>
      <c r="C488" s="63" t="s">
        <v>141</v>
      </c>
      <c r="D488" s="64">
        <v>42657</v>
      </c>
      <c r="E488" s="63" t="s">
        <v>138</v>
      </c>
      <c r="F488" s="65">
        <v>15219</v>
      </c>
      <c r="G488" s="66">
        <v>8.5638703313455598E-3</v>
      </c>
      <c r="H488" s="65">
        <v>196</v>
      </c>
      <c r="I488" s="67">
        <v>0.36052356773490102</v>
      </c>
      <c r="J488" s="67">
        <v>3.0874770854757698</v>
      </c>
      <c r="K488" s="65">
        <v>44</v>
      </c>
      <c r="L488" s="65">
        <v>6</v>
      </c>
      <c r="M488" s="66">
        <v>1.5706806282722498E-2</v>
      </c>
      <c r="N488" s="67">
        <v>422.54329949733301</v>
      </c>
      <c r="O488" s="67">
        <v>140.847766499111</v>
      </c>
      <c r="P488" s="67">
        <v>68.860001437365995</v>
      </c>
      <c r="Q488" s="77">
        <v>0.162965550558448</v>
      </c>
    </row>
    <row r="489" spans="1:17" x14ac:dyDescent="0.35">
      <c r="A489" s="76" t="s">
        <v>136</v>
      </c>
      <c r="B489" s="63">
        <v>658393</v>
      </c>
      <c r="C489" s="63" t="s">
        <v>141</v>
      </c>
      <c r="D489" s="64">
        <v>42658</v>
      </c>
      <c r="E489" s="63" t="s">
        <v>138</v>
      </c>
      <c r="F489" s="65">
        <v>6430</v>
      </c>
      <c r="G489" s="66">
        <v>6.7892392520063601E-3</v>
      </c>
      <c r="H489" s="65">
        <v>533</v>
      </c>
      <c r="I489" s="67">
        <v>0.49985549327610501</v>
      </c>
      <c r="J489" s="67">
        <v>3.39363853528114</v>
      </c>
      <c r="K489" s="65">
        <v>25</v>
      </c>
      <c r="L489" s="65">
        <v>5</v>
      </c>
      <c r="M489" s="66">
        <v>1.15606936416185E-2</v>
      </c>
      <c r="N489" s="67">
        <v>833.24495074857703</v>
      </c>
      <c r="O489" s="67">
        <v>208.311237687144</v>
      </c>
      <c r="P489" s="67">
        <v>172.950000673532</v>
      </c>
      <c r="Q489" s="77">
        <v>0.20756201464906099</v>
      </c>
    </row>
    <row r="490" spans="1:17" x14ac:dyDescent="0.35">
      <c r="A490" s="76" t="s">
        <v>136</v>
      </c>
      <c r="B490" s="63">
        <v>658393</v>
      </c>
      <c r="C490" s="63" t="s">
        <v>141</v>
      </c>
      <c r="D490" s="64">
        <v>42659</v>
      </c>
      <c r="E490" s="63" t="s">
        <v>138</v>
      </c>
      <c r="F490" s="65">
        <v>54273</v>
      </c>
      <c r="G490" s="66">
        <v>5.8568932655654396E-3</v>
      </c>
      <c r="H490" s="65">
        <v>450</v>
      </c>
      <c r="I490" s="67">
        <v>0.46644068095138502</v>
      </c>
      <c r="J490" s="67">
        <v>2.7318932830499301</v>
      </c>
      <c r="K490" s="65">
        <v>72</v>
      </c>
      <c r="L490" s="65">
        <v>7</v>
      </c>
      <c r="M490" s="66">
        <v>1.01694915254237E-2</v>
      </c>
      <c r="N490" s="67">
        <v>758.30681410810098</v>
      </c>
      <c r="O490" s="67">
        <v>252.768938036034</v>
      </c>
      <c r="P490" s="67">
        <v>137.600000880659</v>
      </c>
      <c r="Q490" s="77">
        <v>0.18145689623335401</v>
      </c>
    </row>
    <row r="491" spans="1:17" x14ac:dyDescent="0.35">
      <c r="A491" s="76" t="s">
        <v>136</v>
      </c>
      <c r="B491" s="63">
        <v>658393</v>
      </c>
      <c r="C491" s="63" t="s">
        <v>141</v>
      </c>
      <c r="D491" s="64">
        <v>42660</v>
      </c>
      <c r="E491" s="63" t="s">
        <v>138</v>
      </c>
      <c r="F491" s="65">
        <v>41826</v>
      </c>
      <c r="G491" s="66">
        <v>6.8354791976983796E-3</v>
      </c>
      <c r="H491" s="65">
        <v>234</v>
      </c>
      <c r="I491" s="67">
        <v>0.50680596701689595</v>
      </c>
      <c r="J491" s="67">
        <v>3.4642616448134098</v>
      </c>
      <c r="K491" s="65">
        <v>13</v>
      </c>
      <c r="L491" s="65">
        <v>9</v>
      </c>
      <c r="M491" s="66">
        <v>1.1940298507462701E-2</v>
      </c>
      <c r="N491" s="67">
        <v>707.44963154096695</v>
      </c>
      <c r="O491" s="67">
        <v>176.86240788524199</v>
      </c>
      <c r="P491" s="67">
        <v>169.77999895066</v>
      </c>
      <c r="Q491" s="77">
        <v>0.239988815289713</v>
      </c>
    </row>
    <row r="492" spans="1:17" x14ac:dyDescent="0.35">
      <c r="A492" s="76" t="s">
        <v>136</v>
      </c>
      <c r="B492" s="63">
        <v>658393</v>
      </c>
      <c r="C492" s="63" t="s">
        <v>141</v>
      </c>
      <c r="D492" s="64">
        <v>42661</v>
      </c>
      <c r="E492" s="63" t="s">
        <v>138</v>
      </c>
      <c r="F492" s="65">
        <v>16467</v>
      </c>
      <c r="G492" s="66">
        <v>6.4961780818951504E-3</v>
      </c>
      <c r="H492" s="65">
        <v>155</v>
      </c>
      <c r="I492" s="67">
        <v>0.58943332985043495</v>
      </c>
      <c r="J492" s="67">
        <v>3.8290638781128701</v>
      </c>
      <c r="K492" s="65">
        <v>85</v>
      </c>
      <c r="L492" s="65">
        <v>9</v>
      </c>
      <c r="M492" s="66">
        <v>0.01</v>
      </c>
      <c r="N492" s="67">
        <v>243.72569408126799</v>
      </c>
      <c r="O492" s="67">
        <v>81.241898027089505</v>
      </c>
      <c r="P492" s="67">
        <v>176.829998955131</v>
      </c>
      <c r="Q492" s="77">
        <v>0.72552875322274402</v>
      </c>
    </row>
    <row r="493" spans="1:17" x14ac:dyDescent="0.35">
      <c r="A493" s="76" t="s">
        <v>136</v>
      </c>
      <c r="B493" s="63">
        <v>658393</v>
      </c>
      <c r="C493" s="63" t="s">
        <v>141</v>
      </c>
      <c r="D493" s="64">
        <v>42662</v>
      </c>
      <c r="E493" s="63" t="s">
        <v>138</v>
      </c>
      <c r="F493" s="65">
        <v>43486</v>
      </c>
      <c r="G493" s="66">
        <v>5.9024807527801497E-3</v>
      </c>
      <c r="H493" s="65">
        <v>312</v>
      </c>
      <c r="I493" s="67">
        <v>0.51599033288477703</v>
      </c>
      <c r="J493" s="67">
        <v>3.04562300847302</v>
      </c>
      <c r="K493" s="65">
        <v>71</v>
      </c>
      <c r="L493" s="65">
        <v>4</v>
      </c>
      <c r="M493" s="66">
        <v>9.6618357487922701E-3</v>
      </c>
      <c r="N493" s="67">
        <v>280.62034976402299</v>
      </c>
      <c r="O493" s="67">
        <v>140.31017488201201</v>
      </c>
      <c r="P493" s="67">
        <v>106.80999890714899</v>
      </c>
      <c r="Q493" s="77">
        <v>0.38062100270691901</v>
      </c>
    </row>
    <row r="494" spans="1:17" x14ac:dyDescent="0.35">
      <c r="A494" s="76" t="s">
        <v>136</v>
      </c>
      <c r="B494" s="63">
        <v>658393</v>
      </c>
      <c r="C494" s="63" t="s">
        <v>141</v>
      </c>
      <c r="D494" s="64">
        <v>42663</v>
      </c>
      <c r="E494" s="63" t="s">
        <v>138</v>
      </c>
      <c r="F494" s="65">
        <v>1758</v>
      </c>
      <c r="G494" s="66">
        <v>7.8011682151397496E-3</v>
      </c>
      <c r="H494" s="65">
        <v>453</v>
      </c>
      <c r="I494" s="67">
        <v>0.481959798752363</v>
      </c>
      <c r="J494" s="67">
        <v>3.75984946300209</v>
      </c>
      <c r="K494" s="65">
        <v>66</v>
      </c>
      <c r="L494" s="65">
        <v>1</v>
      </c>
      <c r="M494" s="66">
        <v>5.0251256281407001E-3</v>
      </c>
      <c r="N494" s="67">
        <v>88.061153699079995</v>
      </c>
      <c r="O494" s="67">
        <v>88.061153699079995</v>
      </c>
      <c r="P494" s="67">
        <v>95.909999951720195</v>
      </c>
      <c r="Q494" s="77">
        <v>1.08912949607112</v>
      </c>
    </row>
    <row r="495" spans="1:17" x14ac:dyDescent="0.35">
      <c r="A495" s="76" t="s">
        <v>136</v>
      </c>
      <c r="B495" s="63">
        <v>658393</v>
      </c>
      <c r="C495" s="63" t="s">
        <v>141</v>
      </c>
      <c r="D495" s="64">
        <v>42664</v>
      </c>
      <c r="E495" s="63" t="s">
        <v>138</v>
      </c>
      <c r="F495" s="65">
        <v>58700</v>
      </c>
      <c r="G495" s="66">
        <v>7.5676338123104297E-3</v>
      </c>
      <c r="H495" s="65">
        <v>407</v>
      </c>
      <c r="I495" s="67">
        <v>0.51085020312172202</v>
      </c>
      <c r="J495" s="67">
        <v>3.8659272701695899</v>
      </c>
      <c r="K495" s="65">
        <v>44</v>
      </c>
      <c r="L495" s="65">
        <v>3</v>
      </c>
      <c r="M495" s="66">
        <v>4.0485829959514196E-3</v>
      </c>
      <c r="N495" s="67">
        <v>39.634144993037403</v>
      </c>
      <c r="O495" s="67">
        <v>39.634144993037403</v>
      </c>
      <c r="P495" s="67">
        <v>126.180000171065</v>
      </c>
      <c r="Q495" s="77">
        <v>3.1836185741670899</v>
      </c>
    </row>
    <row r="496" spans="1:17" x14ac:dyDescent="0.35">
      <c r="A496" s="76" t="s">
        <v>136</v>
      </c>
      <c r="B496" s="63">
        <v>658393</v>
      </c>
      <c r="C496" s="63" t="s">
        <v>141</v>
      </c>
      <c r="D496" s="64">
        <v>42665</v>
      </c>
      <c r="E496" s="63" t="s">
        <v>138</v>
      </c>
      <c r="F496" s="65">
        <v>18402</v>
      </c>
      <c r="G496" s="66">
        <v>7.3277484007684196E-3</v>
      </c>
      <c r="H496" s="65">
        <v>547</v>
      </c>
      <c r="I496" s="67">
        <v>0.50691892665785698</v>
      </c>
      <c r="J496" s="67">
        <v>3.7145743541363601</v>
      </c>
      <c r="K496" s="65">
        <v>64</v>
      </c>
      <c r="L496" s="65">
        <v>12</v>
      </c>
      <c r="M496" s="66">
        <v>1.8918918918918899E-2</v>
      </c>
      <c r="N496" s="67">
        <v>556.95474758802197</v>
      </c>
      <c r="O496" s="67">
        <v>79.564963941146004</v>
      </c>
      <c r="P496" s="67">
        <v>187.56000286340699</v>
      </c>
      <c r="Q496" s="77">
        <v>0.33675986007061498</v>
      </c>
    </row>
    <row r="497" spans="1:17" x14ac:dyDescent="0.35">
      <c r="A497" s="76" t="s">
        <v>136</v>
      </c>
      <c r="B497" s="63">
        <v>658393</v>
      </c>
      <c r="C497" s="63" t="s">
        <v>141</v>
      </c>
      <c r="D497" s="64">
        <v>42666</v>
      </c>
      <c r="E497" s="63" t="s">
        <v>138</v>
      </c>
      <c r="F497" s="65">
        <v>35888</v>
      </c>
      <c r="G497" s="66">
        <v>6.5372746467435398E-3</v>
      </c>
      <c r="H497" s="65">
        <v>416</v>
      </c>
      <c r="I497" s="67">
        <v>0.50400621404651502</v>
      </c>
      <c r="J497" s="67">
        <v>3.2948270448874801</v>
      </c>
      <c r="K497" s="65">
        <v>79</v>
      </c>
      <c r="L497" s="65">
        <v>10</v>
      </c>
      <c r="M497" s="66">
        <v>9.3167701863354005E-3</v>
      </c>
      <c r="N497" s="67">
        <v>172.04595817277399</v>
      </c>
      <c r="O497" s="67">
        <v>57.348652724257903</v>
      </c>
      <c r="P497" s="67">
        <v>162.29000092297801</v>
      </c>
      <c r="Q497" s="77">
        <v>0.94329446995785604</v>
      </c>
    </row>
    <row r="498" spans="1:17" x14ac:dyDescent="0.35">
      <c r="A498" s="76" t="s">
        <v>136</v>
      </c>
      <c r="B498" s="63">
        <v>658393</v>
      </c>
      <c r="C498" s="63" t="s">
        <v>141</v>
      </c>
      <c r="D498" s="64">
        <v>42667</v>
      </c>
      <c r="E498" s="63" t="s">
        <v>138</v>
      </c>
      <c r="F498" s="65">
        <v>64061</v>
      </c>
      <c r="G498" s="66">
        <v>6.0356220043787804E-3</v>
      </c>
      <c r="H498" s="65">
        <v>206</v>
      </c>
      <c r="I498" s="67">
        <v>0.51816993282219204</v>
      </c>
      <c r="J498" s="67">
        <v>3.1274778485491002</v>
      </c>
      <c r="K498" s="65">
        <v>29</v>
      </c>
      <c r="L498" s="65">
        <v>15</v>
      </c>
      <c r="M498" s="66">
        <v>1.9607843137254902E-2</v>
      </c>
      <c r="N498" s="67">
        <v>501.85579426004603</v>
      </c>
      <c r="O498" s="67">
        <v>83.6426323766743</v>
      </c>
      <c r="P498" s="67">
        <v>158.55999944359101</v>
      </c>
      <c r="Q498" s="77">
        <v>0.31594733239530898</v>
      </c>
    </row>
    <row r="499" spans="1:17" x14ac:dyDescent="0.35">
      <c r="A499" s="76" t="s">
        <v>136</v>
      </c>
      <c r="B499" s="63">
        <v>658393</v>
      </c>
      <c r="C499" s="63" t="s">
        <v>141</v>
      </c>
      <c r="D499" s="64">
        <v>42668</v>
      </c>
      <c r="E499" s="63" t="s">
        <v>138</v>
      </c>
      <c r="F499" s="65">
        <v>35371</v>
      </c>
      <c r="G499" s="66">
        <v>6.1772056396472898E-3</v>
      </c>
      <c r="H499" s="65">
        <v>457</v>
      </c>
      <c r="I499" s="67">
        <v>0.52293893456004004</v>
      </c>
      <c r="J499" s="67">
        <v>3.23030133575543</v>
      </c>
      <c r="K499" s="65">
        <v>38</v>
      </c>
      <c r="L499" s="65">
        <v>9</v>
      </c>
      <c r="M499" s="66">
        <v>1.5267175572519101E-2</v>
      </c>
      <c r="N499" s="67">
        <v>479.89572556712397</v>
      </c>
      <c r="O499" s="67">
        <v>119.97393139178099</v>
      </c>
      <c r="P499" s="67">
        <v>137.010000854731</v>
      </c>
      <c r="Q499" s="77">
        <v>0.28549952324083899</v>
      </c>
    </row>
    <row r="500" spans="1:17" x14ac:dyDescent="0.35">
      <c r="A500" s="76" t="s">
        <v>136</v>
      </c>
      <c r="B500" s="63">
        <v>658393</v>
      </c>
      <c r="C500" s="63" t="s">
        <v>141</v>
      </c>
      <c r="D500" s="64">
        <v>42669</v>
      </c>
      <c r="E500" s="63" t="s">
        <v>138</v>
      </c>
      <c r="F500" s="65">
        <v>601</v>
      </c>
      <c r="G500" s="66">
        <v>6.4041806491277496E-3</v>
      </c>
      <c r="H500" s="65">
        <v>381</v>
      </c>
      <c r="I500" s="67">
        <v>0.53520000091195097</v>
      </c>
      <c r="J500" s="67">
        <v>3.4275174892534701</v>
      </c>
      <c r="K500" s="65">
        <v>97</v>
      </c>
      <c r="L500" s="65">
        <v>10</v>
      </c>
      <c r="M500" s="66">
        <v>1.2E-2</v>
      </c>
      <c r="N500" s="67">
        <v>240.809480054255</v>
      </c>
      <c r="O500" s="67">
        <v>80.269826684751493</v>
      </c>
      <c r="P500" s="67">
        <v>133.80000022798799</v>
      </c>
      <c r="Q500" s="77">
        <v>0.55562596704183898</v>
      </c>
    </row>
    <row r="501" spans="1:17" x14ac:dyDescent="0.35">
      <c r="A501" s="76" t="s">
        <v>136</v>
      </c>
      <c r="B501" s="63">
        <v>658393</v>
      </c>
      <c r="C501" s="63" t="s">
        <v>141</v>
      </c>
      <c r="D501" s="64">
        <v>42670</v>
      </c>
      <c r="E501" s="63" t="s">
        <v>138</v>
      </c>
      <c r="F501" s="65">
        <v>40747</v>
      </c>
      <c r="G501" s="66">
        <v>6.5239852398523996E-3</v>
      </c>
      <c r="H501" s="65">
        <v>379</v>
      </c>
      <c r="I501" s="67">
        <v>0.49538461638117298</v>
      </c>
      <c r="J501" s="67">
        <v>3.2318819253207098</v>
      </c>
      <c r="K501" s="65">
        <v>87</v>
      </c>
      <c r="L501" s="65">
        <v>12</v>
      </c>
      <c r="M501" s="66">
        <v>2.2624434389140299E-2</v>
      </c>
      <c r="N501" s="67">
        <v>354.32034813080998</v>
      </c>
      <c r="O501" s="67">
        <v>70.864069626161907</v>
      </c>
      <c r="P501" s="67">
        <v>109.48000022023901</v>
      </c>
      <c r="Q501" s="77">
        <v>0.308985924172271</v>
      </c>
    </row>
    <row r="502" spans="1:17" x14ac:dyDescent="0.35">
      <c r="A502" s="76" t="s">
        <v>136</v>
      </c>
      <c r="B502" s="63">
        <v>658393</v>
      </c>
      <c r="C502" s="63" t="s">
        <v>141</v>
      </c>
      <c r="D502" s="64">
        <v>42671</v>
      </c>
      <c r="E502" s="63" t="s">
        <v>138</v>
      </c>
      <c r="F502" s="65">
        <v>39245</v>
      </c>
      <c r="G502" s="66">
        <v>6.8738524920514098E-3</v>
      </c>
      <c r="H502" s="65">
        <v>419</v>
      </c>
      <c r="I502" s="67">
        <v>0.55078176690526404</v>
      </c>
      <c r="J502" s="67">
        <v>3.78599262101823</v>
      </c>
      <c r="K502" s="65">
        <v>32</v>
      </c>
      <c r="L502" s="65">
        <v>18</v>
      </c>
      <c r="M502" s="66">
        <v>1.9543973941368101E-2</v>
      </c>
      <c r="N502" s="67">
        <v>548.48447120750097</v>
      </c>
      <c r="O502" s="67">
        <v>91.414078534583496</v>
      </c>
      <c r="P502" s="67">
        <v>169.09000243991599</v>
      </c>
      <c r="Q502" s="77">
        <v>0.30828585186315399</v>
      </c>
    </row>
    <row r="503" spans="1:17" x14ac:dyDescent="0.35">
      <c r="A503" s="76" t="s">
        <v>136</v>
      </c>
      <c r="B503" s="63">
        <v>658393</v>
      </c>
      <c r="C503" s="63" t="s">
        <v>141</v>
      </c>
      <c r="D503" s="64">
        <v>42672</v>
      </c>
      <c r="E503" s="63" t="s">
        <v>138</v>
      </c>
      <c r="F503" s="65">
        <v>11980</v>
      </c>
      <c r="G503" s="66">
        <v>6.4940905574843904E-3</v>
      </c>
      <c r="H503" s="65">
        <v>474</v>
      </c>
      <c r="I503" s="67">
        <v>0.56567866260242605</v>
      </c>
      <c r="J503" s="67">
        <v>3.67356846137681</v>
      </c>
      <c r="K503" s="65">
        <v>64</v>
      </c>
      <c r="L503" s="65">
        <v>13</v>
      </c>
      <c r="M503" s="66">
        <v>2.2160664819944598E-2</v>
      </c>
      <c r="N503" s="67">
        <v>761.00356168399696</v>
      </c>
      <c r="O503" s="67">
        <v>95.125445210499706</v>
      </c>
      <c r="P503" s="67">
        <v>204.20999719947599</v>
      </c>
      <c r="Q503" s="77">
        <v>0.26834302423971201</v>
      </c>
    </row>
    <row r="504" spans="1:17" x14ac:dyDescent="0.35">
      <c r="A504" s="76" t="s">
        <v>136</v>
      </c>
      <c r="B504" s="63">
        <v>658393</v>
      </c>
      <c r="C504" s="63" t="s">
        <v>141</v>
      </c>
      <c r="D504" s="64">
        <v>42673</v>
      </c>
      <c r="E504" s="63" t="s">
        <v>138</v>
      </c>
      <c r="F504" s="65">
        <v>67329</v>
      </c>
      <c r="G504" s="66">
        <v>5.9973773526689304E-3</v>
      </c>
      <c r="H504" s="65">
        <v>204</v>
      </c>
      <c r="I504" s="67">
        <v>0.59562700955718295</v>
      </c>
      <c r="J504" s="67">
        <v>3.57219993775617</v>
      </c>
      <c r="K504" s="65">
        <v>97</v>
      </c>
      <c r="L504" s="65">
        <v>12</v>
      </c>
      <c r="M504" s="66">
        <v>6.4308681672025697E-3</v>
      </c>
      <c r="N504" s="67">
        <v>142.01131546273999</v>
      </c>
      <c r="O504" s="67">
        <v>71.005657731370107</v>
      </c>
      <c r="P504" s="67">
        <v>185.23999997228401</v>
      </c>
      <c r="Q504" s="77">
        <v>1.3044030989269</v>
      </c>
    </row>
    <row r="505" spans="1:17" x14ac:dyDescent="0.35">
      <c r="A505" s="76" t="s">
        <v>136</v>
      </c>
      <c r="B505" s="63">
        <v>658393</v>
      </c>
      <c r="C505" s="63" t="s">
        <v>141</v>
      </c>
      <c r="D505" s="64">
        <v>42674</v>
      </c>
      <c r="E505" s="63" t="s">
        <v>138</v>
      </c>
      <c r="F505" s="65">
        <v>68655</v>
      </c>
      <c r="G505" s="66">
        <v>6.7590331003116299E-3</v>
      </c>
      <c r="H505" s="65">
        <v>445</v>
      </c>
      <c r="I505" s="67">
        <v>0.53595015432140203</v>
      </c>
      <c r="J505" s="67">
        <v>3.6225048331754799</v>
      </c>
      <c r="K505" s="65">
        <v>27</v>
      </c>
      <c r="L505" s="65">
        <v>8</v>
      </c>
      <c r="M505" s="66">
        <v>1.5576323987538899E-2</v>
      </c>
      <c r="N505" s="67">
        <v>799.42703668453498</v>
      </c>
      <c r="O505" s="67">
        <v>159.88540733690701</v>
      </c>
      <c r="P505" s="67">
        <v>172.03999953716999</v>
      </c>
      <c r="Q505" s="77">
        <v>0.21520412951089499</v>
      </c>
    </row>
    <row r="506" spans="1:17" x14ac:dyDescent="0.35">
      <c r="A506" s="76" t="s">
        <v>136</v>
      </c>
      <c r="B506" s="63">
        <v>658393</v>
      </c>
      <c r="C506" s="63" t="s">
        <v>141</v>
      </c>
      <c r="D506" s="64">
        <v>42675</v>
      </c>
      <c r="E506" s="63" t="s">
        <v>138</v>
      </c>
      <c r="F506" s="65">
        <v>11506</v>
      </c>
      <c r="G506" s="66">
        <v>6.5287838353030904E-3</v>
      </c>
      <c r="H506" s="65">
        <v>311</v>
      </c>
      <c r="I506" s="67">
        <v>0.56113138721480904</v>
      </c>
      <c r="J506" s="67">
        <v>3.6635055303292399</v>
      </c>
      <c r="K506" s="65">
        <v>84</v>
      </c>
      <c r="L506" s="65">
        <v>11</v>
      </c>
      <c r="M506" s="66">
        <v>2.18978102189781E-2</v>
      </c>
      <c r="N506" s="67">
        <v>1234.57935261785</v>
      </c>
      <c r="O506" s="67">
        <v>205.763225436309</v>
      </c>
      <c r="P506" s="67">
        <v>153.750000096858</v>
      </c>
      <c r="Q506" s="77">
        <v>0.124536344926585</v>
      </c>
    </row>
    <row r="507" spans="1:17" x14ac:dyDescent="0.35">
      <c r="A507" s="76" t="s">
        <v>136</v>
      </c>
      <c r="B507" s="63">
        <v>658393</v>
      </c>
      <c r="C507" s="63" t="s">
        <v>141</v>
      </c>
      <c r="D507" s="64">
        <v>42676</v>
      </c>
      <c r="E507" s="63" t="s">
        <v>138</v>
      </c>
      <c r="F507" s="65">
        <v>29346</v>
      </c>
      <c r="G507" s="66">
        <v>6.3979795853940898E-3</v>
      </c>
      <c r="H507" s="65">
        <v>352</v>
      </c>
      <c r="I507" s="67">
        <v>0.50782895423962104</v>
      </c>
      <c r="J507" s="67">
        <v>3.2490792820971199</v>
      </c>
      <c r="K507" s="65">
        <v>94</v>
      </c>
      <c r="L507" s="65">
        <v>10</v>
      </c>
      <c r="M507" s="66">
        <v>2.6315789473684199E-2</v>
      </c>
      <c r="N507" s="67">
        <v>1696.1652274349201</v>
      </c>
      <c r="O507" s="67">
        <v>212.02065342936501</v>
      </c>
      <c r="P507" s="67">
        <v>154.380002088845</v>
      </c>
      <c r="Q507" s="77">
        <v>9.1017077576994496E-2</v>
      </c>
    </row>
    <row r="508" spans="1:17" x14ac:dyDescent="0.35">
      <c r="A508" s="76" t="s">
        <v>136</v>
      </c>
      <c r="B508" s="63">
        <v>658393</v>
      </c>
      <c r="C508" s="63" t="s">
        <v>141</v>
      </c>
      <c r="D508" s="64">
        <v>42677</v>
      </c>
      <c r="E508" s="63" t="s">
        <v>138</v>
      </c>
      <c r="F508" s="65">
        <v>61394</v>
      </c>
      <c r="G508" s="66">
        <v>7.3010464833292796E-3</v>
      </c>
      <c r="H508" s="65">
        <v>449</v>
      </c>
      <c r="I508" s="67">
        <v>0.50470000276962901</v>
      </c>
      <c r="J508" s="67">
        <v>3.6848381803574801</v>
      </c>
      <c r="K508" s="65">
        <v>21</v>
      </c>
      <c r="L508" s="65">
        <v>6</v>
      </c>
      <c r="M508" s="66">
        <v>6.6666666666666697E-3</v>
      </c>
      <c r="N508" s="67">
        <v>526.29021125111205</v>
      </c>
      <c r="O508" s="67">
        <v>263.14510562555603</v>
      </c>
      <c r="P508" s="67">
        <v>151.410000830889</v>
      </c>
      <c r="Q508" s="77">
        <v>0.28769298306148</v>
      </c>
    </row>
    <row r="509" spans="1:17" x14ac:dyDescent="0.35">
      <c r="A509" s="76" t="s">
        <v>136</v>
      </c>
      <c r="B509" s="63">
        <v>658393</v>
      </c>
      <c r="C509" s="63" t="s">
        <v>141</v>
      </c>
      <c r="D509" s="64">
        <v>42678</v>
      </c>
      <c r="E509" s="63" t="s">
        <v>138</v>
      </c>
      <c r="F509" s="65">
        <v>15290</v>
      </c>
      <c r="G509" s="66">
        <v>6.6737101602394799E-3</v>
      </c>
      <c r="H509" s="65">
        <v>222</v>
      </c>
      <c r="I509" s="67">
        <v>0.54205804388960299</v>
      </c>
      <c r="J509" s="67">
        <v>3.6175382749455798</v>
      </c>
      <c r="K509" s="65">
        <v>51</v>
      </c>
      <c r="L509" s="65">
        <v>11</v>
      </c>
      <c r="M509" s="66">
        <v>7.9155672823219003E-3</v>
      </c>
      <c r="N509" s="67">
        <v>511.04630881208698</v>
      </c>
      <c r="O509" s="67">
        <v>170.348769604029</v>
      </c>
      <c r="P509" s="67">
        <v>205.43999863415999</v>
      </c>
      <c r="Q509" s="77">
        <v>0.40199879167838798</v>
      </c>
    </row>
    <row r="510" spans="1:17" x14ac:dyDescent="0.35">
      <c r="A510" s="76" t="s">
        <v>136</v>
      </c>
      <c r="B510" s="63">
        <v>876349</v>
      </c>
      <c r="C510" s="63" t="s">
        <v>142</v>
      </c>
      <c r="D510" s="64">
        <v>42552</v>
      </c>
      <c r="E510" s="63" t="s">
        <v>138</v>
      </c>
      <c r="F510" s="65">
        <v>39907</v>
      </c>
      <c r="G510" s="66">
        <v>1.05931502772297E-2</v>
      </c>
      <c r="H510" s="65">
        <v>260</v>
      </c>
      <c r="I510" s="67">
        <v>0.47413111054004198</v>
      </c>
      <c r="J510" s="67">
        <v>5.0225421050604604</v>
      </c>
      <c r="K510" s="65">
        <v>25</v>
      </c>
      <c r="L510" s="65">
        <v>136</v>
      </c>
      <c r="M510" s="66">
        <v>2.3933402705515101E-2</v>
      </c>
      <c r="N510" s="67">
        <v>4606.1889611507204</v>
      </c>
      <c r="O510" s="67">
        <v>100.13454263371101</v>
      </c>
      <c r="P510" s="67">
        <v>911.27999445796002</v>
      </c>
      <c r="Q510" s="77">
        <v>0.197838169936976</v>
      </c>
    </row>
    <row r="511" spans="1:17" x14ac:dyDescent="0.35">
      <c r="A511" s="76" t="s">
        <v>136</v>
      </c>
      <c r="B511" s="63">
        <v>876349</v>
      </c>
      <c r="C511" s="63" t="s">
        <v>142</v>
      </c>
      <c r="D511" s="64">
        <v>42553</v>
      </c>
      <c r="E511" s="63" t="s">
        <v>138</v>
      </c>
      <c r="F511" s="65">
        <v>14106</v>
      </c>
      <c r="G511" s="66">
        <v>9.7433860850737394E-3</v>
      </c>
      <c r="H511" s="65">
        <v>448</v>
      </c>
      <c r="I511" s="67">
        <v>0.51398659837372396</v>
      </c>
      <c r="J511" s="67">
        <v>5.0079698705089299</v>
      </c>
      <c r="K511" s="65">
        <v>20</v>
      </c>
      <c r="L511" s="65">
        <v>96</v>
      </c>
      <c r="M511" s="66">
        <v>2.01005025125628E-2</v>
      </c>
      <c r="N511" s="67">
        <v>3723.7444796922</v>
      </c>
      <c r="O511" s="67">
        <v>103.43734665811699</v>
      </c>
      <c r="P511" s="67">
        <v>920.54999768734001</v>
      </c>
      <c r="Q511" s="77">
        <v>0.24721083917214201</v>
      </c>
    </row>
    <row r="512" spans="1:17" x14ac:dyDescent="0.35">
      <c r="A512" s="76" t="s">
        <v>136</v>
      </c>
      <c r="B512" s="63">
        <v>876349</v>
      </c>
      <c r="C512" s="63" t="s">
        <v>142</v>
      </c>
      <c r="D512" s="64">
        <v>42554</v>
      </c>
      <c r="E512" s="63" t="s">
        <v>138</v>
      </c>
      <c r="F512" s="65">
        <v>42361</v>
      </c>
      <c r="G512" s="66">
        <v>9.5759297210027405E-3</v>
      </c>
      <c r="H512" s="65">
        <v>290</v>
      </c>
      <c r="I512" s="67">
        <v>0.52929951136094899</v>
      </c>
      <c r="J512" s="67">
        <v>5.0685349221535398</v>
      </c>
      <c r="K512" s="65">
        <v>78</v>
      </c>
      <c r="L512" s="65">
        <v>74</v>
      </c>
      <c r="M512" s="66">
        <v>1.5942028985507201E-2</v>
      </c>
      <c r="N512" s="67">
        <v>3224.3495416554701</v>
      </c>
      <c r="O512" s="67">
        <v>97.707561868347497</v>
      </c>
      <c r="P512" s="67">
        <v>1095.64998851717</v>
      </c>
      <c r="Q512" s="77">
        <v>0.33980496666457199</v>
      </c>
    </row>
    <row r="513" spans="1:17" x14ac:dyDescent="0.35">
      <c r="A513" s="76" t="s">
        <v>136</v>
      </c>
      <c r="B513" s="63">
        <v>876349</v>
      </c>
      <c r="C513" s="63" t="s">
        <v>142</v>
      </c>
      <c r="D513" s="64">
        <v>42555</v>
      </c>
      <c r="E513" s="63" t="s">
        <v>138</v>
      </c>
      <c r="F513" s="65">
        <v>9825</v>
      </c>
      <c r="G513" s="66">
        <v>9.1730038022813706E-3</v>
      </c>
      <c r="H513" s="65">
        <v>421</v>
      </c>
      <c r="I513" s="67">
        <v>0.52786528446513803</v>
      </c>
      <c r="J513" s="67">
        <v>4.8421102614910403</v>
      </c>
      <c r="K513" s="65">
        <v>28</v>
      </c>
      <c r="L513" s="65">
        <v>82</v>
      </c>
      <c r="M513" s="66">
        <v>2.1243523316062201E-2</v>
      </c>
      <c r="N513" s="67">
        <v>6198.89364441219</v>
      </c>
      <c r="O513" s="67">
        <v>151.19252791249201</v>
      </c>
      <c r="P513" s="67">
        <v>1018.77999901772</v>
      </c>
      <c r="Q513" s="77">
        <v>0.164348681790349</v>
      </c>
    </row>
    <row r="514" spans="1:17" x14ac:dyDescent="0.35">
      <c r="A514" s="76" t="s">
        <v>136</v>
      </c>
      <c r="B514" s="63">
        <v>876349</v>
      </c>
      <c r="C514" s="63" t="s">
        <v>142</v>
      </c>
      <c r="D514" s="64">
        <v>42556</v>
      </c>
      <c r="E514" s="63" t="s">
        <v>138</v>
      </c>
      <c r="F514" s="65">
        <v>45879</v>
      </c>
      <c r="G514" s="66">
        <v>9.4940976010395098E-3</v>
      </c>
      <c r="H514" s="65">
        <v>423</v>
      </c>
      <c r="I514" s="67">
        <v>0.51579082799081</v>
      </c>
      <c r="J514" s="67">
        <v>4.8969684626657299</v>
      </c>
      <c r="K514" s="65">
        <v>44</v>
      </c>
      <c r="L514" s="65">
        <v>75</v>
      </c>
      <c r="M514" s="66">
        <v>2.0658489347966401E-2</v>
      </c>
      <c r="N514" s="67">
        <v>3514.65120529055</v>
      </c>
      <c r="O514" s="67">
        <v>109.83285016533</v>
      </c>
      <c r="P514" s="67">
        <v>798.95999255776405</v>
      </c>
      <c r="Q514" s="77">
        <v>0.22732269744295</v>
      </c>
    </row>
    <row r="515" spans="1:17" x14ac:dyDescent="0.35">
      <c r="A515" s="76" t="s">
        <v>136</v>
      </c>
      <c r="B515" s="63">
        <v>876349</v>
      </c>
      <c r="C515" s="63" t="s">
        <v>142</v>
      </c>
      <c r="D515" s="64">
        <v>42557</v>
      </c>
      <c r="E515" s="63" t="s">
        <v>138</v>
      </c>
      <c r="F515" s="65">
        <v>19247</v>
      </c>
      <c r="G515" s="66">
        <v>9.6106673992817793E-3</v>
      </c>
      <c r="H515" s="65">
        <v>274</v>
      </c>
      <c r="I515" s="67">
        <v>0.51378252493781396</v>
      </c>
      <c r="J515" s="67">
        <v>4.9377929627405299</v>
      </c>
      <c r="K515" s="65">
        <v>84</v>
      </c>
      <c r="L515" s="65">
        <v>56</v>
      </c>
      <c r="M515" s="66">
        <v>1.07197549770291E-2</v>
      </c>
      <c r="N515" s="67">
        <v>1593.87155065109</v>
      </c>
      <c r="O515" s="67">
        <v>75.898645269099404</v>
      </c>
      <c r="P515" s="67">
        <v>1006.49996635318</v>
      </c>
      <c r="Q515" s="77">
        <v>0.63148122942656804</v>
      </c>
    </row>
    <row r="516" spans="1:17" x14ac:dyDescent="0.35">
      <c r="A516" s="76" t="s">
        <v>136</v>
      </c>
      <c r="B516" s="63">
        <v>876349</v>
      </c>
      <c r="C516" s="63" t="s">
        <v>142</v>
      </c>
      <c r="D516" s="64">
        <v>42558</v>
      </c>
      <c r="E516" s="63" t="s">
        <v>138</v>
      </c>
      <c r="F516" s="65">
        <v>9069</v>
      </c>
      <c r="G516" s="66">
        <v>9.7186337023253602E-3</v>
      </c>
      <c r="H516" s="65">
        <v>287</v>
      </c>
      <c r="I516" s="67">
        <v>0.51625365075541696</v>
      </c>
      <c r="J516" s="67">
        <v>5.0172801291800999</v>
      </c>
      <c r="K516" s="65">
        <v>29</v>
      </c>
      <c r="L516" s="65">
        <v>69</v>
      </c>
      <c r="M516" s="66">
        <v>1.17073170731707E-2</v>
      </c>
      <c r="N516" s="67">
        <v>1933.18348456835</v>
      </c>
      <c r="O516" s="67">
        <v>80.549311857014402</v>
      </c>
      <c r="P516" s="67">
        <v>1058.31998404861</v>
      </c>
      <c r="Q516" s="77">
        <v>0.54744931999298196</v>
      </c>
    </row>
    <row r="517" spans="1:17" x14ac:dyDescent="0.35">
      <c r="A517" s="76" t="s">
        <v>136</v>
      </c>
      <c r="B517" s="63">
        <v>876349</v>
      </c>
      <c r="C517" s="63" t="s">
        <v>142</v>
      </c>
      <c r="D517" s="64">
        <v>42559</v>
      </c>
      <c r="E517" s="63" t="s">
        <v>138</v>
      </c>
      <c r="F517" s="65">
        <v>1623</v>
      </c>
      <c r="G517" s="66">
        <v>9.1900171186593393E-3</v>
      </c>
      <c r="H517" s="65">
        <v>527</v>
      </c>
      <c r="I517" s="67">
        <v>0.51633577443221002</v>
      </c>
      <c r="J517" s="67">
        <v>4.7451346060082402</v>
      </c>
      <c r="K517" s="65">
        <v>45</v>
      </c>
      <c r="L517" s="65">
        <v>94</v>
      </c>
      <c r="M517" s="66">
        <v>1.5522875816993501E-2</v>
      </c>
      <c r="N517" s="67">
        <v>5403.9674691810196</v>
      </c>
      <c r="O517" s="67">
        <v>142.20967024160601</v>
      </c>
      <c r="P517" s="67">
        <v>1263.9899758100501</v>
      </c>
      <c r="Q517" s="77">
        <v>0.23390036727989599</v>
      </c>
    </row>
    <row r="518" spans="1:17" x14ac:dyDescent="0.35">
      <c r="A518" s="76" t="s">
        <v>136</v>
      </c>
      <c r="B518" s="63">
        <v>876349</v>
      </c>
      <c r="C518" s="63" t="s">
        <v>142</v>
      </c>
      <c r="D518" s="64">
        <v>42560</v>
      </c>
      <c r="E518" s="63" t="s">
        <v>138</v>
      </c>
      <c r="F518" s="65">
        <v>7462</v>
      </c>
      <c r="G518" s="66">
        <v>8.6701403757202204E-3</v>
      </c>
      <c r="H518" s="65">
        <v>580</v>
      </c>
      <c r="I518" s="67">
        <v>0.51997065277437704</v>
      </c>
      <c r="J518" s="67">
        <v>4.5082185508087198</v>
      </c>
      <c r="K518" s="65">
        <v>40</v>
      </c>
      <c r="L518" s="65">
        <v>77</v>
      </c>
      <c r="M518" s="66">
        <v>1.8092909535452301E-2</v>
      </c>
      <c r="N518" s="67">
        <v>4220.5463072764996</v>
      </c>
      <c r="O518" s="67">
        <v>114.06881911558099</v>
      </c>
      <c r="P518" s="67">
        <v>1063.3399849236</v>
      </c>
      <c r="Q518" s="77">
        <v>0.25194368394687</v>
      </c>
    </row>
    <row r="519" spans="1:17" x14ac:dyDescent="0.35">
      <c r="A519" s="76" t="s">
        <v>136</v>
      </c>
      <c r="B519" s="63">
        <v>876349</v>
      </c>
      <c r="C519" s="63" t="s">
        <v>142</v>
      </c>
      <c r="D519" s="64">
        <v>42561</v>
      </c>
      <c r="E519" s="63" t="s">
        <v>138</v>
      </c>
      <c r="F519" s="65">
        <v>47563</v>
      </c>
      <c r="G519" s="66">
        <v>9.8979820269276299E-3</v>
      </c>
      <c r="H519" s="65">
        <v>429</v>
      </c>
      <c r="I519" s="67">
        <v>0.436160473370655</v>
      </c>
      <c r="J519" s="67">
        <v>4.3171085262789903</v>
      </c>
      <c r="K519" s="65">
        <v>28</v>
      </c>
      <c r="L519" s="65">
        <v>64</v>
      </c>
      <c r="M519" s="66">
        <v>1.7232094776521299E-2</v>
      </c>
      <c r="N519" s="67">
        <v>3121.4452554427598</v>
      </c>
      <c r="O519" s="67">
        <v>97.545164232586203</v>
      </c>
      <c r="P519" s="67">
        <v>809.94999904930603</v>
      </c>
      <c r="Q519" s="77">
        <v>0.259479161980183</v>
      </c>
    </row>
    <row r="520" spans="1:17" x14ac:dyDescent="0.35">
      <c r="A520" s="76" t="s">
        <v>136</v>
      </c>
      <c r="B520" s="63">
        <v>876349</v>
      </c>
      <c r="C520" s="63" t="s">
        <v>142</v>
      </c>
      <c r="D520" s="64">
        <v>42562</v>
      </c>
      <c r="E520" s="63" t="s">
        <v>138</v>
      </c>
      <c r="F520" s="65">
        <v>11883</v>
      </c>
      <c r="G520" s="66">
        <v>9.5258128493298892E-3</v>
      </c>
      <c r="H520" s="65">
        <v>295</v>
      </c>
      <c r="I520" s="67">
        <v>0.40425868047524699</v>
      </c>
      <c r="J520" s="67">
        <v>3.85089253292425</v>
      </c>
      <c r="K520" s="65">
        <v>93</v>
      </c>
      <c r="L520" s="65">
        <v>86</v>
      </c>
      <c r="M520" s="66">
        <v>2.46056782334385E-2</v>
      </c>
      <c r="N520" s="67">
        <v>4481.5454739400702</v>
      </c>
      <c r="O520" s="67">
        <v>114.91142240872</v>
      </c>
      <c r="P520" s="67">
        <v>640.75000855326698</v>
      </c>
      <c r="Q520" s="77">
        <v>0.14297523304832899</v>
      </c>
    </row>
    <row r="521" spans="1:17" x14ac:dyDescent="0.35">
      <c r="A521" s="76" t="s">
        <v>136</v>
      </c>
      <c r="B521" s="63">
        <v>876349</v>
      </c>
      <c r="C521" s="63" t="s">
        <v>142</v>
      </c>
      <c r="D521" s="64">
        <v>42563</v>
      </c>
      <c r="E521" s="63" t="s">
        <v>138</v>
      </c>
      <c r="F521" s="65">
        <v>47159</v>
      </c>
      <c r="G521" s="66">
        <v>9.5603660477109002E-3</v>
      </c>
      <c r="H521" s="65">
        <v>566</v>
      </c>
      <c r="I521" s="67">
        <v>0.43582207913024601</v>
      </c>
      <c r="J521" s="67">
        <v>4.1666186081595802</v>
      </c>
      <c r="K521" s="65">
        <v>35</v>
      </c>
      <c r="L521" s="65">
        <v>73</v>
      </c>
      <c r="M521" s="66">
        <v>1.9701086956521702E-2</v>
      </c>
      <c r="N521" s="67">
        <v>2730.4002199808501</v>
      </c>
      <c r="O521" s="67">
        <v>94.151731723477695</v>
      </c>
      <c r="P521" s="67">
        <v>641.53010047972202</v>
      </c>
      <c r="Q521" s="77">
        <v>0.234958265746192</v>
      </c>
    </row>
    <row r="522" spans="1:17" x14ac:dyDescent="0.35">
      <c r="A522" s="76" t="s">
        <v>136</v>
      </c>
      <c r="B522" s="63">
        <v>876349</v>
      </c>
      <c r="C522" s="63" t="s">
        <v>142</v>
      </c>
      <c r="D522" s="64">
        <v>42564</v>
      </c>
      <c r="E522" s="63" t="s">
        <v>138</v>
      </c>
      <c r="F522" s="65">
        <v>46871</v>
      </c>
      <c r="G522" s="66">
        <v>1.0101357627970001E-2</v>
      </c>
      <c r="H522" s="65">
        <v>459</v>
      </c>
      <c r="I522" s="67">
        <v>0.42167574884902898</v>
      </c>
      <c r="J522" s="67">
        <v>4.2594975421661099</v>
      </c>
      <c r="K522" s="65">
        <v>38</v>
      </c>
      <c r="L522" s="65">
        <v>70</v>
      </c>
      <c r="M522" s="66">
        <v>2.1117166212534101E-2</v>
      </c>
      <c r="N522" s="67">
        <v>2819.2151482056402</v>
      </c>
      <c r="O522" s="67">
        <v>90.942424135665902</v>
      </c>
      <c r="P522" s="67">
        <v>619.01999931037403</v>
      </c>
      <c r="Q522" s="77">
        <v>0.21957174843656899</v>
      </c>
    </row>
    <row r="523" spans="1:17" x14ac:dyDescent="0.35">
      <c r="A523" s="76" t="s">
        <v>136</v>
      </c>
      <c r="B523" s="63">
        <v>876349</v>
      </c>
      <c r="C523" s="63" t="s">
        <v>142</v>
      </c>
      <c r="D523" s="64">
        <v>42565</v>
      </c>
      <c r="E523" s="63" t="s">
        <v>138</v>
      </c>
      <c r="F523" s="65">
        <v>61256</v>
      </c>
      <c r="G523" s="66">
        <v>1.0891794238521799E-2</v>
      </c>
      <c r="H523" s="65">
        <v>356</v>
      </c>
      <c r="I523" s="67">
        <v>0.396862625396388</v>
      </c>
      <c r="J523" s="67">
        <v>4.3225460567770098</v>
      </c>
      <c r="K523" s="65">
        <v>63</v>
      </c>
      <c r="L523" s="65">
        <v>51</v>
      </c>
      <c r="M523" s="66">
        <v>1.1997600479904001E-2</v>
      </c>
      <c r="N523" s="67">
        <v>2546.3739547313999</v>
      </c>
      <c r="O523" s="67">
        <v>127.31869773657</v>
      </c>
      <c r="P523" s="67">
        <v>661.56999653577805</v>
      </c>
      <c r="Q523" s="77">
        <v>0.25980865666117797</v>
      </c>
    </row>
    <row r="524" spans="1:17" x14ac:dyDescent="0.35">
      <c r="A524" s="76" t="s">
        <v>136</v>
      </c>
      <c r="B524" s="63">
        <v>876349</v>
      </c>
      <c r="C524" s="63" t="s">
        <v>142</v>
      </c>
      <c r="D524" s="64">
        <v>42566</v>
      </c>
      <c r="E524" s="63" t="s">
        <v>138</v>
      </c>
      <c r="F524" s="65">
        <v>18043</v>
      </c>
      <c r="G524" s="66">
        <v>9.9714046946328405E-3</v>
      </c>
      <c r="H524" s="65">
        <v>538</v>
      </c>
      <c r="I524" s="67">
        <v>0.404846070408651</v>
      </c>
      <c r="J524" s="67">
        <v>4.0368840070764804</v>
      </c>
      <c r="K524" s="65">
        <v>20</v>
      </c>
      <c r="L524" s="65">
        <v>91</v>
      </c>
      <c r="M524" s="66">
        <v>1.5963511972634001E-2</v>
      </c>
      <c r="N524" s="67">
        <v>3502.5499314031099</v>
      </c>
      <c r="O524" s="67">
        <v>125.091068978683</v>
      </c>
      <c r="P524" s="67">
        <v>710.10000749677397</v>
      </c>
      <c r="Q524" s="77">
        <v>0.202738011278632</v>
      </c>
    </row>
    <row r="525" spans="1:17" x14ac:dyDescent="0.35">
      <c r="A525" s="76" t="s">
        <v>136</v>
      </c>
      <c r="B525" s="63">
        <v>876349</v>
      </c>
      <c r="C525" s="63" t="s">
        <v>142</v>
      </c>
      <c r="D525" s="64">
        <v>42567</v>
      </c>
      <c r="E525" s="63" t="s">
        <v>138</v>
      </c>
      <c r="F525" s="65">
        <v>2425</v>
      </c>
      <c r="G525" s="66">
        <v>9.5920665165425308E-3</v>
      </c>
      <c r="H525" s="65">
        <v>285</v>
      </c>
      <c r="I525" s="67">
        <v>0.38201655134659601</v>
      </c>
      <c r="J525" s="67">
        <v>3.6643281709367299</v>
      </c>
      <c r="K525" s="65">
        <v>53</v>
      </c>
      <c r="L525" s="65">
        <v>90</v>
      </c>
      <c r="M525" s="66">
        <v>2.2573363431151201E-2</v>
      </c>
      <c r="N525" s="67">
        <v>3416.15519101973</v>
      </c>
      <c r="O525" s="67">
        <v>113.871839700658</v>
      </c>
      <c r="P525" s="67">
        <v>507.69999673962599</v>
      </c>
      <c r="Q525" s="77">
        <v>0.14861736904525</v>
      </c>
    </row>
    <row r="526" spans="1:17" x14ac:dyDescent="0.35">
      <c r="A526" s="76" t="s">
        <v>136</v>
      </c>
      <c r="B526" s="63">
        <v>876349</v>
      </c>
      <c r="C526" s="63" t="s">
        <v>142</v>
      </c>
      <c r="D526" s="64">
        <v>42568</v>
      </c>
      <c r="E526" s="63" t="s">
        <v>138</v>
      </c>
      <c r="F526" s="65">
        <v>51702</v>
      </c>
      <c r="G526" s="66">
        <v>1.0878217033695899E-2</v>
      </c>
      <c r="H526" s="65">
        <v>321</v>
      </c>
      <c r="I526" s="67">
        <v>0.36146341163089601</v>
      </c>
      <c r="J526" s="67">
        <v>3.9320774414610602</v>
      </c>
      <c r="K526" s="65">
        <v>88</v>
      </c>
      <c r="L526" s="65">
        <v>49</v>
      </c>
      <c r="M526" s="66">
        <v>1.3008130081300801E-2</v>
      </c>
      <c r="N526" s="67">
        <v>1443.98822070549</v>
      </c>
      <c r="O526" s="67">
        <v>90.249263794093096</v>
      </c>
      <c r="P526" s="67">
        <v>444.59999630600203</v>
      </c>
      <c r="Q526" s="77">
        <v>0.30789724592682899</v>
      </c>
    </row>
    <row r="527" spans="1:17" x14ac:dyDescent="0.35">
      <c r="A527" s="76" t="s">
        <v>136</v>
      </c>
      <c r="B527" s="63">
        <v>876349</v>
      </c>
      <c r="C527" s="63" t="s">
        <v>142</v>
      </c>
      <c r="D527" s="64">
        <v>42569</v>
      </c>
      <c r="E527" s="63" t="s">
        <v>138</v>
      </c>
      <c r="F527" s="65">
        <v>64685</v>
      </c>
      <c r="G527" s="66">
        <v>9.6972992568424895E-3</v>
      </c>
      <c r="H527" s="65">
        <v>342</v>
      </c>
      <c r="I527" s="67">
        <v>0.34781307601761602</v>
      </c>
      <c r="J527" s="67">
        <v>3.3728474835857298</v>
      </c>
      <c r="K527" s="65">
        <v>43</v>
      </c>
      <c r="L527" s="65">
        <v>53</v>
      </c>
      <c r="M527" s="66">
        <v>1.4018691588785E-2</v>
      </c>
      <c r="N527" s="67">
        <v>1162.3735845794799</v>
      </c>
      <c r="O527" s="67">
        <v>77.491572305298604</v>
      </c>
      <c r="P527" s="67">
        <v>372.15999133884901</v>
      </c>
      <c r="Q527" s="77">
        <v>0.32017244393375299</v>
      </c>
    </row>
    <row r="528" spans="1:17" x14ac:dyDescent="0.35">
      <c r="A528" s="76" t="s">
        <v>136</v>
      </c>
      <c r="B528" s="63">
        <v>876349</v>
      </c>
      <c r="C528" s="63" t="s">
        <v>142</v>
      </c>
      <c r="D528" s="64">
        <v>42570</v>
      </c>
      <c r="E528" s="63" t="s">
        <v>138</v>
      </c>
      <c r="F528" s="65">
        <v>51285</v>
      </c>
      <c r="G528" s="66">
        <v>9.7185493010955807E-3</v>
      </c>
      <c r="H528" s="65">
        <v>222</v>
      </c>
      <c r="I528" s="67">
        <v>0.34364430919883299</v>
      </c>
      <c r="J528" s="67">
        <v>3.3397241609897899</v>
      </c>
      <c r="K528" s="65">
        <v>71</v>
      </c>
      <c r="L528" s="65">
        <v>71</v>
      </c>
      <c r="M528" s="66">
        <v>2.8182701652089401E-2</v>
      </c>
      <c r="N528" s="67">
        <v>2376.86922787404</v>
      </c>
      <c r="O528" s="67">
        <v>81.961007857725605</v>
      </c>
      <c r="P528" s="67">
        <v>353.60999416559901</v>
      </c>
      <c r="Q528" s="77">
        <v>0.14877132911593999</v>
      </c>
    </row>
    <row r="529" spans="1:17" x14ac:dyDescent="0.35">
      <c r="A529" s="76" t="s">
        <v>136</v>
      </c>
      <c r="B529" s="63">
        <v>876349</v>
      </c>
      <c r="C529" s="63" t="s">
        <v>142</v>
      </c>
      <c r="D529" s="64">
        <v>42571</v>
      </c>
      <c r="E529" s="63" t="s">
        <v>138</v>
      </c>
      <c r="F529" s="65">
        <v>952</v>
      </c>
      <c r="G529" s="66">
        <v>9.4305072331074893E-3</v>
      </c>
      <c r="H529" s="65">
        <v>469</v>
      </c>
      <c r="I529" s="67">
        <v>0.32765910934411702</v>
      </c>
      <c r="J529" s="67">
        <v>3.08999160066326</v>
      </c>
      <c r="K529" s="65">
        <v>96</v>
      </c>
      <c r="L529" s="65">
        <v>74</v>
      </c>
      <c r="M529" s="66">
        <v>2.2653721682847901E-2</v>
      </c>
      <c r="N529" s="67">
        <v>2782.0468288952202</v>
      </c>
      <c r="O529" s="67">
        <v>132.47842042358201</v>
      </c>
      <c r="P529" s="67">
        <v>303.73999436199699</v>
      </c>
      <c r="Q529" s="77">
        <v>0.109178605912473</v>
      </c>
    </row>
    <row r="530" spans="1:17" x14ac:dyDescent="0.35">
      <c r="A530" s="76" t="s">
        <v>136</v>
      </c>
      <c r="B530" s="63">
        <v>876349</v>
      </c>
      <c r="C530" s="63" t="s">
        <v>142</v>
      </c>
      <c r="D530" s="64">
        <v>42572</v>
      </c>
      <c r="E530" s="63" t="s">
        <v>138</v>
      </c>
      <c r="F530" s="65">
        <v>23102</v>
      </c>
      <c r="G530" s="66">
        <v>9.17895107124405E-3</v>
      </c>
      <c r="H530" s="65">
        <v>196</v>
      </c>
      <c r="I530" s="67">
        <v>0.33463472311725201</v>
      </c>
      <c r="J530" s="67">
        <v>3.0715957502325502</v>
      </c>
      <c r="K530" s="65">
        <v>77</v>
      </c>
      <c r="L530" s="65">
        <v>50</v>
      </c>
      <c r="M530" s="66">
        <v>1.79640718562874E-2</v>
      </c>
      <c r="N530" s="67">
        <v>1399.21342340457</v>
      </c>
      <c r="O530" s="67">
        <v>93.280894893637793</v>
      </c>
      <c r="P530" s="67">
        <v>279.41999380290503</v>
      </c>
      <c r="Q530" s="77">
        <v>0.199697908216904</v>
      </c>
    </row>
    <row r="531" spans="1:17" x14ac:dyDescent="0.35">
      <c r="A531" s="76" t="s">
        <v>136</v>
      </c>
      <c r="B531" s="63">
        <v>876349</v>
      </c>
      <c r="C531" s="63" t="s">
        <v>142</v>
      </c>
      <c r="D531" s="64">
        <v>42573</v>
      </c>
      <c r="E531" s="63" t="s">
        <v>138</v>
      </c>
      <c r="F531" s="65">
        <v>65963</v>
      </c>
      <c r="G531" s="66">
        <v>1.0396044629894701E-2</v>
      </c>
      <c r="H531" s="65">
        <v>223</v>
      </c>
      <c r="I531" s="67">
        <v>0.319531246845145</v>
      </c>
      <c r="J531" s="67">
        <v>3.3218611028480298</v>
      </c>
      <c r="K531" s="65">
        <v>42</v>
      </c>
      <c r="L531" s="65">
        <v>82</v>
      </c>
      <c r="M531" s="66">
        <v>1.953125E-2</v>
      </c>
      <c r="N531" s="67">
        <v>2126.0264412577199</v>
      </c>
      <c r="O531" s="67">
        <v>106.301322062886</v>
      </c>
      <c r="P531" s="67">
        <v>327.19999676942803</v>
      </c>
      <c r="Q531" s="77">
        <v>0.153902129540714</v>
      </c>
    </row>
    <row r="532" spans="1:17" x14ac:dyDescent="0.35">
      <c r="A532" s="76" t="s">
        <v>136</v>
      </c>
      <c r="B532" s="63">
        <v>876349</v>
      </c>
      <c r="C532" s="63" t="s">
        <v>142</v>
      </c>
      <c r="D532" s="64">
        <v>42574</v>
      </c>
      <c r="E532" s="63" t="s">
        <v>138</v>
      </c>
      <c r="F532" s="65">
        <v>32124</v>
      </c>
      <c r="G532" s="66">
        <v>9.7344355658140706E-3</v>
      </c>
      <c r="H532" s="65">
        <v>394</v>
      </c>
      <c r="I532" s="67">
        <v>0.32827319124156701</v>
      </c>
      <c r="J532" s="67">
        <v>3.1955542281251899</v>
      </c>
      <c r="K532" s="65">
        <v>31</v>
      </c>
      <c r="L532" s="65">
        <v>45</v>
      </c>
      <c r="M532" s="66">
        <v>1.54639175257732E-2</v>
      </c>
      <c r="N532" s="67">
        <v>1749.02757105043</v>
      </c>
      <c r="O532" s="67">
        <v>145.75229758753599</v>
      </c>
      <c r="P532" s="67">
        <v>254.73999640345599</v>
      </c>
      <c r="Q532" s="77">
        <v>0.14564664423812601</v>
      </c>
    </row>
    <row r="533" spans="1:17" x14ac:dyDescent="0.35">
      <c r="A533" s="76" t="s">
        <v>136</v>
      </c>
      <c r="B533" s="63">
        <v>876349</v>
      </c>
      <c r="C533" s="63" t="s">
        <v>142</v>
      </c>
      <c r="D533" s="64">
        <v>42575</v>
      </c>
      <c r="E533" s="63" t="s">
        <v>138</v>
      </c>
      <c r="F533" s="65">
        <v>51540</v>
      </c>
      <c r="G533" s="66">
        <v>1.1077247684913799E-2</v>
      </c>
      <c r="H533" s="65">
        <v>551</v>
      </c>
      <c r="I533" s="67">
        <v>0.27161375364219698</v>
      </c>
      <c r="J533" s="67">
        <v>3.0087328237237898</v>
      </c>
      <c r="K533" s="65">
        <v>78</v>
      </c>
      <c r="L533" s="65">
        <v>53</v>
      </c>
      <c r="M533" s="66">
        <v>2.1164021164021201E-2</v>
      </c>
      <c r="N533" s="67">
        <v>1193.7505395773701</v>
      </c>
      <c r="O533" s="67">
        <v>74.609408723585702</v>
      </c>
      <c r="P533" s="67">
        <v>205.339997753501</v>
      </c>
      <c r="Q533" s="77">
        <v>0.17201248581315701</v>
      </c>
    </row>
    <row r="534" spans="1:17" x14ac:dyDescent="0.35">
      <c r="A534" s="76" t="s">
        <v>136</v>
      </c>
      <c r="B534" s="63">
        <v>876349</v>
      </c>
      <c r="C534" s="63" t="s">
        <v>142</v>
      </c>
      <c r="D534" s="64">
        <v>42576</v>
      </c>
      <c r="E534" s="63" t="s">
        <v>138</v>
      </c>
      <c r="F534" s="65">
        <v>12151</v>
      </c>
      <c r="G534" s="66">
        <v>1.0047632146631701E-2</v>
      </c>
      <c r="H534" s="65">
        <v>369</v>
      </c>
      <c r="I534" s="67">
        <v>0.280475505587433</v>
      </c>
      <c r="J534" s="67">
        <v>2.81811470628308</v>
      </c>
      <c r="K534" s="65">
        <v>36</v>
      </c>
      <c r="L534" s="65">
        <v>43</v>
      </c>
      <c r="M534" s="66">
        <v>2.3054755043227699E-2</v>
      </c>
      <c r="N534" s="67">
        <v>1864.6814928459601</v>
      </c>
      <c r="O534" s="67">
        <v>116.54259330287201</v>
      </c>
      <c r="P534" s="67">
        <v>194.650000877678</v>
      </c>
      <c r="Q534" s="77">
        <v>0.104387801146991</v>
      </c>
    </row>
    <row r="535" spans="1:17" x14ac:dyDescent="0.35">
      <c r="A535" s="76" t="s">
        <v>136</v>
      </c>
      <c r="B535" s="63">
        <v>876349</v>
      </c>
      <c r="C535" s="63" t="s">
        <v>142</v>
      </c>
      <c r="D535" s="64">
        <v>42577</v>
      </c>
      <c r="E535" s="63" t="s">
        <v>138</v>
      </c>
      <c r="F535" s="65">
        <v>63235</v>
      </c>
      <c r="G535" s="66">
        <v>9.8131133195824699E-3</v>
      </c>
      <c r="H535" s="65">
        <v>306</v>
      </c>
      <c r="I535" s="67">
        <v>0.29686624330889599</v>
      </c>
      <c r="J535" s="67">
        <v>2.9131820863489399</v>
      </c>
      <c r="K535" s="65">
        <v>30</v>
      </c>
      <c r="L535" s="65">
        <v>43</v>
      </c>
      <c r="M535" s="66">
        <v>2.0382165605095499E-2</v>
      </c>
      <c r="N535" s="67">
        <v>1020.09681176064</v>
      </c>
      <c r="O535" s="67">
        <v>63.7560507350397</v>
      </c>
      <c r="P535" s="67">
        <v>233.04000099748399</v>
      </c>
      <c r="Q535" s="77">
        <v>0.228448906330046</v>
      </c>
    </row>
    <row r="536" spans="1:17" x14ac:dyDescent="0.35">
      <c r="A536" s="76" t="s">
        <v>136</v>
      </c>
      <c r="B536" s="63">
        <v>876349</v>
      </c>
      <c r="C536" s="63" t="s">
        <v>142</v>
      </c>
      <c r="D536" s="64">
        <v>42578</v>
      </c>
      <c r="E536" s="63" t="s">
        <v>138</v>
      </c>
      <c r="F536" s="65">
        <v>57724</v>
      </c>
      <c r="G536" s="66">
        <v>1.00533027461035E-2</v>
      </c>
      <c r="H536" s="65">
        <v>297</v>
      </c>
      <c r="I536" s="67">
        <v>0.29946309412085798</v>
      </c>
      <c r="J536" s="67">
        <v>3.0105931464818698</v>
      </c>
      <c r="K536" s="65">
        <v>16</v>
      </c>
      <c r="L536" s="65">
        <v>31</v>
      </c>
      <c r="M536" s="66">
        <v>1.61073825503356E-2</v>
      </c>
      <c r="N536" s="67">
        <v>1947.1000221628999</v>
      </c>
      <c r="O536" s="67">
        <v>162.258335180242</v>
      </c>
      <c r="P536" s="67">
        <v>223.10000512003899</v>
      </c>
      <c r="Q536" s="77">
        <v>0.11458065974043399</v>
      </c>
    </row>
    <row r="537" spans="1:17" x14ac:dyDescent="0.35">
      <c r="A537" s="76" t="s">
        <v>136</v>
      </c>
      <c r="B537" s="63">
        <v>876349</v>
      </c>
      <c r="C537" s="63" t="s">
        <v>142</v>
      </c>
      <c r="D537" s="64">
        <v>42579</v>
      </c>
      <c r="E537" s="63" t="s">
        <v>138</v>
      </c>
      <c r="F537" s="65">
        <v>31991</v>
      </c>
      <c r="G537" s="66">
        <v>1.0660028949824801E-2</v>
      </c>
      <c r="H537" s="65">
        <v>334</v>
      </c>
      <c r="I537" s="67">
        <v>0.30163706228288301</v>
      </c>
      <c r="J537" s="67">
        <v>3.21545981627564</v>
      </c>
      <c r="K537" s="65">
        <v>89</v>
      </c>
      <c r="L537" s="65">
        <v>38</v>
      </c>
      <c r="M537" s="66">
        <v>2.0304568527918801E-2</v>
      </c>
      <c r="N537" s="67">
        <v>1670.7580550579</v>
      </c>
      <c r="O537" s="67">
        <v>104.42237844111899</v>
      </c>
      <c r="P537" s="67">
        <v>237.69000507891201</v>
      </c>
      <c r="Q537" s="77">
        <v>0.14226476679813099</v>
      </c>
    </row>
    <row r="538" spans="1:17" x14ac:dyDescent="0.35">
      <c r="A538" s="76" t="s">
        <v>136</v>
      </c>
      <c r="B538" s="63">
        <v>876349</v>
      </c>
      <c r="C538" s="63" t="s">
        <v>142</v>
      </c>
      <c r="D538" s="64">
        <v>42580</v>
      </c>
      <c r="E538" s="63" t="s">
        <v>138</v>
      </c>
      <c r="F538" s="65">
        <v>23405</v>
      </c>
      <c r="G538" s="66">
        <v>1.07557316727993E-2</v>
      </c>
      <c r="H538" s="65">
        <v>565</v>
      </c>
      <c r="I538" s="67">
        <v>0.30982456493534499</v>
      </c>
      <c r="J538" s="67">
        <v>3.3323898860863599</v>
      </c>
      <c r="K538" s="65">
        <v>61</v>
      </c>
      <c r="L538" s="65">
        <v>35</v>
      </c>
      <c r="M538" s="66">
        <v>8.7719298245613996E-3</v>
      </c>
      <c r="N538" s="67">
        <v>488.71985610327499</v>
      </c>
      <c r="O538" s="67">
        <v>69.817122300467901</v>
      </c>
      <c r="P538" s="67">
        <v>247.240002818406</v>
      </c>
      <c r="Q538" s="77">
        <v>0.50589309955550399</v>
      </c>
    </row>
    <row r="539" spans="1:17" x14ac:dyDescent="0.35">
      <c r="A539" s="76" t="s">
        <v>136</v>
      </c>
      <c r="B539" s="63">
        <v>876349</v>
      </c>
      <c r="C539" s="63" t="s">
        <v>142</v>
      </c>
      <c r="D539" s="64">
        <v>42581</v>
      </c>
      <c r="E539" s="63" t="s">
        <v>138</v>
      </c>
      <c r="F539" s="65">
        <v>5603</v>
      </c>
      <c r="G539" s="66">
        <v>1.0338333824414901E-2</v>
      </c>
      <c r="H539" s="65">
        <v>460</v>
      </c>
      <c r="I539" s="67">
        <v>0.32686494190195098</v>
      </c>
      <c r="J539" s="67">
        <v>3.3792388848803401</v>
      </c>
      <c r="K539" s="65">
        <v>88</v>
      </c>
      <c r="L539" s="65">
        <v>32</v>
      </c>
      <c r="M539" s="66">
        <v>1.23915737298637E-2</v>
      </c>
      <c r="N539" s="67">
        <v>868.57118358442199</v>
      </c>
      <c r="O539" s="67">
        <v>86.857118358442307</v>
      </c>
      <c r="P539" s="67">
        <v>263.78000811487402</v>
      </c>
      <c r="Q539" s="77">
        <v>0.303694173949343</v>
      </c>
    </row>
    <row r="540" spans="1:17" x14ac:dyDescent="0.35">
      <c r="A540" s="76" t="s">
        <v>136</v>
      </c>
      <c r="B540" s="63">
        <v>876349</v>
      </c>
      <c r="C540" s="63" t="s">
        <v>142</v>
      </c>
      <c r="D540" s="64">
        <v>42582</v>
      </c>
      <c r="E540" s="63" t="s">
        <v>138</v>
      </c>
      <c r="F540" s="65">
        <v>33179</v>
      </c>
      <c r="G540" s="66">
        <v>1.00582702676564E-2</v>
      </c>
      <c r="H540" s="65">
        <v>190</v>
      </c>
      <c r="I540" s="67">
        <v>0.32317308468135197</v>
      </c>
      <c r="J540" s="67">
        <v>3.2505622289572398</v>
      </c>
      <c r="K540" s="65">
        <v>62</v>
      </c>
      <c r="L540" s="65">
        <v>34</v>
      </c>
      <c r="M540" s="66">
        <v>2.5240384615384599E-2</v>
      </c>
      <c r="N540" s="67">
        <v>2222.7072256192</v>
      </c>
      <c r="O540" s="67">
        <v>105.843201219962</v>
      </c>
      <c r="P540" s="67">
        <v>268.88000645488501</v>
      </c>
      <c r="Q540" s="77">
        <v>0.12096960110433801</v>
      </c>
    </row>
    <row r="541" spans="1:17" x14ac:dyDescent="0.35">
      <c r="A541" s="76" t="s">
        <v>136</v>
      </c>
      <c r="B541" s="63">
        <v>876349</v>
      </c>
      <c r="C541" s="63" t="s">
        <v>142</v>
      </c>
      <c r="D541" s="64">
        <v>42583</v>
      </c>
      <c r="E541" s="63" t="s">
        <v>138</v>
      </c>
      <c r="F541" s="65">
        <v>10916</v>
      </c>
      <c r="G541" s="66">
        <v>1.0368411977699899E-2</v>
      </c>
      <c r="H541" s="65">
        <v>408</v>
      </c>
      <c r="I541" s="67">
        <v>0.31900221829668102</v>
      </c>
      <c r="J541" s="67">
        <v>3.30754642110014</v>
      </c>
      <c r="K541" s="65">
        <v>87</v>
      </c>
      <c r="L541" s="65">
        <v>51</v>
      </c>
      <c r="M541" s="66">
        <v>1.7738359201773801E-2</v>
      </c>
      <c r="N541" s="67">
        <v>2402.6987687906999</v>
      </c>
      <c r="O541" s="67">
        <v>150.168673049419</v>
      </c>
      <c r="P541" s="67">
        <v>287.74000090360602</v>
      </c>
      <c r="Q541" s="77">
        <v>0.119757001851892</v>
      </c>
    </row>
    <row r="542" spans="1:17" x14ac:dyDescent="0.35">
      <c r="A542" s="76" t="s">
        <v>136</v>
      </c>
      <c r="B542" s="63">
        <v>876349</v>
      </c>
      <c r="C542" s="63" t="s">
        <v>142</v>
      </c>
      <c r="D542" s="64">
        <v>42584</v>
      </c>
      <c r="E542" s="63" t="s">
        <v>138</v>
      </c>
      <c r="F542" s="65">
        <v>38576</v>
      </c>
      <c r="G542" s="66">
        <v>1.0296163311892899E-2</v>
      </c>
      <c r="H542" s="65">
        <v>425</v>
      </c>
      <c r="I542" s="67">
        <v>0.32714781207279903</v>
      </c>
      <c r="J542" s="67">
        <v>3.3683673002299801</v>
      </c>
      <c r="K542" s="65">
        <v>18</v>
      </c>
      <c r="L542" s="65">
        <v>40</v>
      </c>
      <c r="M542" s="66">
        <v>1.38568129330254E-2</v>
      </c>
      <c r="N542" s="67">
        <v>1695.98209876442</v>
      </c>
      <c r="O542" s="67">
        <v>141.331841563702</v>
      </c>
      <c r="P542" s="67">
        <v>283.31000525504402</v>
      </c>
      <c r="Q542" s="77">
        <v>0.16704775684922901</v>
      </c>
    </row>
    <row r="543" spans="1:17" x14ac:dyDescent="0.35">
      <c r="A543" s="76" t="s">
        <v>136</v>
      </c>
      <c r="B543" s="63">
        <v>876349</v>
      </c>
      <c r="C543" s="63" t="s">
        <v>142</v>
      </c>
      <c r="D543" s="64">
        <v>42585</v>
      </c>
      <c r="E543" s="63" t="s">
        <v>138</v>
      </c>
      <c r="F543" s="65">
        <v>64304</v>
      </c>
      <c r="G543" s="66">
        <v>1.03799145041845E-2</v>
      </c>
      <c r="H543" s="65">
        <v>172</v>
      </c>
      <c r="I543" s="67">
        <v>0.32367749555412401</v>
      </c>
      <c r="J543" s="67">
        <v>3.3597447307803598</v>
      </c>
      <c r="K543" s="65">
        <v>38</v>
      </c>
      <c r="L543" s="65">
        <v>37</v>
      </c>
      <c r="M543" s="66">
        <v>1.6241299303944301E-2</v>
      </c>
      <c r="N543" s="67">
        <v>1470.5983481133401</v>
      </c>
      <c r="O543" s="67">
        <v>105.042739150953</v>
      </c>
      <c r="P543" s="67">
        <v>279.01000116765499</v>
      </c>
      <c r="Q543" s="77">
        <v>0.189725496105448</v>
      </c>
    </row>
    <row r="544" spans="1:17" x14ac:dyDescent="0.35">
      <c r="A544" s="76" t="s">
        <v>136</v>
      </c>
      <c r="B544" s="63">
        <v>876349</v>
      </c>
      <c r="C544" s="63" t="s">
        <v>142</v>
      </c>
      <c r="D544" s="64">
        <v>42586</v>
      </c>
      <c r="E544" s="63" t="s">
        <v>138</v>
      </c>
      <c r="F544" s="65">
        <v>871</v>
      </c>
      <c r="G544" s="66">
        <v>1.0756290455736501E-2</v>
      </c>
      <c r="H544" s="65">
        <v>246</v>
      </c>
      <c r="I544" s="67">
        <v>0.32295885035670802</v>
      </c>
      <c r="J544" s="67">
        <v>3.4738391996874798</v>
      </c>
      <c r="K544" s="65">
        <v>24</v>
      </c>
      <c r="L544" s="65">
        <v>44</v>
      </c>
      <c r="M544" s="66">
        <v>1.8909899888765298E-2</v>
      </c>
      <c r="N544" s="67">
        <v>1557.5961602887401</v>
      </c>
      <c r="O544" s="67">
        <v>91.6233035463965</v>
      </c>
      <c r="P544" s="67">
        <v>290.34000647068001</v>
      </c>
      <c r="Q544" s="77">
        <v>0.186402620828789</v>
      </c>
    </row>
    <row r="545" spans="1:17" x14ac:dyDescent="0.35">
      <c r="A545" s="76" t="s">
        <v>136</v>
      </c>
      <c r="B545" s="63">
        <v>876349</v>
      </c>
      <c r="C545" s="63" t="s">
        <v>142</v>
      </c>
      <c r="D545" s="64">
        <v>42587</v>
      </c>
      <c r="E545" s="63" t="s">
        <v>138</v>
      </c>
      <c r="F545" s="65">
        <v>57400</v>
      </c>
      <c r="G545" s="66">
        <v>1.07341231527653E-2</v>
      </c>
      <c r="H545" s="65">
        <v>565</v>
      </c>
      <c r="I545" s="67">
        <v>0.31629630174271001</v>
      </c>
      <c r="J545" s="67">
        <v>3.39516345567047</v>
      </c>
      <c r="K545" s="65">
        <v>16</v>
      </c>
      <c r="L545" s="65">
        <v>62</v>
      </c>
      <c r="M545" s="66">
        <v>2.0105820105820099E-2</v>
      </c>
      <c r="N545" s="67">
        <v>2274.9611804723399</v>
      </c>
      <c r="O545" s="67">
        <v>119.73479897222801</v>
      </c>
      <c r="P545" s="67">
        <v>298.90000514686102</v>
      </c>
      <c r="Q545" s="77">
        <v>0.13138685957041299</v>
      </c>
    </row>
    <row r="546" spans="1:17" x14ac:dyDescent="0.35">
      <c r="A546" s="76" t="s">
        <v>136</v>
      </c>
      <c r="B546" s="63">
        <v>876349</v>
      </c>
      <c r="C546" s="63" t="s">
        <v>142</v>
      </c>
      <c r="D546" s="64">
        <v>42588</v>
      </c>
      <c r="E546" s="63" t="s">
        <v>138</v>
      </c>
      <c r="F546" s="65">
        <v>11635</v>
      </c>
      <c r="G546" s="66">
        <v>1.0510603893276901E-2</v>
      </c>
      <c r="H546" s="65">
        <v>167</v>
      </c>
      <c r="I546" s="67">
        <v>0.31822485657485999</v>
      </c>
      <c r="J546" s="67">
        <v>3.3447354164532199</v>
      </c>
      <c r="K546" s="65">
        <v>93</v>
      </c>
      <c r="L546" s="65">
        <v>38</v>
      </c>
      <c r="M546" s="66">
        <v>1.5384615384615399E-2</v>
      </c>
      <c r="N546" s="67">
        <v>1399.46541717945</v>
      </c>
      <c r="O546" s="67">
        <v>107.65118593688101</v>
      </c>
      <c r="P546" s="67">
        <v>268.90000380575702</v>
      </c>
      <c r="Q546" s="77">
        <v>0.19214480079665699</v>
      </c>
    </row>
    <row r="547" spans="1:17" x14ac:dyDescent="0.35">
      <c r="A547" s="76" t="s">
        <v>136</v>
      </c>
      <c r="B547" s="63">
        <v>876349</v>
      </c>
      <c r="C547" s="63" t="s">
        <v>142</v>
      </c>
      <c r="D547" s="64">
        <v>42589</v>
      </c>
      <c r="E547" s="63" t="s">
        <v>138</v>
      </c>
      <c r="F547" s="65">
        <v>19458</v>
      </c>
      <c r="G547" s="66">
        <v>1.1074353272954101E-2</v>
      </c>
      <c r="H547" s="65">
        <v>498</v>
      </c>
      <c r="I547" s="67">
        <v>0.31544564340362102</v>
      </c>
      <c r="J547" s="67">
        <v>3.4933564934659902</v>
      </c>
      <c r="K547" s="65">
        <v>75</v>
      </c>
      <c r="L547" s="65">
        <v>44</v>
      </c>
      <c r="M547" s="66">
        <v>2.4485798237022498E-2</v>
      </c>
      <c r="N547" s="67">
        <v>2817.3823191351198</v>
      </c>
      <c r="O547" s="67">
        <v>112.695292765405</v>
      </c>
      <c r="P547" s="67">
        <v>322.07000191509701</v>
      </c>
      <c r="Q547" s="77">
        <v>0.11431533438953601</v>
      </c>
    </row>
    <row r="548" spans="1:17" x14ac:dyDescent="0.35">
      <c r="A548" s="76" t="s">
        <v>136</v>
      </c>
      <c r="B548" s="63">
        <v>876349</v>
      </c>
      <c r="C548" s="63" t="s">
        <v>142</v>
      </c>
      <c r="D548" s="64">
        <v>42590</v>
      </c>
      <c r="E548" s="63" t="s">
        <v>138</v>
      </c>
      <c r="F548" s="65">
        <v>38667</v>
      </c>
      <c r="G548" s="66">
        <v>1.14289244455427E-2</v>
      </c>
      <c r="H548" s="65">
        <v>314</v>
      </c>
      <c r="I548" s="67">
        <v>0.31999099683519999</v>
      </c>
      <c r="J548" s="67">
        <v>3.6571529260834001</v>
      </c>
      <c r="K548" s="65">
        <v>16</v>
      </c>
      <c r="L548" s="65">
        <v>46</v>
      </c>
      <c r="M548" s="66">
        <v>1.17117117117117E-2</v>
      </c>
      <c r="N548" s="67">
        <v>1408.5187022286</v>
      </c>
      <c r="O548" s="67">
        <v>108.34759247912299</v>
      </c>
      <c r="P548" s="67">
        <v>355.19000648707203</v>
      </c>
      <c r="Q548" s="77">
        <v>0.25217273006391799</v>
      </c>
    </row>
    <row r="549" spans="1:17" x14ac:dyDescent="0.35">
      <c r="A549" s="76" t="s">
        <v>136</v>
      </c>
      <c r="B549" s="63">
        <v>876349</v>
      </c>
      <c r="C549" s="63" t="s">
        <v>142</v>
      </c>
      <c r="D549" s="64">
        <v>42591</v>
      </c>
      <c r="E549" s="63" t="s">
        <v>138</v>
      </c>
      <c r="F549" s="65">
        <v>8384</v>
      </c>
      <c r="G549" s="66">
        <v>1.1020112645861301E-2</v>
      </c>
      <c r="H549" s="65">
        <v>579</v>
      </c>
      <c r="I549" s="67">
        <v>0.31500000258710598</v>
      </c>
      <c r="J549" s="67">
        <v>3.4713355119565201</v>
      </c>
      <c r="K549" s="65">
        <v>92</v>
      </c>
      <c r="L549" s="65">
        <v>48</v>
      </c>
      <c r="M549" s="66">
        <v>1.36518771331058E-2</v>
      </c>
      <c r="N549" s="67">
        <v>1507.11330756543</v>
      </c>
      <c r="O549" s="67">
        <v>94.194581722839104</v>
      </c>
      <c r="P549" s="67">
        <v>369.180003032088</v>
      </c>
      <c r="Q549" s="77">
        <v>0.244958359254659</v>
      </c>
    </row>
    <row r="550" spans="1:17" x14ac:dyDescent="0.35">
      <c r="A550" s="76" t="s">
        <v>136</v>
      </c>
      <c r="B550" s="63">
        <v>876349</v>
      </c>
      <c r="C550" s="63" t="s">
        <v>142</v>
      </c>
      <c r="D550" s="64">
        <v>42592</v>
      </c>
      <c r="E550" s="63" t="s">
        <v>138</v>
      </c>
      <c r="F550" s="65">
        <v>40966</v>
      </c>
      <c r="G550" s="66">
        <v>1.0875915689182499E-2</v>
      </c>
      <c r="H550" s="65">
        <v>598</v>
      </c>
      <c r="I550" s="67">
        <v>0.32013223825776899</v>
      </c>
      <c r="J550" s="67">
        <v>3.4817312326807799</v>
      </c>
      <c r="K550" s="65">
        <v>37</v>
      </c>
      <c r="L550" s="65">
        <v>45</v>
      </c>
      <c r="M550" s="66">
        <v>1.9834710743801699E-2</v>
      </c>
      <c r="N550" s="67">
        <v>2511.9417440194402</v>
      </c>
      <c r="O550" s="67">
        <v>104.66423933414301</v>
      </c>
      <c r="P550" s="67">
        <v>387.36000829189999</v>
      </c>
      <c r="Q550" s="77">
        <v>0.15420740119238299</v>
      </c>
    </row>
    <row r="551" spans="1:17" x14ac:dyDescent="0.35">
      <c r="A551" s="76" t="s">
        <v>136</v>
      </c>
      <c r="B551" s="63">
        <v>876349</v>
      </c>
      <c r="C551" s="63" t="s">
        <v>142</v>
      </c>
      <c r="D551" s="64">
        <v>42593</v>
      </c>
      <c r="E551" s="63" t="s">
        <v>138</v>
      </c>
      <c r="F551" s="65">
        <v>22365</v>
      </c>
      <c r="G551" s="66">
        <v>1.0696194188652201E-2</v>
      </c>
      <c r="H551" s="65">
        <v>368</v>
      </c>
      <c r="I551" s="67">
        <v>0.315906696329812</v>
      </c>
      <c r="J551" s="67">
        <v>3.3789993694392599</v>
      </c>
      <c r="K551" s="65">
        <v>98</v>
      </c>
      <c r="L551" s="65">
        <v>46</v>
      </c>
      <c r="M551" s="66">
        <v>1.5845070422535201E-2</v>
      </c>
      <c r="N551" s="67">
        <v>2489.1791957928199</v>
      </c>
      <c r="O551" s="67">
        <v>138.28773309960101</v>
      </c>
      <c r="P551" s="67">
        <v>358.87000703066599</v>
      </c>
      <c r="Q551" s="77">
        <v>0.144172025717242</v>
      </c>
    </row>
    <row r="552" spans="1:17" x14ac:dyDescent="0.35">
      <c r="A552" s="76" t="s">
        <v>136</v>
      </c>
      <c r="B552" s="63">
        <v>876349</v>
      </c>
      <c r="C552" s="63" t="s">
        <v>142</v>
      </c>
      <c r="D552" s="64">
        <v>42594</v>
      </c>
      <c r="E552" s="63" t="s">
        <v>138</v>
      </c>
      <c r="F552" s="65">
        <v>47048</v>
      </c>
      <c r="G552" s="66">
        <v>1.23048858141016E-2</v>
      </c>
      <c r="H552" s="65">
        <v>437</v>
      </c>
      <c r="I552" s="67">
        <v>0.31024475943271101</v>
      </c>
      <c r="J552" s="67">
        <v>3.81752633924292</v>
      </c>
      <c r="K552" s="65">
        <v>15</v>
      </c>
      <c r="L552" s="65">
        <v>52</v>
      </c>
      <c r="M552" s="66">
        <v>1.3286713286713299E-2</v>
      </c>
      <c r="N552" s="67">
        <v>2301.21572750728</v>
      </c>
      <c r="O552" s="67">
        <v>121.116617237225</v>
      </c>
      <c r="P552" s="67">
        <v>443.65000598877702</v>
      </c>
      <c r="Q552" s="77">
        <v>0.19278940287330101</v>
      </c>
    </row>
    <row r="553" spans="1:17" x14ac:dyDescent="0.35">
      <c r="A553" s="76" t="s">
        <v>136</v>
      </c>
      <c r="B553" s="63">
        <v>876349</v>
      </c>
      <c r="C553" s="63" t="s">
        <v>142</v>
      </c>
      <c r="D553" s="64">
        <v>42595</v>
      </c>
      <c r="E553" s="63" t="s">
        <v>138</v>
      </c>
      <c r="F553" s="65">
        <v>22580</v>
      </c>
      <c r="G553" s="66">
        <v>9.7527994146468008E-3</v>
      </c>
      <c r="H553" s="65">
        <v>469</v>
      </c>
      <c r="I553" s="67">
        <v>0.317502378094287</v>
      </c>
      <c r="J553" s="67">
        <v>3.0965370072269298</v>
      </c>
      <c r="K553" s="65">
        <v>8</v>
      </c>
      <c r="L553" s="65">
        <v>49</v>
      </c>
      <c r="M553" s="66">
        <v>1.80436847103514E-2</v>
      </c>
      <c r="N553" s="67">
        <v>1401.2329708730199</v>
      </c>
      <c r="O553" s="67">
        <v>73.749103730159007</v>
      </c>
      <c r="P553" s="67">
        <v>334.33000413328398</v>
      </c>
      <c r="Q553" s="77">
        <v>0.23859701497388</v>
      </c>
    </row>
    <row r="554" spans="1:17" x14ac:dyDescent="0.35">
      <c r="A554" s="76" t="s">
        <v>136</v>
      </c>
      <c r="B554" s="63">
        <v>876349</v>
      </c>
      <c r="C554" s="63" t="s">
        <v>142</v>
      </c>
      <c r="D554" s="64">
        <v>42596</v>
      </c>
      <c r="E554" s="63" t="s">
        <v>138</v>
      </c>
      <c r="F554" s="65">
        <v>4491</v>
      </c>
      <c r="G554" s="66">
        <v>1.09785517735309E-2</v>
      </c>
      <c r="H554" s="65">
        <v>316</v>
      </c>
      <c r="I554" s="67">
        <v>0.31854936345580298</v>
      </c>
      <c r="J554" s="67">
        <v>3.4972106791248301</v>
      </c>
      <c r="K554" s="65">
        <v>75</v>
      </c>
      <c r="L554" s="65">
        <v>44</v>
      </c>
      <c r="M554" s="66">
        <v>1.9742489270386299E-2</v>
      </c>
      <c r="N554" s="67">
        <v>2521.5985573947701</v>
      </c>
      <c r="O554" s="67">
        <v>109.634719886729</v>
      </c>
      <c r="P554" s="67">
        <v>371.11000842601101</v>
      </c>
      <c r="Q554" s="77">
        <v>0.147172517741852</v>
      </c>
    </row>
    <row r="555" spans="1:17" x14ac:dyDescent="0.35">
      <c r="A555" s="76" t="s">
        <v>136</v>
      </c>
      <c r="B555" s="63">
        <v>876349</v>
      </c>
      <c r="C555" s="63" t="s">
        <v>142</v>
      </c>
      <c r="D555" s="64">
        <v>42597</v>
      </c>
      <c r="E555" s="63" t="s">
        <v>138</v>
      </c>
      <c r="F555" s="65">
        <v>13446</v>
      </c>
      <c r="G555" s="66">
        <v>1.01527347598044E-2</v>
      </c>
      <c r="H555" s="65">
        <v>362</v>
      </c>
      <c r="I555" s="67">
        <v>0.31808567169558699</v>
      </c>
      <c r="J555" s="67">
        <v>3.2294394556195201</v>
      </c>
      <c r="K555" s="65">
        <v>32</v>
      </c>
      <c r="L555" s="65">
        <v>38</v>
      </c>
      <c r="M555" s="66">
        <v>1.6608391608391601E-2</v>
      </c>
      <c r="N555" s="67">
        <v>1739.0067085230601</v>
      </c>
      <c r="O555" s="67">
        <v>91.526668869634705</v>
      </c>
      <c r="P555" s="67">
        <v>363.89000841975201</v>
      </c>
      <c r="Q555" s="77">
        <v>0.20925164154703299</v>
      </c>
    </row>
    <row r="556" spans="1:17" x14ac:dyDescent="0.35">
      <c r="A556" s="76" t="s">
        <v>136</v>
      </c>
      <c r="B556" s="63">
        <v>876349</v>
      </c>
      <c r="C556" s="63" t="s">
        <v>142</v>
      </c>
      <c r="D556" s="64">
        <v>42598</v>
      </c>
      <c r="E556" s="63" t="s">
        <v>138</v>
      </c>
      <c r="F556" s="65">
        <v>58071</v>
      </c>
      <c r="G556" s="66">
        <v>1.01442412763167E-2</v>
      </c>
      <c r="H556" s="65">
        <v>157</v>
      </c>
      <c r="I556" s="67">
        <v>0.317971279674094</v>
      </c>
      <c r="J556" s="67">
        <v>3.2255773799531999</v>
      </c>
      <c r="K556" s="65">
        <v>61</v>
      </c>
      <c r="L556" s="65">
        <v>42</v>
      </c>
      <c r="M556" s="66">
        <v>1.43626570915619E-2</v>
      </c>
      <c r="N556" s="67">
        <v>1897.82721027257</v>
      </c>
      <c r="O556" s="67">
        <v>118.614200642035</v>
      </c>
      <c r="P556" s="67">
        <v>354.22000555694098</v>
      </c>
      <c r="Q556" s="77">
        <v>0.186645024183244</v>
      </c>
    </row>
    <row r="557" spans="1:17" x14ac:dyDescent="0.35">
      <c r="A557" s="76" t="s">
        <v>136</v>
      </c>
      <c r="B557" s="63">
        <v>876349</v>
      </c>
      <c r="C557" s="63" t="s">
        <v>142</v>
      </c>
      <c r="D557" s="64">
        <v>42599</v>
      </c>
      <c r="E557" s="63" t="s">
        <v>138</v>
      </c>
      <c r="F557" s="65">
        <v>16714</v>
      </c>
      <c r="G557" s="66">
        <v>1.04227042087388E-2</v>
      </c>
      <c r="H557" s="65">
        <v>349</v>
      </c>
      <c r="I557" s="67">
        <v>0.28713170347417299</v>
      </c>
      <c r="J557" s="67">
        <v>2.9926888142625998</v>
      </c>
      <c r="K557" s="65">
        <v>25</v>
      </c>
      <c r="L557" s="65">
        <v>39</v>
      </c>
      <c r="M557" s="66">
        <v>1.46341463414634E-2</v>
      </c>
      <c r="N557" s="67">
        <v>1818.02894025245</v>
      </c>
      <c r="O557" s="67">
        <v>121.201929350163</v>
      </c>
      <c r="P557" s="67">
        <v>294.30999606102699</v>
      </c>
      <c r="Q557" s="77">
        <v>0.16188410951266799</v>
      </c>
    </row>
    <row r="558" spans="1:17" x14ac:dyDescent="0.35">
      <c r="A558" s="76" t="s">
        <v>136</v>
      </c>
      <c r="B558" s="63">
        <v>876349</v>
      </c>
      <c r="C558" s="63" t="s">
        <v>142</v>
      </c>
      <c r="D558" s="64">
        <v>42600</v>
      </c>
      <c r="E558" s="63" t="s">
        <v>138</v>
      </c>
      <c r="F558" s="65">
        <v>56462</v>
      </c>
      <c r="G558" s="66">
        <v>1.1087950900353199E-2</v>
      </c>
      <c r="H558" s="65">
        <v>232</v>
      </c>
      <c r="I558" s="67">
        <v>0.27114011766186402</v>
      </c>
      <c r="J558" s="67">
        <v>3.00638831175073</v>
      </c>
      <c r="K558" s="65">
        <v>66</v>
      </c>
      <c r="L558" s="65">
        <v>31</v>
      </c>
      <c r="M558" s="66">
        <v>1.6536118363794601E-2</v>
      </c>
      <c r="N558" s="67">
        <v>1960.2518094821401</v>
      </c>
      <c r="O558" s="67">
        <v>103.171147867481</v>
      </c>
      <c r="P558" s="67">
        <v>311.53999519348099</v>
      </c>
      <c r="Q558" s="77">
        <v>0.15892855891600099</v>
      </c>
    </row>
    <row r="559" spans="1:17" x14ac:dyDescent="0.35">
      <c r="A559" s="76" t="s">
        <v>136</v>
      </c>
      <c r="B559" s="63">
        <v>876349</v>
      </c>
      <c r="C559" s="63" t="s">
        <v>142</v>
      </c>
      <c r="D559" s="64">
        <v>42601</v>
      </c>
      <c r="E559" s="63" t="s">
        <v>138</v>
      </c>
      <c r="F559" s="65">
        <v>4170</v>
      </c>
      <c r="G559" s="66">
        <v>1.0645212951361701E-2</v>
      </c>
      <c r="H559" s="65">
        <v>484</v>
      </c>
      <c r="I559" s="67">
        <v>0.27384955108297598</v>
      </c>
      <c r="J559" s="67">
        <v>2.9151867879130999</v>
      </c>
      <c r="K559" s="65">
        <v>10</v>
      </c>
      <c r="L559" s="65">
        <v>47</v>
      </c>
      <c r="M559" s="66">
        <v>1.23893805309735E-2</v>
      </c>
      <c r="N559" s="67">
        <v>1417.74442488211</v>
      </c>
      <c r="O559" s="67">
        <v>101.267458920151</v>
      </c>
      <c r="P559" s="67">
        <v>309.44999272376299</v>
      </c>
      <c r="Q559" s="77">
        <v>0.218269236184438</v>
      </c>
    </row>
    <row r="560" spans="1:17" x14ac:dyDescent="0.35">
      <c r="A560" s="76" t="s">
        <v>136</v>
      </c>
      <c r="B560" s="63">
        <v>876349</v>
      </c>
      <c r="C560" s="63" t="s">
        <v>142</v>
      </c>
      <c r="D560" s="64">
        <v>42602</v>
      </c>
      <c r="E560" s="63" t="s">
        <v>138</v>
      </c>
      <c r="F560" s="65">
        <v>59034</v>
      </c>
      <c r="G560" s="66">
        <v>1.0678379304092E-2</v>
      </c>
      <c r="H560" s="65">
        <v>366</v>
      </c>
      <c r="I560" s="67">
        <v>0.28937734799846199</v>
      </c>
      <c r="J560" s="67">
        <v>3.0900810839398098</v>
      </c>
      <c r="K560" s="65">
        <v>21</v>
      </c>
      <c r="L560" s="65">
        <v>49</v>
      </c>
      <c r="M560" s="66">
        <v>2.2641509433962301E-2</v>
      </c>
      <c r="N560" s="67">
        <v>2826.0475957284698</v>
      </c>
      <c r="O560" s="67">
        <v>117.751983155353</v>
      </c>
      <c r="P560" s="67">
        <v>306.73998887836899</v>
      </c>
      <c r="Q560" s="77">
        <v>0.108540277008074</v>
      </c>
    </row>
    <row r="561" spans="1:17" x14ac:dyDescent="0.35">
      <c r="A561" s="76" t="s">
        <v>136</v>
      </c>
      <c r="B561" s="63">
        <v>876349</v>
      </c>
      <c r="C561" s="63" t="s">
        <v>142</v>
      </c>
      <c r="D561" s="64">
        <v>42603</v>
      </c>
      <c r="E561" s="63" t="s">
        <v>138</v>
      </c>
      <c r="F561" s="65">
        <v>9786</v>
      </c>
      <c r="G561" s="66">
        <v>1.1581255747678199E-2</v>
      </c>
      <c r="H561" s="65">
        <v>349</v>
      </c>
      <c r="I561" s="67">
        <v>0.29981674607615599</v>
      </c>
      <c r="J561" s="67">
        <v>3.4722544137446598</v>
      </c>
      <c r="K561" s="65">
        <v>30</v>
      </c>
      <c r="L561" s="65">
        <v>45</v>
      </c>
      <c r="M561" s="66">
        <v>1.5706806282722498E-2</v>
      </c>
      <c r="N561" s="67">
        <v>1889.29129312893</v>
      </c>
      <c r="O561" s="67">
        <v>104.960627396052</v>
      </c>
      <c r="P561" s="67">
        <v>343.58999100327497</v>
      </c>
      <c r="Q561" s="77">
        <v>0.18186184007350301</v>
      </c>
    </row>
    <row r="562" spans="1:17" x14ac:dyDescent="0.35">
      <c r="A562" s="76" t="s">
        <v>136</v>
      </c>
      <c r="B562" s="63">
        <v>876349</v>
      </c>
      <c r="C562" s="63" t="s">
        <v>142</v>
      </c>
      <c r="D562" s="64">
        <v>42604</v>
      </c>
      <c r="E562" s="63" t="s">
        <v>138</v>
      </c>
      <c r="F562" s="65">
        <v>28821</v>
      </c>
      <c r="G562" s="66">
        <v>1.09814622231975E-2</v>
      </c>
      <c r="H562" s="65">
        <v>588</v>
      </c>
      <c r="I562" s="67">
        <v>0.325013023507429</v>
      </c>
      <c r="J562" s="67">
        <v>3.5691182396940402</v>
      </c>
      <c r="K562" s="65">
        <v>57</v>
      </c>
      <c r="L562" s="65">
        <v>55</v>
      </c>
      <c r="M562" s="66">
        <v>1.91138140747176E-2</v>
      </c>
      <c r="N562" s="67">
        <v>2213.6144116739301</v>
      </c>
      <c r="O562" s="67">
        <v>100.61883689427</v>
      </c>
      <c r="P562" s="67">
        <v>374.08999005705101</v>
      </c>
      <c r="Q562" s="77">
        <v>0.16899510053973901</v>
      </c>
    </row>
    <row r="563" spans="1:17" x14ac:dyDescent="0.35">
      <c r="A563" s="76" t="s">
        <v>136</v>
      </c>
      <c r="B563" s="63">
        <v>876349</v>
      </c>
      <c r="C563" s="63" t="s">
        <v>142</v>
      </c>
      <c r="D563" s="64">
        <v>42605</v>
      </c>
      <c r="E563" s="63" t="s">
        <v>138</v>
      </c>
      <c r="F563" s="65">
        <v>39185</v>
      </c>
      <c r="G563" s="66">
        <v>1.15247981545559E-2</v>
      </c>
      <c r="H563" s="65">
        <v>558</v>
      </c>
      <c r="I563" s="67">
        <v>0.32314651046661103</v>
      </c>
      <c r="J563" s="67">
        <v>3.7241983074767901</v>
      </c>
      <c r="K563" s="65">
        <v>12</v>
      </c>
      <c r="L563" s="65">
        <v>50</v>
      </c>
      <c r="M563" s="66">
        <v>1.44115292233787E-2</v>
      </c>
      <c r="N563" s="67">
        <v>1985.1698614766101</v>
      </c>
      <c r="O563" s="67">
        <v>110.287214526479</v>
      </c>
      <c r="P563" s="67">
        <v>403.60999157279701</v>
      </c>
      <c r="Q563" s="77">
        <v>0.20331257259395599</v>
      </c>
    </row>
    <row r="564" spans="1:17" x14ac:dyDescent="0.35">
      <c r="A564" s="76" t="s">
        <v>136</v>
      </c>
      <c r="B564" s="63">
        <v>876349</v>
      </c>
      <c r="C564" s="63" t="s">
        <v>142</v>
      </c>
      <c r="D564" s="64">
        <v>42606</v>
      </c>
      <c r="E564" s="63" t="s">
        <v>138</v>
      </c>
      <c r="F564" s="65">
        <v>28205</v>
      </c>
      <c r="G564" s="66">
        <v>1.07020136223343E-2</v>
      </c>
      <c r="H564" s="65">
        <v>310</v>
      </c>
      <c r="I564" s="67">
        <v>0.32561274053029798</v>
      </c>
      <c r="J564" s="67">
        <v>3.4847119847608599</v>
      </c>
      <c r="K564" s="65">
        <v>46</v>
      </c>
      <c r="L564" s="65">
        <v>64</v>
      </c>
      <c r="M564" s="66">
        <v>2.1241830065359499E-2</v>
      </c>
      <c r="N564" s="67">
        <v>2271.1242891875099</v>
      </c>
      <c r="O564" s="67">
        <v>87.3509341995195</v>
      </c>
      <c r="P564" s="67">
        <v>398.54999440908398</v>
      </c>
      <c r="Q564" s="77">
        <v>0.175485769892261</v>
      </c>
    </row>
    <row r="565" spans="1:17" x14ac:dyDescent="0.35">
      <c r="A565" s="76" t="s">
        <v>136</v>
      </c>
      <c r="B565" s="63">
        <v>876349</v>
      </c>
      <c r="C565" s="63" t="s">
        <v>142</v>
      </c>
      <c r="D565" s="64">
        <v>42607</v>
      </c>
      <c r="E565" s="63" t="s">
        <v>138</v>
      </c>
      <c r="F565" s="65">
        <v>54106</v>
      </c>
      <c r="G565" s="66">
        <v>1.1283663531813801E-2</v>
      </c>
      <c r="H565" s="65">
        <v>461</v>
      </c>
      <c r="I565" s="67">
        <v>0.32330663907255902</v>
      </c>
      <c r="J565" s="67">
        <v>3.64808333289632</v>
      </c>
      <c r="K565" s="65">
        <v>68</v>
      </c>
      <c r="L565" s="65">
        <v>46</v>
      </c>
      <c r="M565" s="66">
        <v>2.0016012810248202E-2</v>
      </c>
      <c r="N565" s="67">
        <v>2089.8861580006901</v>
      </c>
      <c r="O565" s="67">
        <v>83.595446320027406</v>
      </c>
      <c r="P565" s="67">
        <v>403.80999220162602</v>
      </c>
      <c r="Q565" s="77">
        <v>0.193221047307159</v>
      </c>
    </row>
    <row r="566" spans="1:17" x14ac:dyDescent="0.35">
      <c r="A566" s="76" t="s">
        <v>136</v>
      </c>
      <c r="B566" s="63">
        <v>876349</v>
      </c>
      <c r="C566" s="63" t="s">
        <v>142</v>
      </c>
      <c r="D566" s="64">
        <v>42608</v>
      </c>
      <c r="E566" s="63" t="s">
        <v>138</v>
      </c>
      <c r="F566" s="65">
        <v>15800</v>
      </c>
      <c r="G566" s="66">
        <v>1.10343706833509E-2</v>
      </c>
      <c r="H566" s="65">
        <v>557</v>
      </c>
      <c r="I566" s="67">
        <v>0.32799705291860898</v>
      </c>
      <c r="J566" s="67">
        <v>3.6192410649506099</v>
      </c>
      <c r="K566" s="65">
        <v>56</v>
      </c>
      <c r="L566" s="65">
        <v>63</v>
      </c>
      <c r="M566" s="66">
        <v>1.9145802650957298E-2</v>
      </c>
      <c r="N566" s="67">
        <v>2778.2807199682402</v>
      </c>
      <c r="O566" s="67">
        <v>106.856950768009</v>
      </c>
      <c r="P566" s="67">
        <v>445.41999786347202</v>
      </c>
      <c r="Q566" s="77">
        <v>0.16032217142858199</v>
      </c>
    </row>
    <row r="567" spans="1:17" x14ac:dyDescent="0.35">
      <c r="A567" s="76" t="s">
        <v>136</v>
      </c>
      <c r="B567" s="63">
        <v>876349</v>
      </c>
      <c r="C567" s="63" t="s">
        <v>142</v>
      </c>
      <c r="D567" s="64">
        <v>42609</v>
      </c>
      <c r="E567" s="63" t="s">
        <v>138</v>
      </c>
      <c r="F567" s="65">
        <v>44876</v>
      </c>
      <c r="G567" s="66">
        <v>1.0421333541110699E-2</v>
      </c>
      <c r="H567" s="65">
        <v>485</v>
      </c>
      <c r="I567" s="67">
        <v>0.31297195777993297</v>
      </c>
      <c r="J567" s="67">
        <v>3.2615851610391</v>
      </c>
      <c r="K567" s="65">
        <v>99</v>
      </c>
      <c r="L567" s="65">
        <v>41</v>
      </c>
      <c r="M567" s="66">
        <v>1.4018691588785E-2</v>
      </c>
      <c r="N567" s="67">
        <v>1593.0332835737399</v>
      </c>
      <c r="O567" s="67">
        <v>106.20221890491599</v>
      </c>
      <c r="P567" s="67">
        <v>334.87999482452898</v>
      </c>
      <c r="Q567" s="77">
        <v>0.210215315823957</v>
      </c>
    </row>
    <row r="568" spans="1:17" x14ac:dyDescent="0.35">
      <c r="A568" s="76" t="s">
        <v>136</v>
      </c>
      <c r="B568" s="63">
        <v>876349</v>
      </c>
      <c r="C568" s="63" t="s">
        <v>142</v>
      </c>
      <c r="D568" s="64">
        <v>42610</v>
      </c>
      <c r="E568" s="63" t="s">
        <v>138</v>
      </c>
      <c r="F568" s="65">
        <v>60187</v>
      </c>
      <c r="G568" s="66">
        <v>1.12336700206273E-2</v>
      </c>
      <c r="H568" s="65">
        <v>157</v>
      </c>
      <c r="I568" s="67">
        <v>0.31507416556364498</v>
      </c>
      <c r="J568" s="67">
        <v>3.53943920796649</v>
      </c>
      <c r="K568" s="65">
        <v>80</v>
      </c>
      <c r="L568" s="65">
        <v>43</v>
      </c>
      <c r="M568" s="66">
        <v>1.46551724137931E-2</v>
      </c>
      <c r="N568" s="67">
        <v>1419.2102053675701</v>
      </c>
      <c r="O568" s="67">
        <v>83.482953256915593</v>
      </c>
      <c r="P568" s="67">
        <v>365.48603205382801</v>
      </c>
      <c r="Q568" s="77">
        <v>0.25752776485930801</v>
      </c>
    </row>
    <row r="569" spans="1:17" x14ac:dyDescent="0.35">
      <c r="A569" s="76" t="s">
        <v>136</v>
      </c>
      <c r="B569" s="63">
        <v>876349</v>
      </c>
      <c r="C569" s="63" t="s">
        <v>142</v>
      </c>
      <c r="D569" s="64">
        <v>42611</v>
      </c>
      <c r="E569" s="63" t="s">
        <v>138</v>
      </c>
      <c r="F569" s="65">
        <v>18948</v>
      </c>
      <c r="G569" s="66">
        <v>1.03824548921631E-2</v>
      </c>
      <c r="H569" s="65">
        <v>338</v>
      </c>
      <c r="I569" s="67">
        <v>0.31470918482637</v>
      </c>
      <c r="J569" s="67">
        <v>3.2674539156092099</v>
      </c>
      <c r="K569" s="65">
        <v>63</v>
      </c>
      <c r="L569" s="65">
        <v>42</v>
      </c>
      <c r="M569" s="66">
        <v>1.4342629482071699E-2</v>
      </c>
      <c r="N569" s="67">
        <v>2123.1677849183002</v>
      </c>
      <c r="O569" s="67">
        <v>117.953765828794</v>
      </c>
      <c r="P569" s="67">
        <v>394.96002695709501</v>
      </c>
      <c r="Q569" s="77">
        <v>0.186023935443375</v>
      </c>
    </row>
    <row r="570" spans="1:17" x14ac:dyDescent="0.35">
      <c r="A570" s="76" t="s">
        <v>136</v>
      </c>
      <c r="B570" s="63">
        <v>876349</v>
      </c>
      <c r="C570" s="63" t="s">
        <v>142</v>
      </c>
      <c r="D570" s="64">
        <v>42612</v>
      </c>
      <c r="E570" s="63" t="s">
        <v>138</v>
      </c>
      <c r="F570" s="65">
        <v>5450</v>
      </c>
      <c r="G570" s="66">
        <v>1.0514281755036299E-2</v>
      </c>
      <c r="H570" s="65">
        <v>251</v>
      </c>
      <c r="I570" s="67">
        <v>0.31074960618793901</v>
      </c>
      <c r="J570" s="67">
        <v>3.2673089147265602</v>
      </c>
      <c r="K570" s="65">
        <v>72</v>
      </c>
      <c r="L570" s="65">
        <v>42</v>
      </c>
      <c r="M570" s="66">
        <v>1.4827018121910999E-2</v>
      </c>
      <c r="N570" s="67">
        <v>2054.3628126244098</v>
      </c>
      <c r="O570" s="67">
        <v>114.131267368023</v>
      </c>
      <c r="P570" s="67">
        <v>377.25002191215799</v>
      </c>
      <c r="Q570" s="77">
        <v>0.18363359168784199</v>
      </c>
    </row>
    <row r="571" spans="1:17" x14ac:dyDescent="0.35">
      <c r="A571" s="76" t="s">
        <v>136</v>
      </c>
      <c r="B571" s="63">
        <v>876349</v>
      </c>
      <c r="C571" s="63" t="s">
        <v>142</v>
      </c>
      <c r="D571" s="64">
        <v>42613</v>
      </c>
      <c r="E571" s="63" t="s">
        <v>138</v>
      </c>
      <c r="F571" s="65">
        <v>66728</v>
      </c>
      <c r="G571" s="66">
        <v>1.07090617817093E-2</v>
      </c>
      <c r="H571" s="65">
        <v>487</v>
      </c>
      <c r="I571" s="67">
        <v>0.31368294418827303</v>
      </c>
      <c r="J571" s="67">
        <v>3.3592500291806799</v>
      </c>
      <c r="K571" s="65">
        <v>37</v>
      </c>
      <c r="L571" s="65">
        <v>62</v>
      </c>
      <c r="M571" s="66">
        <v>2.0325203252032499E-2</v>
      </c>
      <c r="N571" s="67">
        <v>2549.6637519011501</v>
      </c>
      <c r="O571" s="67">
        <v>101.986550076046</v>
      </c>
      <c r="P571" s="67">
        <v>385.83002135157602</v>
      </c>
      <c r="Q571" s="77">
        <v>0.15132584485459399</v>
      </c>
    </row>
    <row r="572" spans="1:17" x14ac:dyDescent="0.35">
      <c r="A572" s="76" t="s">
        <v>136</v>
      </c>
      <c r="B572" s="63">
        <v>876349</v>
      </c>
      <c r="C572" s="63" t="s">
        <v>142</v>
      </c>
      <c r="D572" s="64">
        <v>42614</v>
      </c>
      <c r="E572" s="63" t="s">
        <v>138</v>
      </c>
      <c r="F572" s="65">
        <v>63549</v>
      </c>
      <c r="G572" s="66">
        <v>1.21457105715126E-2</v>
      </c>
      <c r="H572" s="65">
        <v>286</v>
      </c>
      <c r="I572" s="67">
        <v>0.31363283147802601</v>
      </c>
      <c r="J572" s="67">
        <v>3.8092935968560901</v>
      </c>
      <c r="K572" s="65">
        <v>79</v>
      </c>
      <c r="L572" s="65">
        <v>41</v>
      </c>
      <c r="M572" s="66">
        <v>1.171875E-2</v>
      </c>
      <c r="N572" s="67">
        <v>1584.8840171355801</v>
      </c>
      <c r="O572" s="67">
        <v>105.658934475705</v>
      </c>
      <c r="P572" s="67">
        <v>401.45002429187298</v>
      </c>
      <c r="Q572" s="77">
        <v>0.25329930767894898</v>
      </c>
    </row>
    <row r="573" spans="1:17" x14ac:dyDescent="0.35">
      <c r="A573" s="76" t="s">
        <v>136</v>
      </c>
      <c r="B573" s="63">
        <v>876349</v>
      </c>
      <c r="C573" s="63" t="s">
        <v>142</v>
      </c>
      <c r="D573" s="64">
        <v>42615</v>
      </c>
      <c r="E573" s="63" t="s">
        <v>138</v>
      </c>
      <c r="F573" s="65">
        <v>42698</v>
      </c>
      <c r="G573" s="66">
        <v>1.19827839186149E-2</v>
      </c>
      <c r="H573" s="65">
        <v>175</v>
      </c>
      <c r="I573" s="67">
        <v>0.31732655412384397</v>
      </c>
      <c r="J573" s="67">
        <v>3.8024555297046798</v>
      </c>
      <c r="K573" s="65">
        <v>86</v>
      </c>
      <c r="L573" s="65">
        <v>80</v>
      </c>
      <c r="M573" s="66">
        <v>1.9727891156462601E-2</v>
      </c>
      <c r="N573" s="67">
        <v>3308.7132937778401</v>
      </c>
      <c r="O573" s="67">
        <v>114.09356185440799</v>
      </c>
      <c r="P573" s="67">
        <v>466.47003456205101</v>
      </c>
      <c r="Q573" s="77">
        <v>0.140982307363792</v>
      </c>
    </row>
    <row r="574" spans="1:17" x14ac:dyDescent="0.35">
      <c r="A574" s="76" t="s">
        <v>136</v>
      </c>
      <c r="B574" s="63">
        <v>876349</v>
      </c>
      <c r="C574" s="63" t="s">
        <v>142</v>
      </c>
      <c r="D574" s="64">
        <v>42616</v>
      </c>
      <c r="E574" s="63" t="s">
        <v>138</v>
      </c>
      <c r="F574" s="65">
        <v>46831</v>
      </c>
      <c r="G574" s="66">
        <v>1.22539620252036E-2</v>
      </c>
      <c r="H574" s="65">
        <v>275</v>
      </c>
      <c r="I574" s="67">
        <v>0.331972352146365</v>
      </c>
      <c r="J574" s="67">
        <v>4.0679765966190597</v>
      </c>
      <c r="K574" s="65">
        <v>56</v>
      </c>
      <c r="L574" s="65">
        <v>60</v>
      </c>
      <c r="M574" s="66">
        <v>1.52838427947598E-2</v>
      </c>
      <c r="N574" s="67">
        <v>2636.9168087859798</v>
      </c>
      <c r="O574" s="67">
        <v>125.567467085047</v>
      </c>
      <c r="P574" s="67">
        <v>456.13001184910502</v>
      </c>
      <c r="Q574" s="77">
        <v>0.17297853702829</v>
      </c>
    </row>
    <row r="575" spans="1:17" x14ac:dyDescent="0.35">
      <c r="A575" s="76" t="s">
        <v>136</v>
      </c>
      <c r="B575" s="63">
        <v>876349</v>
      </c>
      <c r="C575" s="63" t="s">
        <v>142</v>
      </c>
      <c r="D575" s="64">
        <v>42617</v>
      </c>
      <c r="E575" s="63" t="s">
        <v>138</v>
      </c>
      <c r="F575" s="65">
        <v>18721</v>
      </c>
      <c r="G575" s="66">
        <v>1.1856009360488501E-2</v>
      </c>
      <c r="H575" s="65">
        <v>236</v>
      </c>
      <c r="I575" s="67">
        <v>0.331079411404401</v>
      </c>
      <c r="J575" s="67">
        <v>3.9252806006755998</v>
      </c>
      <c r="K575" s="65">
        <v>13</v>
      </c>
      <c r="L575" s="65">
        <v>51</v>
      </c>
      <c r="M575" s="66">
        <v>1.6962220508866602E-2</v>
      </c>
      <c r="N575" s="67">
        <v>2362.64219821493</v>
      </c>
      <c r="O575" s="67">
        <v>107.392827191588</v>
      </c>
      <c r="P575" s="67">
        <v>429.40999659150799</v>
      </c>
      <c r="Q575" s="77">
        <v>0.18174990564205801</v>
      </c>
    </row>
    <row r="576" spans="1:17" x14ac:dyDescent="0.35">
      <c r="A576" s="76" t="s">
        <v>136</v>
      </c>
      <c r="B576" s="63">
        <v>876349</v>
      </c>
      <c r="C576" s="63" t="s">
        <v>142</v>
      </c>
      <c r="D576" s="64">
        <v>42618</v>
      </c>
      <c r="E576" s="63" t="s">
        <v>138</v>
      </c>
      <c r="F576" s="65">
        <v>56643</v>
      </c>
      <c r="G576" s="66">
        <v>1.16255689399894E-2</v>
      </c>
      <c r="H576" s="65">
        <v>166</v>
      </c>
      <c r="I576" s="67">
        <v>0.32613207156178298</v>
      </c>
      <c r="J576" s="67">
        <v>3.79147088148307</v>
      </c>
      <c r="K576" s="65">
        <v>20</v>
      </c>
      <c r="L576" s="65">
        <v>63</v>
      </c>
      <c r="M576" s="66">
        <v>1.4937106918239001E-2</v>
      </c>
      <c r="N576" s="67">
        <v>2092.5566620039899</v>
      </c>
      <c r="O576" s="67">
        <v>110.134561158105</v>
      </c>
      <c r="P576" s="67">
        <v>414.83999502658799</v>
      </c>
      <c r="Q576" s="77">
        <v>0.19824552546610899</v>
      </c>
    </row>
    <row r="577" spans="1:17" x14ac:dyDescent="0.35">
      <c r="A577" s="76" t="s">
        <v>136</v>
      </c>
      <c r="B577" s="63">
        <v>876349</v>
      </c>
      <c r="C577" s="63" t="s">
        <v>142</v>
      </c>
      <c r="D577" s="64">
        <v>42619</v>
      </c>
      <c r="E577" s="63" t="s">
        <v>138</v>
      </c>
      <c r="F577" s="65">
        <v>32494</v>
      </c>
      <c r="G577" s="66">
        <v>1.06490331367063E-2</v>
      </c>
      <c r="H577" s="65">
        <v>188</v>
      </c>
      <c r="I577" s="67">
        <v>0.39666410547054098</v>
      </c>
      <c r="J577" s="67">
        <v>4.2240892032977699</v>
      </c>
      <c r="K577" s="65">
        <v>62</v>
      </c>
      <c r="L577" s="65">
        <v>61</v>
      </c>
      <c r="M577" s="66">
        <v>2.0030816640986101E-2</v>
      </c>
      <c r="N577" s="67">
        <v>4761.83973635848</v>
      </c>
      <c r="O577" s="67">
        <v>183.147682167634</v>
      </c>
      <c r="P577" s="67">
        <v>514.87000890076195</v>
      </c>
      <c r="Q577" s="77">
        <v>0.10812417834425</v>
      </c>
    </row>
    <row r="578" spans="1:17" x14ac:dyDescent="0.35">
      <c r="A578" s="76" t="s">
        <v>136</v>
      </c>
      <c r="B578" s="63">
        <v>876349</v>
      </c>
      <c r="C578" s="63" t="s">
        <v>142</v>
      </c>
      <c r="D578" s="64">
        <v>42620</v>
      </c>
      <c r="E578" s="63" t="s">
        <v>138</v>
      </c>
      <c r="F578" s="65">
        <v>38891</v>
      </c>
      <c r="G578" s="66">
        <v>1.07948162963369E-2</v>
      </c>
      <c r="H578" s="65">
        <v>373</v>
      </c>
      <c r="I578" s="67">
        <v>0.40798647609080801</v>
      </c>
      <c r="J578" s="67">
        <v>4.4041390607901096</v>
      </c>
      <c r="K578" s="65">
        <v>73</v>
      </c>
      <c r="L578" s="65">
        <v>50</v>
      </c>
      <c r="M578" s="66">
        <v>1.94585448392555E-2</v>
      </c>
      <c r="N578" s="67">
        <v>2870.9322241986602</v>
      </c>
      <c r="O578" s="67">
        <v>124.82314018255001</v>
      </c>
      <c r="P578" s="67">
        <v>482.24001473933498</v>
      </c>
      <c r="Q578" s="77">
        <v>0.16797331914512101</v>
      </c>
    </row>
    <row r="579" spans="1:17" x14ac:dyDescent="0.35">
      <c r="A579" s="76" t="s">
        <v>136</v>
      </c>
      <c r="B579" s="63">
        <v>876349</v>
      </c>
      <c r="C579" s="63" t="s">
        <v>142</v>
      </c>
      <c r="D579" s="64">
        <v>42621</v>
      </c>
      <c r="E579" s="63" t="s">
        <v>138</v>
      </c>
      <c r="F579" s="65">
        <v>6978</v>
      </c>
      <c r="G579" s="66">
        <v>1.06693849813116E-2</v>
      </c>
      <c r="H579" s="65">
        <v>288</v>
      </c>
      <c r="I579" s="67">
        <v>0.41030938052203703</v>
      </c>
      <c r="J579" s="67">
        <v>4.3777487422330799</v>
      </c>
      <c r="K579" s="65">
        <v>42</v>
      </c>
      <c r="L579" s="65">
        <v>42</v>
      </c>
      <c r="M579" s="66">
        <v>1.54686078252957E-2</v>
      </c>
      <c r="N579" s="67">
        <v>1867.2281708159301</v>
      </c>
      <c r="O579" s="67">
        <v>109.836951224467</v>
      </c>
      <c r="P579" s="67">
        <v>450.93000919371798</v>
      </c>
      <c r="Q579" s="77">
        <v>0.241497004084227</v>
      </c>
    </row>
    <row r="580" spans="1:17" x14ac:dyDescent="0.35">
      <c r="A580" s="76" t="s">
        <v>136</v>
      </c>
      <c r="B580" s="63">
        <v>876349</v>
      </c>
      <c r="C580" s="63" t="s">
        <v>142</v>
      </c>
      <c r="D580" s="64">
        <v>42622</v>
      </c>
      <c r="E580" s="63" t="s">
        <v>138</v>
      </c>
      <c r="F580" s="65">
        <v>721</v>
      </c>
      <c r="G580" s="66">
        <v>1.16969706996675E-2</v>
      </c>
      <c r="H580" s="65">
        <v>317</v>
      </c>
      <c r="I580" s="67">
        <v>0.40486563914462098</v>
      </c>
      <c r="J580" s="67">
        <v>4.7357015183767599</v>
      </c>
      <c r="K580" s="65">
        <v>78</v>
      </c>
      <c r="L580" s="65">
        <v>65</v>
      </c>
      <c r="M580" s="66">
        <v>1.55586987270156E-2</v>
      </c>
      <c r="N580" s="67">
        <v>2694.28520966316</v>
      </c>
      <c r="O580" s="67">
        <v>122.467509530144</v>
      </c>
      <c r="P580" s="67">
        <v>572.48001375049398</v>
      </c>
      <c r="Q580" s="77">
        <v>0.21247936621456101</v>
      </c>
    </row>
    <row r="581" spans="1:17" x14ac:dyDescent="0.35">
      <c r="A581" s="76" t="s">
        <v>136</v>
      </c>
      <c r="B581" s="63">
        <v>876349</v>
      </c>
      <c r="C581" s="63" t="s">
        <v>142</v>
      </c>
      <c r="D581" s="64">
        <v>42623</v>
      </c>
      <c r="E581" s="63" t="s">
        <v>138</v>
      </c>
      <c r="F581" s="65">
        <v>33050</v>
      </c>
      <c r="G581" s="66">
        <v>1.0101336087265199E-2</v>
      </c>
      <c r="H581" s="65">
        <v>480</v>
      </c>
      <c r="I581" s="67">
        <v>0.401837076843023</v>
      </c>
      <c r="J581" s="67">
        <v>4.0590913655155898</v>
      </c>
      <c r="K581" s="65">
        <v>85</v>
      </c>
      <c r="L581" s="65">
        <v>54</v>
      </c>
      <c r="M581" s="66">
        <v>1.51757188498403E-2</v>
      </c>
      <c r="N581" s="67">
        <v>2374.50388985679</v>
      </c>
      <c r="O581" s="67">
        <v>124.973888939831</v>
      </c>
      <c r="P581" s="67">
        <v>503.10002020746498</v>
      </c>
      <c r="Q581" s="77">
        <v>0.21187584587945499</v>
      </c>
    </row>
    <row r="582" spans="1:17" x14ac:dyDescent="0.35">
      <c r="A582" s="76" t="s">
        <v>136</v>
      </c>
      <c r="B582" s="63">
        <v>876349</v>
      </c>
      <c r="C582" s="63" t="s">
        <v>142</v>
      </c>
      <c r="D582" s="64">
        <v>42624</v>
      </c>
      <c r="E582" s="63" t="s">
        <v>138</v>
      </c>
      <c r="F582" s="65">
        <v>12489</v>
      </c>
      <c r="G582" s="66">
        <v>9.8234404420162406E-3</v>
      </c>
      <c r="H582" s="65">
        <v>382</v>
      </c>
      <c r="I582" s="67">
        <v>0.45411628649774199</v>
      </c>
      <c r="J582" s="67">
        <v>4.4609842941601503</v>
      </c>
      <c r="K582" s="65">
        <v>99</v>
      </c>
      <c r="L582" s="65">
        <v>52</v>
      </c>
      <c r="M582" s="66">
        <v>2.51374705420267E-2</v>
      </c>
      <c r="N582" s="67">
        <v>3978.3490281307299</v>
      </c>
      <c r="O582" s="67">
        <v>124.323407129085</v>
      </c>
      <c r="P582" s="67">
        <v>578.09003271162499</v>
      </c>
      <c r="Q582" s="77">
        <v>0.145309028600552</v>
      </c>
    </row>
    <row r="583" spans="1:17" x14ac:dyDescent="0.35">
      <c r="A583" s="76" t="s">
        <v>136</v>
      </c>
      <c r="B583" s="63">
        <v>876349</v>
      </c>
      <c r="C583" s="63" t="s">
        <v>142</v>
      </c>
      <c r="D583" s="64">
        <v>42625</v>
      </c>
      <c r="E583" s="63" t="s">
        <v>138</v>
      </c>
      <c r="F583" s="65">
        <v>64857</v>
      </c>
      <c r="G583" s="66">
        <v>9.8829953851436794E-3</v>
      </c>
      <c r="H583" s="65">
        <v>243</v>
      </c>
      <c r="I583" s="67">
        <v>0.44145765337398502</v>
      </c>
      <c r="J583" s="67">
        <v>4.3629239510314504</v>
      </c>
      <c r="K583" s="65">
        <v>74</v>
      </c>
      <c r="L583" s="65">
        <v>52</v>
      </c>
      <c r="M583" s="66">
        <v>2.0338983050847501E-2</v>
      </c>
      <c r="N583" s="67">
        <v>3627.7449409612</v>
      </c>
      <c r="O583" s="67">
        <v>151.156039206717</v>
      </c>
      <c r="P583" s="67">
        <v>520.92003098130203</v>
      </c>
      <c r="Q583" s="77">
        <v>0.143593345028077</v>
      </c>
    </row>
    <row r="584" spans="1:17" x14ac:dyDescent="0.35">
      <c r="A584" s="76" t="s">
        <v>136</v>
      </c>
      <c r="B584" s="63">
        <v>876349</v>
      </c>
      <c r="C584" s="63" t="s">
        <v>142</v>
      </c>
      <c r="D584" s="64">
        <v>42626</v>
      </c>
      <c r="E584" s="63" t="s">
        <v>138</v>
      </c>
      <c r="F584" s="65">
        <v>38469</v>
      </c>
      <c r="G584" s="66">
        <v>9.2793682132280408E-3</v>
      </c>
      <c r="H584" s="65">
        <v>477</v>
      </c>
      <c r="I584" s="67">
        <v>0.44566733681919302</v>
      </c>
      <c r="J584" s="67">
        <v>4.13551131895401</v>
      </c>
      <c r="K584" s="65">
        <v>26</v>
      </c>
      <c r="L584" s="65">
        <v>50</v>
      </c>
      <c r="M584" s="66">
        <v>1.8375241779497099E-2</v>
      </c>
      <c r="N584" s="67">
        <v>3243.54000513763</v>
      </c>
      <c r="O584" s="67">
        <v>170.71263184934901</v>
      </c>
      <c r="P584" s="67">
        <v>460.82002627104498</v>
      </c>
      <c r="Q584" s="77">
        <v>0.14207317484634899</v>
      </c>
    </row>
    <row r="585" spans="1:17" x14ac:dyDescent="0.35">
      <c r="A585" s="76" t="s">
        <v>136</v>
      </c>
      <c r="B585" s="63">
        <v>876349</v>
      </c>
      <c r="C585" s="63" t="s">
        <v>142</v>
      </c>
      <c r="D585" s="64">
        <v>42627</v>
      </c>
      <c r="E585" s="63" t="s">
        <v>138</v>
      </c>
      <c r="F585" s="65">
        <v>41499</v>
      </c>
      <c r="G585" s="66">
        <v>1.0345046820646501E-2</v>
      </c>
      <c r="H585" s="65">
        <v>365</v>
      </c>
      <c r="I585" s="67">
        <v>0.46066726620543702</v>
      </c>
      <c r="J585" s="67">
        <v>4.7656244376344699</v>
      </c>
      <c r="K585" s="65">
        <v>62</v>
      </c>
      <c r="L585" s="65">
        <v>83</v>
      </c>
      <c r="M585" s="66">
        <v>2.7216856892010501E-2</v>
      </c>
      <c r="N585" s="67">
        <v>2399.1974557199901</v>
      </c>
      <c r="O585" s="67">
        <v>77.393466313548004</v>
      </c>
      <c r="P585" s="67">
        <v>524.70001620799303</v>
      </c>
      <c r="Q585" s="77">
        <v>0.21869813797819901</v>
      </c>
    </row>
    <row r="586" spans="1:17" x14ac:dyDescent="0.35">
      <c r="A586" s="76" t="s">
        <v>136</v>
      </c>
      <c r="B586" s="63">
        <v>876349</v>
      </c>
      <c r="C586" s="63" t="s">
        <v>142</v>
      </c>
      <c r="D586" s="64">
        <v>42628</v>
      </c>
      <c r="E586" s="63" t="s">
        <v>138</v>
      </c>
      <c r="F586" s="65">
        <v>43146</v>
      </c>
      <c r="G586" s="66">
        <v>1.1272596298928199E-2</v>
      </c>
      <c r="H586" s="65">
        <v>527</v>
      </c>
      <c r="I586" s="67">
        <v>0.45639897239537602</v>
      </c>
      <c r="J586" s="67">
        <v>5.1448013670587702</v>
      </c>
      <c r="K586" s="65">
        <v>91</v>
      </c>
      <c r="L586" s="65">
        <v>67</v>
      </c>
      <c r="M586" s="66">
        <v>2.3316062176165799E-2</v>
      </c>
      <c r="N586" s="67">
        <v>3413.4844571302101</v>
      </c>
      <c r="O586" s="67">
        <v>126.425350264082</v>
      </c>
      <c r="P586" s="67">
        <v>528.51001003384602</v>
      </c>
      <c r="Q586" s="77">
        <v>0.15483006197080401</v>
      </c>
    </row>
    <row r="587" spans="1:17" x14ac:dyDescent="0.35">
      <c r="A587" s="76" t="s">
        <v>136</v>
      </c>
      <c r="B587" s="63">
        <v>876349</v>
      </c>
      <c r="C587" s="63" t="s">
        <v>142</v>
      </c>
      <c r="D587" s="64">
        <v>42629</v>
      </c>
      <c r="E587" s="63" t="s">
        <v>138</v>
      </c>
      <c r="F587" s="65">
        <v>52961</v>
      </c>
      <c r="G587" s="66">
        <v>1.07624905960968E-2</v>
      </c>
      <c r="H587" s="65">
        <v>432</v>
      </c>
      <c r="I587" s="67">
        <v>0.46056744586186199</v>
      </c>
      <c r="J587" s="67">
        <v>4.9568528049566201</v>
      </c>
      <c r="K587" s="65">
        <v>31</v>
      </c>
      <c r="L587" s="65">
        <v>76</v>
      </c>
      <c r="M587" s="66">
        <v>2.2203947368421101E-2</v>
      </c>
      <c r="N587" s="67">
        <v>2463.0919645803801</v>
      </c>
      <c r="O587" s="67">
        <v>91.225628317791902</v>
      </c>
      <c r="P587" s="67">
        <v>560.05001416802395</v>
      </c>
      <c r="Q587" s="77">
        <v>0.227376818333064</v>
      </c>
    </row>
    <row r="588" spans="1:17" x14ac:dyDescent="0.35">
      <c r="A588" s="76" t="s">
        <v>136</v>
      </c>
      <c r="B588" s="63">
        <v>876349</v>
      </c>
      <c r="C588" s="63" t="s">
        <v>142</v>
      </c>
      <c r="D588" s="64">
        <v>42630</v>
      </c>
      <c r="E588" s="63" t="s">
        <v>138</v>
      </c>
      <c r="F588" s="65">
        <v>24615</v>
      </c>
      <c r="G588" s="66">
        <v>8.4355197103119107E-3</v>
      </c>
      <c r="H588" s="65">
        <v>275</v>
      </c>
      <c r="I588" s="67">
        <v>0.50095611612971203</v>
      </c>
      <c r="J588" s="67">
        <v>4.2258251916134899</v>
      </c>
      <c r="K588" s="65">
        <v>16</v>
      </c>
      <c r="L588" s="65">
        <v>51</v>
      </c>
      <c r="M588" s="66">
        <v>2.0487804878048799E-2</v>
      </c>
      <c r="N588" s="67">
        <v>2796.2783489165099</v>
      </c>
      <c r="O588" s="67">
        <v>133.156111853167</v>
      </c>
      <c r="P588" s="67">
        <v>513.48001903295506</v>
      </c>
      <c r="Q588" s="77">
        <v>0.18362979466329499</v>
      </c>
    </row>
    <row r="589" spans="1:17" x14ac:dyDescent="0.35">
      <c r="A589" s="76" t="s">
        <v>136</v>
      </c>
      <c r="B589" s="63">
        <v>876349</v>
      </c>
      <c r="C589" s="63" t="s">
        <v>142</v>
      </c>
      <c r="D589" s="64">
        <v>42631</v>
      </c>
      <c r="E589" s="63" t="s">
        <v>138</v>
      </c>
      <c r="F589" s="65">
        <v>21167</v>
      </c>
      <c r="G589" s="66">
        <v>1.07218997525715E-2</v>
      </c>
      <c r="H589" s="65">
        <v>287</v>
      </c>
      <c r="I589" s="67">
        <v>0.54060234184578304</v>
      </c>
      <c r="J589" s="67">
        <v>5.7962841152758999</v>
      </c>
      <c r="K589" s="65">
        <v>81</v>
      </c>
      <c r="L589" s="65">
        <v>34</v>
      </c>
      <c r="M589" s="66">
        <v>7.9825834542815704E-3</v>
      </c>
      <c r="N589" s="67">
        <v>928.74150015877001</v>
      </c>
      <c r="O589" s="67">
        <v>84.431045468979093</v>
      </c>
      <c r="P589" s="67">
        <v>744.95002706348896</v>
      </c>
      <c r="Q589" s="77">
        <v>0.80210696618611099</v>
      </c>
    </row>
    <row r="590" spans="1:17" x14ac:dyDescent="0.35">
      <c r="A590" s="76" t="s">
        <v>136</v>
      </c>
      <c r="B590" s="63">
        <v>876349</v>
      </c>
      <c r="C590" s="63" t="s">
        <v>142</v>
      </c>
      <c r="D590" s="64">
        <v>42632</v>
      </c>
      <c r="E590" s="63" t="s">
        <v>138</v>
      </c>
      <c r="F590" s="65">
        <v>27669</v>
      </c>
      <c r="G590" s="66">
        <v>9.3804917435840601E-3</v>
      </c>
      <c r="H590" s="65">
        <v>465</v>
      </c>
      <c r="I590" s="67">
        <v>0.513105504422248</v>
      </c>
      <c r="J590" s="67">
        <v>4.8131819478204303</v>
      </c>
      <c r="K590" s="65">
        <v>30</v>
      </c>
      <c r="L590" s="65">
        <v>53</v>
      </c>
      <c r="M590" s="66">
        <v>1.9409282700421901E-2</v>
      </c>
      <c r="N590" s="67">
        <v>2218.6700380377301</v>
      </c>
      <c r="O590" s="67">
        <v>96.463914697292594</v>
      </c>
      <c r="P590" s="67">
        <v>608.03002274036396</v>
      </c>
      <c r="Q590" s="77">
        <v>0.274051576988044</v>
      </c>
    </row>
    <row r="591" spans="1:17" x14ac:dyDescent="0.35">
      <c r="A591" s="76" t="s">
        <v>136</v>
      </c>
      <c r="B591" s="63">
        <v>876349</v>
      </c>
      <c r="C591" s="63" t="s">
        <v>142</v>
      </c>
      <c r="D591" s="64">
        <v>42633</v>
      </c>
      <c r="E591" s="63" t="s">
        <v>138</v>
      </c>
      <c r="F591" s="65">
        <v>19443</v>
      </c>
      <c r="G591" s="66">
        <v>9.3544147149478493E-3</v>
      </c>
      <c r="H591" s="65">
        <v>392</v>
      </c>
      <c r="I591" s="67">
        <v>0.53491374121744695</v>
      </c>
      <c r="J591" s="67">
        <v>5.0038049720722899</v>
      </c>
      <c r="K591" s="65">
        <v>64</v>
      </c>
      <c r="L591" s="65">
        <v>60</v>
      </c>
      <c r="M591" s="66">
        <v>1.39687756778965E-2</v>
      </c>
      <c r="N591" s="67">
        <v>2827.5421126429801</v>
      </c>
      <c r="O591" s="67">
        <v>166.32600662605799</v>
      </c>
      <c r="P591" s="67">
        <v>650.990023061633</v>
      </c>
      <c r="Q591" s="77">
        <v>0.230231769193045</v>
      </c>
    </row>
    <row r="592" spans="1:17" x14ac:dyDescent="0.35">
      <c r="A592" s="76" t="s">
        <v>136</v>
      </c>
      <c r="B592" s="63">
        <v>876349</v>
      </c>
      <c r="C592" s="63" t="s">
        <v>142</v>
      </c>
      <c r="D592" s="64">
        <v>42634</v>
      </c>
      <c r="E592" s="63" t="s">
        <v>138</v>
      </c>
      <c r="F592" s="65">
        <v>54149</v>
      </c>
      <c r="G592" s="66">
        <v>9.8694188008928395E-3</v>
      </c>
      <c r="H592" s="65">
        <v>164</v>
      </c>
      <c r="I592" s="67">
        <v>0.54818755983601797</v>
      </c>
      <c r="J592" s="67">
        <v>5.4102926094611599</v>
      </c>
      <c r="K592" s="65">
        <v>38</v>
      </c>
      <c r="L592" s="65">
        <v>49</v>
      </c>
      <c r="M592" s="66">
        <v>1.5760441292356198E-2</v>
      </c>
      <c r="N592" s="67">
        <v>2490.43128658449</v>
      </c>
      <c r="O592" s="67">
        <v>124.521564329225</v>
      </c>
      <c r="P592" s="67">
        <v>695.65001343190704</v>
      </c>
      <c r="Q592" s="77">
        <v>0.27932913354375599</v>
      </c>
    </row>
    <row r="593" spans="1:17" x14ac:dyDescent="0.35">
      <c r="A593" s="76" t="s">
        <v>136</v>
      </c>
      <c r="B593" s="63">
        <v>876349</v>
      </c>
      <c r="C593" s="63" t="s">
        <v>142</v>
      </c>
      <c r="D593" s="64">
        <v>42635</v>
      </c>
      <c r="E593" s="63" t="s">
        <v>138</v>
      </c>
      <c r="F593" s="65">
        <v>62188</v>
      </c>
      <c r="G593" s="66">
        <v>1.1113625709251399E-2</v>
      </c>
      <c r="H593" s="65">
        <v>211</v>
      </c>
      <c r="I593" s="67">
        <v>0.54685819857770701</v>
      </c>
      <c r="J593" s="67">
        <v>6.0775773350281099</v>
      </c>
      <c r="K593" s="65">
        <v>20</v>
      </c>
      <c r="L593" s="65">
        <v>45</v>
      </c>
      <c r="M593" s="66">
        <v>9.4545454545454603E-3</v>
      </c>
      <c r="N593" s="67">
        <v>1438.0456547813201</v>
      </c>
      <c r="O593" s="67">
        <v>110.61889652164</v>
      </c>
      <c r="P593" s="67">
        <v>751.93002304434799</v>
      </c>
      <c r="Q593" s="77">
        <v>0.52288327602414697</v>
      </c>
    </row>
    <row r="594" spans="1:17" x14ac:dyDescent="0.35">
      <c r="A594" s="76" t="s">
        <v>136</v>
      </c>
      <c r="B594" s="63">
        <v>876349</v>
      </c>
      <c r="C594" s="63" t="s">
        <v>142</v>
      </c>
      <c r="D594" s="64">
        <v>42636</v>
      </c>
      <c r="E594" s="63" t="s">
        <v>138</v>
      </c>
      <c r="F594" s="65">
        <v>63322</v>
      </c>
      <c r="G594" s="66">
        <v>9.6614862509618697E-3</v>
      </c>
      <c r="H594" s="65">
        <v>253</v>
      </c>
      <c r="I594" s="67">
        <v>0.53035400289512102</v>
      </c>
      <c r="J594" s="67">
        <v>5.1240079071138096</v>
      </c>
      <c r="K594" s="65">
        <v>85</v>
      </c>
      <c r="L594" s="65">
        <v>76</v>
      </c>
      <c r="M594" s="66">
        <v>2.5187202178352599E-2</v>
      </c>
      <c r="N594" s="67">
        <v>5397.3455064899599</v>
      </c>
      <c r="O594" s="67">
        <v>145.87420287810701</v>
      </c>
      <c r="P594" s="67">
        <v>779.09003025293396</v>
      </c>
      <c r="Q594" s="77">
        <v>0.14434688854291999</v>
      </c>
    </row>
    <row r="595" spans="1:17" x14ac:dyDescent="0.35">
      <c r="A595" s="76" t="s">
        <v>136</v>
      </c>
      <c r="B595" s="63">
        <v>876349</v>
      </c>
      <c r="C595" s="63" t="s">
        <v>142</v>
      </c>
      <c r="D595" s="64">
        <v>42637</v>
      </c>
      <c r="E595" s="63" t="s">
        <v>138</v>
      </c>
      <c r="F595" s="65">
        <v>17141</v>
      </c>
      <c r="G595" s="66">
        <v>9.0344645373414707E-3</v>
      </c>
      <c r="H595" s="65">
        <v>267</v>
      </c>
      <c r="I595" s="67">
        <v>0.53986191407003403</v>
      </c>
      <c r="J595" s="67">
        <v>4.8773633177270099</v>
      </c>
      <c r="K595" s="65">
        <v>42</v>
      </c>
      <c r="L595" s="65">
        <v>64</v>
      </c>
      <c r="M595" s="66">
        <v>1.7059301380991099E-2</v>
      </c>
      <c r="N595" s="67">
        <v>3343.9897630925202</v>
      </c>
      <c r="O595" s="67">
        <v>159.23760776630999</v>
      </c>
      <c r="P595" s="67">
        <v>664.57001622021198</v>
      </c>
      <c r="Q595" s="77">
        <v>0.198735661082173</v>
      </c>
    </row>
    <row r="596" spans="1:17" x14ac:dyDescent="0.35">
      <c r="A596" s="76" t="s">
        <v>136</v>
      </c>
      <c r="B596" s="63">
        <v>876349</v>
      </c>
      <c r="C596" s="63" t="s">
        <v>142</v>
      </c>
      <c r="D596" s="64">
        <v>42638</v>
      </c>
      <c r="E596" s="63" t="s">
        <v>138</v>
      </c>
      <c r="F596" s="65">
        <v>65972</v>
      </c>
      <c r="G596" s="66">
        <v>9.5039626156420698E-3</v>
      </c>
      <c r="H596" s="65">
        <v>198</v>
      </c>
      <c r="I596" s="67">
        <v>0.56779072295094601</v>
      </c>
      <c r="J596" s="67">
        <v>5.3962618044341797</v>
      </c>
      <c r="K596" s="65">
        <v>73</v>
      </c>
      <c r="L596" s="65">
        <v>52</v>
      </c>
      <c r="M596" s="66">
        <v>1.2458471760797301E-2</v>
      </c>
      <c r="N596" s="67">
        <v>1120.6896450797301</v>
      </c>
      <c r="O596" s="67">
        <v>74.712643005315499</v>
      </c>
      <c r="P596" s="67">
        <v>683.62003043293998</v>
      </c>
      <c r="Q596" s="77">
        <v>0.60999941726444995</v>
      </c>
    </row>
    <row r="597" spans="1:17" x14ac:dyDescent="0.35">
      <c r="A597" s="76" t="s">
        <v>136</v>
      </c>
      <c r="B597" s="63">
        <v>876349</v>
      </c>
      <c r="C597" s="63" t="s">
        <v>142</v>
      </c>
      <c r="D597" s="64">
        <v>42639</v>
      </c>
      <c r="E597" s="63" t="s">
        <v>138</v>
      </c>
      <c r="F597" s="65">
        <v>6974</v>
      </c>
      <c r="G597" s="66">
        <v>9.1730974388525097E-3</v>
      </c>
      <c r="H597" s="65">
        <v>249</v>
      </c>
      <c r="I597" s="67">
        <v>0.56265706942117899</v>
      </c>
      <c r="J597" s="67">
        <v>5.16130812245967</v>
      </c>
      <c r="K597" s="65">
        <v>24</v>
      </c>
      <c r="L597" s="65">
        <v>55</v>
      </c>
      <c r="M597" s="66">
        <v>1.9524617996604401E-2</v>
      </c>
      <c r="N597" s="67">
        <v>2544.27197223639</v>
      </c>
      <c r="O597" s="67">
        <v>110.620520532017</v>
      </c>
      <c r="P597" s="67">
        <v>662.81002777814899</v>
      </c>
      <c r="Q597" s="77">
        <v>0.26051068243130598</v>
      </c>
    </row>
    <row r="598" spans="1:17" x14ac:dyDescent="0.35">
      <c r="A598" s="76" t="s">
        <v>136</v>
      </c>
      <c r="B598" s="63">
        <v>876349</v>
      </c>
      <c r="C598" s="63" t="s">
        <v>142</v>
      </c>
      <c r="D598" s="64">
        <v>42640</v>
      </c>
      <c r="E598" s="63" t="s">
        <v>138</v>
      </c>
      <c r="F598" s="65">
        <v>39078</v>
      </c>
      <c r="G598" s="66">
        <v>8.4952671426480903E-3</v>
      </c>
      <c r="H598" s="65">
        <v>196</v>
      </c>
      <c r="I598" s="67">
        <v>0.58751588944997601</v>
      </c>
      <c r="J598" s="67">
        <v>4.9911044314280497</v>
      </c>
      <c r="K598" s="65">
        <v>62</v>
      </c>
      <c r="L598" s="65">
        <v>55</v>
      </c>
      <c r="M598" s="66">
        <v>1.8132366273798699E-2</v>
      </c>
      <c r="N598" s="67">
        <v>1868.3746422669201</v>
      </c>
      <c r="O598" s="67">
        <v>93.418732113345797</v>
      </c>
      <c r="P598" s="67">
        <v>648.03002606332302</v>
      </c>
      <c r="Q598" s="77">
        <v>0.34684158701547302</v>
      </c>
    </row>
    <row r="599" spans="1:17" x14ac:dyDescent="0.35">
      <c r="A599" s="76" t="s">
        <v>136</v>
      </c>
      <c r="B599" s="63">
        <v>876349</v>
      </c>
      <c r="C599" s="63" t="s">
        <v>142</v>
      </c>
      <c r="D599" s="64">
        <v>42641</v>
      </c>
      <c r="E599" s="63" t="s">
        <v>138</v>
      </c>
      <c r="F599" s="65">
        <v>5067</v>
      </c>
      <c r="G599" s="66">
        <v>8.9566713020566499E-3</v>
      </c>
      <c r="H599" s="65">
        <v>430</v>
      </c>
      <c r="I599" s="67">
        <v>0.50621043512477804</v>
      </c>
      <c r="J599" s="67">
        <v>4.5339604770837099</v>
      </c>
      <c r="K599" s="65">
        <v>96</v>
      </c>
      <c r="L599" s="65">
        <v>45</v>
      </c>
      <c r="M599" s="66">
        <v>1.94075587334014E-2</v>
      </c>
      <c r="N599" s="67">
        <v>1879.1339430862399</v>
      </c>
      <c r="O599" s="67">
        <v>98.9017864782233</v>
      </c>
      <c r="P599" s="67">
        <v>495.58001598715799</v>
      </c>
      <c r="Q599" s="77">
        <v>0.26372788262939301</v>
      </c>
    </row>
    <row r="600" spans="1:17" x14ac:dyDescent="0.35">
      <c r="A600" s="76" t="s">
        <v>136</v>
      </c>
      <c r="B600" s="63">
        <v>876349</v>
      </c>
      <c r="C600" s="63" t="s">
        <v>142</v>
      </c>
      <c r="D600" s="64">
        <v>42642</v>
      </c>
      <c r="E600" s="63" t="s">
        <v>138</v>
      </c>
      <c r="F600" s="65">
        <v>59280</v>
      </c>
      <c r="G600" s="66">
        <v>9.7988899026764005E-3</v>
      </c>
      <c r="H600" s="65">
        <v>477</v>
      </c>
      <c r="I600" s="67">
        <v>0.503026211267531</v>
      </c>
      <c r="J600" s="67">
        <v>4.9290984623709697</v>
      </c>
      <c r="K600" s="65">
        <v>31</v>
      </c>
      <c r="L600" s="65">
        <v>37</v>
      </c>
      <c r="M600" s="66">
        <v>1.1639185257032E-2</v>
      </c>
      <c r="N600" s="67">
        <v>1204.2508292255</v>
      </c>
      <c r="O600" s="67">
        <v>100.354235768791</v>
      </c>
      <c r="P600" s="67">
        <v>518.62002381682396</v>
      </c>
      <c r="Q600" s="77">
        <v>0.43065780917947999</v>
      </c>
    </row>
    <row r="601" spans="1:17" x14ac:dyDescent="0.35">
      <c r="A601" s="76" t="s">
        <v>136</v>
      </c>
      <c r="B601" s="63">
        <v>876349</v>
      </c>
      <c r="C601" s="63" t="s">
        <v>142</v>
      </c>
      <c r="D601" s="64">
        <v>42643</v>
      </c>
      <c r="E601" s="63" t="s">
        <v>138</v>
      </c>
      <c r="F601" s="65">
        <v>24308</v>
      </c>
      <c r="G601" s="66">
        <v>9.7562950368391202E-3</v>
      </c>
      <c r="H601" s="65">
        <v>477</v>
      </c>
      <c r="I601" s="67">
        <v>0.50715354636497001</v>
      </c>
      <c r="J601" s="67">
        <v>4.94793962731592</v>
      </c>
      <c r="K601" s="65">
        <v>58</v>
      </c>
      <c r="L601" s="65">
        <v>72</v>
      </c>
      <c r="M601" s="66">
        <v>1.99170124481328E-2</v>
      </c>
      <c r="N601" s="67">
        <v>3021.8714323715799</v>
      </c>
      <c r="O601" s="67">
        <v>125.911309682149</v>
      </c>
      <c r="P601" s="67">
        <v>611.12002336978901</v>
      </c>
      <c r="Q601" s="77">
        <v>0.20223230440025</v>
      </c>
    </row>
    <row r="602" spans="1:17" x14ac:dyDescent="0.35">
      <c r="A602" s="76" t="s">
        <v>136</v>
      </c>
      <c r="B602" s="63">
        <v>876349</v>
      </c>
      <c r="C602" s="63" t="s">
        <v>142</v>
      </c>
      <c r="D602" s="64">
        <v>42644</v>
      </c>
      <c r="E602" s="63" t="s">
        <v>138</v>
      </c>
      <c r="F602" s="65">
        <v>62576</v>
      </c>
      <c r="G602" s="66">
        <v>9.7430235400214095E-3</v>
      </c>
      <c r="H602" s="65">
        <v>576</v>
      </c>
      <c r="I602" s="67">
        <v>0.51254326651665605</v>
      </c>
      <c r="J602" s="67">
        <v>4.99372111095124</v>
      </c>
      <c r="K602" s="65">
        <v>16</v>
      </c>
      <c r="L602" s="65">
        <v>65</v>
      </c>
      <c r="M602" s="66">
        <v>1.9896193771626301E-2</v>
      </c>
      <c r="N602" s="67">
        <v>3484.80029171876</v>
      </c>
      <c r="O602" s="67">
        <v>151.513056161685</v>
      </c>
      <c r="P602" s="67">
        <v>592.50001609325398</v>
      </c>
      <c r="Q602" s="77">
        <v>0.17002409506830701</v>
      </c>
    </row>
    <row r="603" spans="1:17" x14ac:dyDescent="0.35">
      <c r="A603" s="76" t="s">
        <v>136</v>
      </c>
      <c r="B603" s="63">
        <v>876349</v>
      </c>
      <c r="C603" s="63" t="s">
        <v>142</v>
      </c>
      <c r="D603" s="64">
        <v>42645</v>
      </c>
      <c r="E603" s="63" t="s">
        <v>138</v>
      </c>
      <c r="F603" s="65">
        <v>32517</v>
      </c>
      <c r="G603" s="66">
        <v>8.7217805195841207E-3</v>
      </c>
      <c r="H603" s="65">
        <v>517</v>
      </c>
      <c r="I603" s="67">
        <v>0.48864839142718502</v>
      </c>
      <c r="J603" s="67">
        <v>4.2618840212757299</v>
      </c>
      <c r="K603" s="65">
        <v>69</v>
      </c>
      <c r="L603" s="65">
        <v>45</v>
      </c>
      <c r="M603" s="66">
        <v>1.42276422764228E-2</v>
      </c>
      <c r="N603" s="67">
        <v>1109.00496290361</v>
      </c>
      <c r="O603" s="67">
        <v>79.214640207400905</v>
      </c>
      <c r="P603" s="67">
        <v>480.83001716435001</v>
      </c>
      <c r="Q603" s="77">
        <v>0.43356885969692399</v>
      </c>
    </row>
    <row r="604" spans="1:17" x14ac:dyDescent="0.35">
      <c r="A604" s="76" t="s">
        <v>136</v>
      </c>
      <c r="B604" s="63">
        <v>876349</v>
      </c>
      <c r="C604" s="63" t="s">
        <v>142</v>
      </c>
      <c r="D604" s="64">
        <v>42646</v>
      </c>
      <c r="E604" s="63" t="s">
        <v>138</v>
      </c>
      <c r="F604" s="65">
        <v>51639</v>
      </c>
      <c r="G604" s="66">
        <v>9.79343727134575E-3</v>
      </c>
      <c r="H604" s="65">
        <v>247</v>
      </c>
      <c r="I604" s="67">
        <v>0.471034496023509</v>
      </c>
      <c r="J604" s="67">
        <v>4.61304678944619</v>
      </c>
      <c r="K604" s="65">
        <v>11</v>
      </c>
      <c r="L604" s="65">
        <v>38</v>
      </c>
      <c r="M604" s="66">
        <v>8.6206896551724102E-3</v>
      </c>
      <c r="N604" s="67">
        <v>839.25415408531205</v>
      </c>
      <c r="O604" s="67">
        <v>93.250461565034698</v>
      </c>
      <c r="P604" s="67">
        <v>491.760013848543</v>
      </c>
      <c r="Q604" s="77">
        <v>0.58594885882275205</v>
      </c>
    </row>
    <row r="605" spans="1:17" x14ac:dyDescent="0.35">
      <c r="A605" s="76" t="s">
        <v>136</v>
      </c>
      <c r="B605" s="63">
        <v>876349</v>
      </c>
      <c r="C605" s="63" t="s">
        <v>142</v>
      </c>
      <c r="D605" s="64">
        <v>42647</v>
      </c>
      <c r="E605" s="63" t="s">
        <v>138</v>
      </c>
      <c r="F605" s="65">
        <v>36023</v>
      </c>
      <c r="G605" s="66">
        <v>1.0677333664092899E-2</v>
      </c>
      <c r="H605" s="65">
        <v>300</v>
      </c>
      <c r="I605" s="67">
        <v>0.46135529336255399</v>
      </c>
      <c r="J605" s="67">
        <v>4.9260444049274703</v>
      </c>
      <c r="K605" s="65">
        <v>28</v>
      </c>
      <c r="L605" s="65">
        <v>41</v>
      </c>
      <c r="M605" s="66">
        <v>1.8393030009680501E-2</v>
      </c>
      <c r="N605" s="67">
        <v>1761.8416442008099</v>
      </c>
      <c r="O605" s="67">
        <v>92.728507589516298</v>
      </c>
      <c r="P605" s="67">
        <v>476.58001804351801</v>
      </c>
      <c r="Q605" s="77">
        <v>0.27050105190339002</v>
      </c>
    </row>
    <row r="606" spans="1:17" x14ac:dyDescent="0.35">
      <c r="A606" s="76" t="s">
        <v>136</v>
      </c>
      <c r="B606" s="63">
        <v>876349</v>
      </c>
      <c r="C606" s="63" t="s">
        <v>142</v>
      </c>
      <c r="D606" s="64">
        <v>42648</v>
      </c>
      <c r="E606" s="63" t="s">
        <v>138</v>
      </c>
      <c r="F606" s="65">
        <v>29873</v>
      </c>
      <c r="G606" s="66">
        <v>9.9967621822891397E-3</v>
      </c>
      <c r="H606" s="65">
        <v>401</v>
      </c>
      <c r="I606" s="67">
        <v>0.46001013510140298</v>
      </c>
      <c r="J606" s="67">
        <v>4.5986119220514299</v>
      </c>
      <c r="K606" s="65">
        <v>51</v>
      </c>
      <c r="L606" s="65">
        <v>63</v>
      </c>
      <c r="M606" s="66">
        <v>2.0242914979757099E-2</v>
      </c>
      <c r="N606" s="67">
        <v>2813.5383242893299</v>
      </c>
      <c r="O606" s="67">
        <v>140.67691621446701</v>
      </c>
      <c r="P606" s="67">
        <v>454.49001348018601</v>
      </c>
      <c r="Q606" s="77">
        <v>0.16153681275871201</v>
      </c>
    </row>
    <row r="607" spans="1:17" x14ac:dyDescent="0.35">
      <c r="A607" s="76" t="s">
        <v>136</v>
      </c>
      <c r="B607" s="63">
        <v>876349</v>
      </c>
      <c r="C607" s="63" t="s">
        <v>142</v>
      </c>
      <c r="D607" s="64">
        <v>42649</v>
      </c>
      <c r="E607" s="63" t="s">
        <v>138</v>
      </c>
      <c r="F607" s="65">
        <v>15491</v>
      </c>
      <c r="G607" s="66">
        <v>9.8411862110492302E-3</v>
      </c>
      <c r="H607" s="65">
        <v>570</v>
      </c>
      <c r="I607" s="67">
        <v>0.457284904774243</v>
      </c>
      <c r="J607" s="67">
        <v>4.5002258993852404</v>
      </c>
      <c r="K607" s="65">
        <v>99</v>
      </c>
      <c r="L607" s="65">
        <v>65</v>
      </c>
      <c r="M607" s="66">
        <v>2.1988527724665401E-2</v>
      </c>
      <c r="N607" s="67">
        <v>2442.515021965</v>
      </c>
      <c r="O607" s="67">
        <v>106.196305302826</v>
      </c>
      <c r="P607" s="67">
        <v>478.32001039385801</v>
      </c>
      <c r="Q607" s="77">
        <v>0.19583093904947599</v>
      </c>
    </row>
    <row r="608" spans="1:17" x14ac:dyDescent="0.35">
      <c r="A608" s="76" t="s">
        <v>136</v>
      </c>
      <c r="B608" s="63">
        <v>876349</v>
      </c>
      <c r="C608" s="63" t="s">
        <v>142</v>
      </c>
      <c r="D608" s="64">
        <v>42650</v>
      </c>
      <c r="E608" s="63" t="s">
        <v>138</v>
      </c>
      <c r="F608" s="65">
        <v>60019</v>
      </c>
      <c r="G608" s="66">
        <v>1.0082884042810001E-2</v>
      </c>
      <c r="H608" s="65">
        <v>518</v>
      </c>
      <c r="I608" s="67">
        <v>0.44199522537701802</v>
      </c>
      <c r="J608" s="67">
        <v>4.4565866049521503</v>
      </c>
      <c r="K608" s="65">
        <v>29</v>
      </c>
      <c r="L608" s="65">
        <v>86</v>
      </c>
      <c r="M608" s="66">
        <v>2.4740622505985601E-2</v>
      </c>
      <c r="N608" s="67">
        <v>4933.1919301647604</v>
      </c>
      <c r="O608" s="67">
        <v>159.13522355370199</v>
      </c>
      <c r="P608" s="67">
        <v>553.82001739740394</v>
      </c>
      <c r="Q608" s="77">
        <v>0.11226403213931101</v>
      </c>
    </row>
    <row r="609" spans="1:17" x14ac:dyDescent="0.35">
      <c r="A609" s="76" t="s">
        <v>136</v>
      </c>
      <c r="B609" s="63">
        <v>876349</v>
      </c>
      <c r="C609" s="63" t="s">
        <v>142</v>
      </c>
      <c r="D609" s="64">
        <v>42651</v>
      </c>
      <c r="E609" s="63" t="s">
        <v>138</v>
      </c>
      <c r="F609" s="65">
        <v>24204</v>
      </c>
      <c r="G609" s="66">
        <v>9.0353164256932895E-3</v>
      </c>
      <c r="H609" s="65">
        <v>272</v>
      </c>
      <c r="I609" s="67">
        <v>0.46376706545650598</v>
      </c>
      <c r="J609" s="67">
        <v>4.19028218421475</v>
      </c>
      <c r="K609" s="65">
        <v>78</v>
      </c>
      <c r="L609" s="65">
        <v>53</v>
      </c>
      <c r="M609" s="66">
        <v>2.0986358866736599E-2</v>
      </c>
      <c r="N609" s="67">
        <v>2220.7493578094</v>
      </c>
      <c r="O609" s="67">
        <v>111.03746789047</v>
      </c>
      <c r="P609" s="67">
        <v>441.970013380051</v>
      </c>
      <c r="Q609" s="77">
        <v>0.19901841323327901</v>
      </c>
    </row>
    <row r="610" spans="1:17" x14ac:dyDescent="0.35">
      <c r="A610" s="76" t="s">
        <v>136</v>
      </c>
      <c r="B610" s="63">
        <v>876349</v>
      </c>
      <c r="C610" s="63" t="s">
        <v>142</v>
      </c>
      <c r="D610" s="64">
        <v>42652</v>
      </c>
      <c r="E610" s="63" t="s">
        <v>138</v>
      </c>
      <c r="F610" s="65">
        <v>2346</v>
      </c>
      <c r="G610" s="66">
        <v>8.6919293494494097E-3</v>
      </c>
      <c r="H610" s="65">
        <v>305</v>
      </c>
      <c r="I610" s="67">
        <v>0.45516609988534801</v>
      </c>
      <c r="J610" s="67">
        <v>3.9562715824678798</v>
      </c>
      <c r="K610" s="65">
        <v>87</v>
      </c>
      <c r="L610" s="65">
        <v>41</v>
      </c>
      <c r="M610" s="66">
        <v>2.06185567010309E-2</v>
      </c>
      <c r="N610" s="67">
        <v>2647.2251935239501</v>
      </c>
      <c r="O610" s="67">
        <v>147.06806630688601</v>
      </c>
      <c r="P610" s="67">
        <v>397.36000519990898</v>
      </c>
      <c r="Q610" s="77">
        <v>0.150104345550954</v>
      </c>
    </row>
    <row r="611" spans="1:17" x14ac:dyDescent="0.35">
      <c r="A611" s="76" t="s">
        <v>136</v>
      </c>
      <c r="B611" s="63">
        <v>876349</v>
      </c>
      <c r="C611" s="63" t="s">
        <v>142</v>
      </c>
      <c r="D611" s="64">
        <v>42653</v>
      </c>
      <c r="E611" s="63" t="s">
        <v>138</v>
      </c>
      <c r="F611" s="65">
        <v>60404</v>
      </c>
      <c r="G611" s="66">
        <v>8.9547031574050695E-3</v>
      </c>
      <c r="H611" s="65">
        <v>279</v>
      </c>
      <c r="I611" s="67">
        <v>0.48772729273675802</v>
      </c>
      <c r="J611" s="67">
        <v>4.36745312822248</v>
      </c>
      <c r="K611" s="65">
        <v>55</v>
      </c>
      <c r="L611" s="65">
        <v>53</v>
      </c>
      <c r="M611" s="66">
        <v>1.83982683982684E-2</v>
      </c>
      <c r="N611" s="67">
        <v>1368.9466127872299</v>
      </c>
      <c r="O611" s="67">
        <v>80.526271340425296</v>
      </c>
      <c r="P611" s="67">
        <v>450.66001848876499</v>
      </c>
      <c r="Q611" s="77">
        <v>0.32920204066337</v>
      </c>
    </row>
    <row r="612" spans="1:17" x14ac:dyDescent="0.35">
      <c r="A612" s="76" t="s">
        <v>136</v>
      </c>
      <c r="B612" s="63">
        <v>876349</v>
      </c>
      <c r="C612" s="63" t="s">
        <v>142</v>
      </c>
      <c r="D612" s="64">
        <v>42654</v>
      </c>
      <c r="E612" s="63" t="s">
        <v>138</v>
      </c>
      <c r="F612" s="65">
        <v>57677</v>
      </c>
      <c r="G612" s="66">
        <v>9.0312059629002704E-3</v>
      </c>
      <c r="H612" s="65">
        <v>353</v>
      </c>
      <c r="I612" s="67">
        <v>0.53035329839432199</v>
      </c>
      <c r="J612" s="67">
        <v>4.7897298709026304</v>
      </c>
      <c r="K612" s="65">
        <v>19</v>
      </c>
      <c r="L612" s="65">
        <v>53</v>
      </c>
      <c r="M612" s="66">
        <v>1.66830225711482E-2</v>
      </c>
      <c r="N612" s="67">
        <v>1175.72464172644</v>
      </c>
      <c r="O612" s="67">
        <v>69.160273042731603</v>
      </c>
      <c r="P612" s="67">
        <v>540.43001106381405</v>
      </c>
      <c r="Q612" s="77">
        <v>0.459656956981224</v>
      </c>
    </row>
    <row r="613" spans="1:17" x14ac:dyDescent="0.35">
      <c r="A613" s="76" t="s">
        <v>136</v>
      </c>
      <c r="B613" s="63">
        <v>876349</v>
      </c>
      <c r="C613" s="63" t="s">
        <v>142</v>
      </c>
      <c r="D613" s="64">
        <v>42655</v>
      </c>
      <c r="E613" s="63" t="s">
        <v>138</v>
      </c>
      <c r="F613" s="65">
        <v>36168</v>
      </c>
      <c r="G613" s="66">
        <v>9.4862175220398592E-3</v>
      </c>
      <c r="H613" s="65">
        <v>365</v>
      </c>
      <c r="I613" s="67">
        <v>0.52654564633629197</v>
      </c>
      <c r="J613" s="67">
        <v>4.99492653642913</v>
      </c>
      <c r="K613" s="65">
        <v>37</v>
      </c>
      <c r="L613" s="65">
        <v>62</v>
      </c>
      <c r="M613" s="66">
        <v>2.2571148184494599E-2</v>
      </c>
      <c r="N613" s="67">
        <v>3076.61714887569</v>
      </c>
      <c r="O613" s="67">
        <v>133.76596299459499</v>
      </c>
      <c r="P613" s="67">
        <v>536.55001361668099</v>
      </c>
      <c r="Q613" s="77">
        <v>0.174396094038791</v>
      </c>
    </row>
    <row r="614" spans="1:17" x14ac:dyDescent="0.35">
      <c r="A614" s="76" t="s">
        <v>136</v>
      </c>
      <c r="B614" s="63">
        <v>876349</v>
      </c>
      <c r="C614" s="63" t="s">
        <v>142</v>
      </c>
      <c r="D614" s="64">
        <v>42656</v>
      </c>
      <c r="E614" s="63" t="s">
        <v>138</v>
      </c>
      <c r="F614" s="65">
        <v>42377</v>
      </c>
      <c r="G614" s="66">
        <v>9.1832622849992596E-3</v>
      </c>
      <c r="H614" s="65">
        <v>456</v>
      </c>
      <c r="I614" s="67">
        <v>0.53172057060047295</v>
      </c>
      <c r="J614" s="67">
        <v>4.8829294621536103</v>
      </c>
      <c r="K614" s="65">
        <v>92</v>
      </c>
      <c r="L614" s="65">
        <v>49</v>
      </c>
      <c r="M614" s="66">
        <v>2.1939953810623601E-2</v>
      </c>
      <c r="N614" s="67">
        <v>2747.8349449020202</v>
      </c>
      <c r="O614" s="67">
        <v>144.62289183694801</v>
      </c>
      <c r="P614" s="67">
        <v>460.47001414000999</v>
      </c>
      <c r="Q614" s="77">
        <v>0.16757557254095901</v>
      </c>
    </row>
    <row r="615" spans="1:17" x14ac:dyDescent="0.35">
      <c r="A615" s="76" t="s">
        <v>136</v>
      </c>
      <c r="B615" s="63">
        <v>876349</v>
      </c>
      <c r="C615" s="63" t="s">
        <v>142</v>
      </c>
      <c r="D615" s="64">
        <v>42657</v>
      </c>
      <c r="E615" s="63" t="s">
        <v>138</v>
      </c>
      <c r="F615" s="65">
        <v>48329</v>
      </c>
      <c r="G615" s="66">
        <v>9.3753633057082602E-3</v>
      </c>
      <c r="H615" s="65">
        <v>377</v>
      </c>
      <c r="I615" s="67">
        <v>0.54000886827311301</v>
      </c>
      <c r="J615" s="67">
        <v>5.0627793283647904</v>
      </c>
      <c r="K615" s="65">
        <v>98</v>
      </c>
      <c r="L615" s="65">
        <v>70</v>
      </c>
      <c r="M615" s="66">
        <v>2.4800708591673999E-2</v>
      </c>
      <c r="N615" s="67">
        <v>3739.17459809515</v>
      </c>
      <c r="O615" s="67">
        <v>133.54194993197001</v>
      </c>
      <c r="P615" s="67">
        <v>609.67001228034496</v>
      </c>
      <c r="Q615" s="77">
        <v>0.163049356558779</v>
      </c>
    </row>
    <row r="616" spans="1:17" x14ac:dyDescent="0.35">
      <c r="A616" s="76" t="s">
        <v>136</v>
      </c>
      <c r="B616" s="63">
        <v>876349</v>
      </c>
      <c r="C616" s="63" t="s">
        <v>142</v>
      </c>
      <c r="D616" s="64">
        <v>42658</v>
      </c>
      <c r="E616" s="63" t="s">
        <v>138</v>
      </c>
      <c r="F616" s="65">
        <v>54002</v>
      </c>
      <c r="G616" s="66">
        <v>9.1154963437844305E-3</v>
      </c>
      <c r="H616" s="65">
        <v>219</v>
      </c>
      <c r="I616" s="67">
        <v>0.488434076104518</v>
      </c>
      <c r="J616" s="67">
        <v>4.4523190349104604</v>
      </c>
      <c r="K616" s="65">
        <v>72</v>
      </c>
      <c r="L616" s="65">
        <v>60</v>
      </c>
      <c r="M616" s="66">
        <v>1.8315018315018299E-2</v>
      </c>
      <c r="N616" s="67">
        <v>2776.3848255868102</v>
      </c>
      <c r="O616" s="67">
        <v>138.81924127933999</v>
      </c>
      <c r="P616" s="67">
        <v>533.37001110613301</v>
      </c>
      <c r="Q616" s="77">
        <v>0.19210953978377299</v>
      </c>
    </row>
    <row r="617" spans="1:17" x14ac:dyDescent="0.35">
      <c r="A617" s="76" t="s">
        <v>136</v>
      </c>
      <c r="B617" s="63">
        <v>876349</v>
      </c>
      <c r="C617" s="63" t="s">
        <v>142</v>
      </c>
      <c r="D617" s="64">
        <v>42659</v>
      </c>
      <c r="E617" s="63" t="s">
        <v>138</v>
      </c>
      <c r="F617" s="65">
        <v>292</v>
      </c>
      <c r="G617" s="66">
        <v>9.4261920014642592E-3</v>
      </c>
      <c r="H617" s="65">
        <v>169</v>
      </c>
      <c r="I617" s="67">
        <v>0.4963009867998</v>
      </c>
      <c r="J617" s="67">
        <v>4.6782283920910999</v>
      </c>
      <c r="K617" s="65">
        <v>67</v>
      </c>
      <c r="L617" s="65">
        <v>46</v>
      </c>
      <c r="M617" s="66">
        <v>2.1359223300970901E-2</v>
      </c>
      <c r="N617" s="67">
        <v>2406.2754527213701</v>
      </c>
      <c r="O617" s="67">
        <v>109.37615694188</v>
      </c>
      <c r="P617" s="67">
        <v>511.190016403794</v>
      </c>
      <c r="Q617" s="77">
        <v>0.212440357077851</v>
      </c>
    </row>
    <row r="618" spans="1:17" x14ac:dyDescent="0.35">
      <c r="A618" s="76" t="s">
        <v>136</v>
      </c>
      <c r="B618" s="63">
        <v>876349</v>
      </c>
      <c r="C618" s="63" t="s">
        <v>142</v>
      </c>
      <c r="D618" s="64">
        <v>42660</v>
      </c>
      <c r="E618" s="63" t="s">
        <v>138</v>
      </c>
      <c r="F618" s="65">
        <v>37307</v>
      </c>
      <c r="G618" s="66">
        <v>9.0493701803013304E-3</v>
      </c>
      <c r="H618" s="65">
        <v>251</v>
      </c>
      <c r="I618" s="67">
        <v>0.618574689777174</v>
      </c>
      <c r="J618" s="67">
        <v>5.5977113519586998</v>
      </c>
      <c r="K618" s="65">
        <v>77</v>
      </c>
      <c r="L618" s="65">
        <v>56</v>
      </c>
      <c r="M618" s="66">
        <v>1.66793025018954E-2</v>
      </c>
      <c r="N618" s="67">
        <v>2607.32591004707</v>
      </c>
      <c r="O618" s="67">
        <v>118.514814093049</v>
      </c>
      <c r="P618" s="67">
        <v>815.90001581609204</v>
      </c>
      <c r="Q618" s="77">
        <v>0.31292598009021499</v>
      </c>
    </row>
    <row r="619" spans="1:17" x14ac:dyDescent="0.35">
      <c r="A619" s="76" t="s">
        <v>136</v>
      </c>
      <c r="B619" s="63">
        <v>876349</v>
      </c>
      <c r="C619" s="63" t="s">
        <v>142</v>
      </c>
      <c r="D619" s="64">
        <v>42661</v>
      </c>
      <c r="E619" s="63" t="s">
        <v>138</v>
      </c>
      <c r="F619" s="65">
        <v>62872</v>
      </c>
      <c r="G619" s="66">
        <v>9.1645056086288503E-3</v>
      </c>
      <c r="H619" s="65">
        <v>288</v>
      </c>
      <c r="I619" s="67">
        <v>0.663638185253003</v>
      </c>
      <c r="J619" s="67">
        <v>6.0819158708514101</v>
      </c>
      <c r="K619" s="65">
        <v>99</v>
      </c>
      <c r="L619" s="65">
        <v>52</v>
      </c>
      <c r="M619" s="66">
        <v>9.2776673293571907E-3</v>
      </c>
      <c r="N619" s="67">
        <v>1228.71441738308</v>
      </c>
      <c r="O619" s="67">
        <v>87.765315527362901</v>
      </c>
      <c r="P619" s="67">
        <v>1001.43002154678</v>
      </c>
      <c r="Q619" s="77">
        <v>0.81502260198071896</v>
      </c>
    </row>
    <row r="620" spans="1:17" x14ac:dyDescent="0.35">
      <c r="A620" s="76" t="s">
        <v>136</v>
      </c>
      <c r="B620" s="63">
        <v>876349</v>
      </c>
      <c r="C620" s="63" t="s">
        <v>142</v>
      </c>
      <c r="D620" s="64">
        <v>42662</v>
      </c>
      <c r="E620" s="63" t="s">
        <v>138</v>
      </c>
      <c r="F620" s="65">
        <v>31945</v>
      </c>
      <c r="G620" s="66">
        <v>8.0198990941552795E-3</v>
      </c>
      <c r="H620" s="65">
        <v>250</v>
      </c>
      <c r="I620" s="67">
        <v>0.57629898521635303</v>
      </c>
      <c r="J620" s="67">
        <v>4.6218597094992404</v>
      </c>
      <c r="K620" s="65">
        <v>92</v>
      </c>
      <c r="L620" s="65">
        <v>48</v>
      </c>
      <c r="M620" s="66">
        <v>1.27897681854516E-2</v>
      </c>
      <c r="N620" s="67">
        <v>1249.50911814183</v>
      </c>
      <c r="O620" s="67">
        <v>78.094319883864401</v>
      </c>
      <c r="P620" s="67">
        <v>720.95003050565697</v>
      </c>
      <c r="Q620" s="77">
        <v>0.57698661021201403</v>
      </c>
    </row>
    <row r="621" spans="1:17" x14ac:dyDescent="0.35">
      <c r="A621" s="76" t="s">
        <v>136</v>
      </c>
      <c r="B621" s="63">
        <v>876349</v>
      </c>
      <c r="C621" s="63" t="s">
        <v>142</v>
      </c>
      <c r="D621" s="64">
        <v>42663</v>
      </c>
      <c r="E621" s="63" t="s">
        <v>138</v>
      </c>
      <c r="F621" s="65">
        <v>34921</v>
      </c>
      <c r="G621" s="66">
        <v>8.1890421853621706E-3</v>
      </c>
      <c r="H621" s="65">
        <v>530</v>
      </c>
      <c r="I621" s="67">
        <v>0.55773665473294398</v>
      </c>
      <c r="J621" s="67">
        <v>4.5673289939308503</v>
      </c>
      <c r="K621" s="65">
        <v>59</v>
      </c>
      <c r="L621" s="65">
        <v>60</v>
      </c>
      <c r="M621" s="66">
        <v>1.8930041152263401E-2</v>
      </c>
      <c r="N621" s="67">
        <v>3337.5309161728601</v>
      </c>
      <c r="O621" s="67">
        <v>145.110039833603</v>
      </c>
      <c r="P621" s="67">
        <v>677.65003550052597</v>
      </c>
      <c r="Q621" s="77">
        <v>0.203039328330054</v>
      </c>
    </row>
    <row r="622" spans="1:17" x14ac:dyDescent="0.35">
      <c r="A622" s="76" t="s">
        <v>136</v>
      </c>
      <c r="B622" s="63">
        <v>876349</v>
      </c>
      <c r="C622" s="63" t="s">
        <v>142</v>
      </c>
      <c r="D622" s="64">
        <v>42664</v>
      </c>
      <c r="E622" s="63" t="s">
        <v>138</v>
      </c>
      <c r="F622" s="65">
        <v>65441</v>
      </c>
      <c r="G622" s="66">
        <v>9.3909883100489703E-3</v>
      </c>
      <c r="H622" s="65">
        <v>448</v>
      </c>
      <c r="I622" s="67">
        <v>0.55738314392601496</v>
      </c>
      <c r="J622" s="67">
        <v>5.2343785888275498</v>
      </c>
      <c r="K622" s="65">
        <v>61</v>
      </c>
      <c r="L622" s="65">
        <v>90</v>
      </c>
      <c r="M622" s="66">
        <v>2.5974025974026E-2</v>
      </c>
      <c r="N622" s="67">
        <v>4502.1619776526604</v>
      </c>
      <c r="O622" s="67">
        <v>112.554049441316</v>
      </c>
      <c r="P622" s="67">
        <v>858.37004164606299</v>
      </c>
      <c r="Q622" s="77">
        <v>0.19065729885036301</v>
      </c>
    </row>
    <row r="623" spans="1:17" x14ac:dyDescent="0.35">
      <c r="A623" s="76" t="s">
        <v>136</v>
      </c>
      <c r="B623" s="63">
        <v>876349</v>
      </c>
      <c r="C623" s="63" t="s">
        <v>142</v>
      </c>
      <c r="D623" s="64">
        <v>42665</v>
      </c>
      <c r="E623" s="63" t="s">
        <v>138</v>
      </c>
      <c r="F623" s="65">
        <v>49488</v>
      </c>
      <c r="G623" s="66">
        <v>8.2639505815755195E-3</v>
      </c>
      <c r="H623" s="65">
        <v>253</v>
      </c>
      <c r="I623" s="67">
        <v>0.54007503238817101</v>
      </c>
      <c r="J623" s="67">
        <v>4.4631533779986396</v>
      </c>
      <c r="K623" s="65">
        <v>57</v>
      </c>
      <c r="L623" s="65">
        <v>56</v>
      </c>
      <c r="M623" s="66">
        <v>1.7500000000000002E-2</v>
      </c>
      <c r="N623" s="67">
        <v>2505.1465680043798</v>
      </c>
      <c r="O623" s="67">
        <v>119.29269371449401</v>
      </c>
      <c r="P623" s="67">
        <v>648.09003886580501</v>
      </c>
      <c r="Q623" s="77">
        <v>0.25870344160424802</v>
      </c>
    </row>
    <row r="624" spans="1:17" x14ac:dyDescent="0.35">
      <c r="A624" s="76" t="s">
        <v>136</v>
      </c>
      <c r="B624" s="63">
        <v>876349</v>
      </c>
      <c r="C624" s="63" t="s">
        <v>142</v>
      </c>
      <c r="D624" s="64">
        <v>42666</v>
      </c>
      <c r="E624" s="63" t="s">
        <v>138</v>
      </c>
      <c r="F624" s="65">
        <v>15453</v>
      </c>
      <c r="G624" s="66">
        <v>7.8693617225998394E-3</v>
      </c>
      <c r="H624" s="65">
        <v>150</v>
      </c>
      <c r="I624" s="67">
        <v>0.55555460771879295</v>
      </c>
      <c r="J624" s="67">
        <v>4.3718601647962396</v>
      </c>
      <c r="K624" s="65">
        <v>73</v>
      </c>
      <c r="L624" s="65">
        <v>42</v>
      </c>
      <c r="M624" s="66">
        <v>1.1353711790393E-2</v>
      </c>
      <c r="N624" s="67">
        <v>1384.1131998482199</v>
      </c>
      <c r="O624" s="67">
        <v>106.47024614217101</v>
      </c>
      <c r="P624" s="67">
        <v>636.11002583801701</v>
      </c>
      <c r="Q624" s="77">
        <v>0.45957948086021699</v>
      </c>
    </row>
    <row r="625" spans="1:17" x14ac:dyDescent="0.35">
      <c r="A625" s="76" t="s">
        <v>136</v>
      </c>
      <c r="B625" s="63">
        <v>876349</v>
      </c>
      <c r="C625" s="63" t="s">
        <v>142</v>
      </c>
      <c r="D625" s="64">
        <v>42667</v>
      </c>
      <c r="E625" s="63" t="s">
        <v>138</v>
      </c>
      <c r="F625" s="65">
        <v>7396</v>
      </c>
      <c r="G625" s="66">
        <v>9.4075305801690195E-3</v>
      </c>
      <c r="H625" s="65">
        <v>203</v>
      </c>
      <c r="I625" s="67">
        <v>0.55327685711915897</v>
      </c>
      <c r="J625" s="67">
        <v>5.2049689526482901</v>
      </c>
      <c r="K625" s="65">
        <v>62</v>
      </c>
      <c r="L625" s="65">
        <v>68</v>
      </c>
      <c r="M625" s="66">
        <v>2.4213075060532701E-2</v>
      </c>
      <c r="N625" s="67">
        <v>2702.6356029274498</v>
      </c>
      <c r="O625" s="67">
        <v>90.087853430915104</v>
      </c>
      <c r="P625" s="67">
        <v>685.51002597063803</v>
      </c>
      <c r="Q625" s="77">
        <v>0.25364500683262797</v>
      </c>
    </row>
    <row r="626" spans="1:17" x14ac:dyDescent="0.35">
      <c r="A626" s="76" t="s">
        <v>136</v>
      </c>
      <c r="B626" s="63">
        <v>876349</v>
      </c>
      <c r="C626" s="63" t="s">
        <v>142</v>
      </c>
      <c r="D626" s="64">
        <v>42668</v>
      </c>
      <c r="E626" s="63" t="s">
        <v>138</v>
      </c>
      <c r="F626" s="65">
        <v>30098</v>
      </c>
      <c r="G626" s="66">
        <v>9.3389827214242702E-3</v>
      </c>
      <c r="H626" s="65">
        <v>586</v>
      </c>
      <c r="I626" s="67">
        <v>0.49975028137882799</v>
      </c>
      <c r="J626" s="67">
        <v>4.6671592428237902</v>
      </c>
      <c r="K626" s="65">
        <v>45</v>
      </c>
      <c r="L626" s="65">
        <v>58</v>
      </c>
      <c r="M626" s="66">
        <v>1.87304890738814E-2</v>
      </c>
      <c r="N626" s="67">
        <v>1997.5256287786101</v>
      </c>
      <c r="O626" s="67">
        <v>110.973646043256</v>
      </c>
      <c r="P626" s="67">
        <v>480.26002040505398</v>
      </c>
      <c r="Q626" s="77">
        <v>0.24042746360091</v>
      </c>
    </row>
    <row r="627" spans="1:17" x14ac:dyDescent="0.35">
      <c r="A627" s="76" t="s">
        <v>136</v>
      </c>
      <c r="B627" s="63">
        <v>876349</v>
      </c>
      <c r="C627" s="63" t="s">
        <v>142</v>
      </c>
      <c r="D627" s="64">
        <v>42669</v>
      </c>
      <c r="E627" s="63" t="s">
        <v>138</v>
      </c>
      <c r="F627" s="65">
        <v>48427</v>
      </c>
      <c r="G627" s="66">
        <v>1.04578016788046E-2</v>
      </c>
      <c r="H627" s="65">
        <v>196</v>
      </c>
      <c r="I627" s="67">
        <v>0.47525617763032502</v>
      </c>
      <c r="J627" s="67">
        <v>4.9701348522846702</v>
      </c>
      <c r="K627" s="65">
        <v>65</v>
      </c>
      <c r="L627" s="65">
        <v>55</v>
      </c>
      <c r="M627" s="66">
        <v>1.7077798861480101E-2</v>
      </c>
      <c r="N627" s="67">
        <v>1481.2277837371</v>
      </c>
      <c r="O627" s="67">
        <v>82.290432429839001</v>
      </c>
      <c r="P627" s="67">
        <v>500.92001122236297</v>
      </c>
      <c r="Q627" s="77">
        <v>0.33817891935469502</v>
      </c>
    </row>
    <row r="628" spans="1:17" x14ac:dyDescent="0.35">
      <c r="A628" s="76" t="s">
        <v>136</v>
      </c>
      <c r="B628" s="63">
        <v>876349</v>
      </c>
      <c r="C628" s="63" t="s">
        <v>142</v>
      </c>
      <c r="D628" s="64">
        <v>42670</v>
      </c>
      <c r="E628" s="63" t="s">
        <v>138</v>
      </c>
      <c r="F628" s="65">
        <v>32993</v>
      </c>
      <c r="G628" s="66">
        <v>1.00862731366656E-2</v>
      </c>
      <c r="H628" s="65">
        <v>307</v>
      </c>
      <c r="I628" s="67">
        <v>0.48998072940277798</v>
      </c>
      <c r="J628" s="67">
        <v>4.9420794684590597</v>
      </c>
      <c r="K628" s="65">
        <v>62</v>
      </c>
      <c r="L628" s="65">
        <v>45</v>
      </c>
      <c r="M628" s="66">
        <v>1.44648023143684E-2</v>
      </c>
      <c r="N628" s="67">
        <v>1714.90796171089</v>
      </c>
      <c r="O628" s="67">
        <v>114.327197447393</v>
      </c>
      <c r="P628" s="67">
        <v>508.11001639068098</v>
      </c>
      <c r="Q628" s="77">
        <v>0.29628996292241899</v>
      </c>
    </row>
    <row r="629" spans="1:17" x14ac:dyDescent="0.35">
      <c r="A629" s="76" t="s">
        <v>136</v>
      </c>
      <c r="B629" s="63">
        <v>876349</v>
      </c>
      <c r="C629" s="63" t="s">
        <v>142</v>
      </c>
      <c r="D629" s="64">
        <v>42671</v>
      </c>
      <c r="E629" s="63" t="s">
        <v>138</v>
      </c>
      <c r="F629" s="65">
        <v>1660</v>
      </c>
      <c r="G629" s="66">
        <v>1.0534472969447701E-2</v>
      </c>
      <c r="H629" s="65">
        <v>466</v>
      </c>
      <c r="I629" s="67">
        <v>0.48373636542036003</v>
      </c>
      <c r="J629" s="67">
        <v>5.09590766585967</v>
      </c>
      <c r="K629" s="65">
        <v>24</v>
      </c>
      <c r="L629" s="65">
        <v>102</v>
      </c>
      <c r="M629" s="66">
        <v>2.4034959941733401E-2</v>
      </c>
      <c r="N629" s="67">
        <v>4745.8515688908601</v>
      </c>
      <c r="O629" s="67">
        <v>143.81368390578399</v>
      </c>
      <c r="P629" s="67">
        <v>664.17002972215403</v>
      </c>
      <c r="Q629" s="77">
        <v>0.13994749310656901</v>
      </c>
    </row>
    <row r="630" spans="1:17" x14ac:dyDescent="0.35">
      <c r="A630" s="76" t="s">
        <v>136</v>
      </c>
      <c r="B630" s="63">
        <v>876349</v>
      </c>
      <c r="C630" s="63" t="s">
        <v>142</v>
      </c>
      <c r="D630" s="64">
        <v>42672</v>
      </c>
      <c r="E630" s="63" t="s">
        <v>138</v>
      </c>
      <c r="F630" s="65">
        <v>19603</v>
      </c>
      <c r="G630" s="66">
        <v>9.0676319971746393E-3</v>
      </c>
      <c r="H630" s="65">
        <v>268</v>
      </c>
      <c r="I630" s="67">
        <v>0.48465434372599198</v>
      </c>
      <c r="J630" s="67">
        <v>4.3946672347394804</v>
      </c>
      <c r="K630" s="65">
        <v>31</v>
      </c>
      <c r="L630" s="65">
        <v>88</v>
      </c>
      <c r="M630" s="66">
        <v>2.53164556962025E-2</v>
      </c>
      <c r="N630" s="67">
        <v>3400.6274180515102</v>
      </c>
      <c r="O630" s="67">
        <v>130.79336223275001</v>
      </c>
      <c r="P630" s="67">
        <v>497.74001100659399</v>
      </c>
      <c r="Q630" s="77">
        <v>0.146367111070283</v>
      </c>
    </row>
    <row r="631" spans="1:17" x14ac:dyDescent="0.35">
      <c r="A631" s="76" t="s">
        <v>136</v>
      </c>
      <c r="B631" s="63">
        <v>876349</v>
      </c>
      <c r="C631" s="63" t="s">
        <v>142</v>
      </c>
      <c r="D631" s="64">
        <v>42673</v>
      </c>
      <c r="E631" s="63" t="s">
        <v>138</v>
      </c>
      <c r="F631" s="65">
        <v>43990</v>
      </c>
      <c r="G631" s="66">
        <v>8.4882979245375599E-3</v>
      </c>
      <c r="H631" s="65">
        <v>468</v>
      </c>
      <c r="I631" s="67">
        <v>0.48220810822151999</v>
      </c>
      <c r="J631" s="67">
        <v>4.0931260842119102</v>
      </c>
      <c r="K631" s="65">
        <v>43</v>
      </c>
      <c r="L631" s="65">
        <v>51</v>
      </c>
      <c r="M631" s="66">
        <v>1.9653179190751401E-2</v>
      </c>
      <c r="N631" s="67">
        <v>1652.79213469456</v>
      </c>
      <c r="O631" s="67">
        <v>97.223066746738695</v>
      </c>
      <c r="P631" s="67">
        <v>417.11001361161499</v>
      </c>
      <c r="Q631" s="77">
        <v>0.25236689167128601</v>
      </c>
    </row>
    <row r="632" spans="1:17" x14ac:dyDescent="0.35">
      <c r="A632" s="76" t="s">
        <v>136</v>
      </c>
      <c r="B632" s="63">
        <v>876349</v>
      </c>
      <c r="C632" s="63" t="s">
        <v>142</v>
      </c>
      <c r="D632" s="64">
        <v>42674</v>
      </c>
      <c r="E632" s="63" t="s">
        <v>138</v>
      </c>
      <c r="F632" s="65">
        <v>479</v>
      </c>
      <c r="G632" s="66">
        <v>1.05485232067511E-2</v>
      </c>
      <c r="H632" s="65">
        <v>292</v>
      </c>
      <c r="I632" s="67">
        <v>0.46074287705478201</v>
      </c>
      <c r="J632" s="67">
        <v>4.8601569309576202</v>
      </c>
      <c r="K632" s="65">
        <v>75</v>
      </c>
      <c r="L632" s="65">
        <v>52</v>
      </c>
      <c r="M632" s="66">
        <v>2.4761904761904801E-2</v>
      </c>
      <c r="N632" s="67">
        <v>3021.2797719120099</v>
      </c>
      <c r="O632" s="67">
        <v>116.203068150462</v>
      </c>
      <c r="P632" s="67">
        <v>483.78002090752102</v>
      </c>
      <c r="Q632" s="77">
        <v>0.16012420478404199</v>
      </c>
    </row>
    <row r="633" spans="1:17" x14ac:dyDescent="0.35">
      <c r="A633" s="76" t="s">
        <v>136</v>
      </c>
      <c r="B633" s="63">
        <v>876349</v>
      </c>
      <c r="C633" s="63" t="s">
        <v>142</v>
      </c>
      <c r="D633" s="64">
        <v>42675</v>
      </c>
      <c r="E633" s="63" t="s">
        <v>138</v>
      </c>
      <c r="F633" s="65">
        <v>5286</v>
      </c>
      <c r="G633" s="66">
        <v>9.0482255213184606E-3</v>
      </c>
      <c r="H633" s="65">
        <v>323</v>
      </c>
      <c r="I633" s="67">
        <v>0.49204833954259602</v>
      </c>
      <c r="J633" s="67">
        <v>4.45216434357169</v>
      </c>
      <c r="K633" s="65">
        <v>10</v>
      </c>
      <c r="L633" s="65">
        <v>53</v>
      </c>
      <c r="M633" s="66">
        <v>1.89075630252101E-2</v>
      </c>
      <c r="N633" s="67">
        <v>1803.6596679822301</v>
      </c>
      <c r="O633" s="67">
        <v>100.203314887902</v>
      </c>
      <c r="P633" s="67">
        <v>468.430019244552</v>
      </c>
      <c r="Q633" s="77">
        <v>0.25971086871870203</v>
      </c>
    </row>
    <row r="634" spans="1:17" x14ac:dyDescent="0.35">
      <c r="A634" s="76" t="s">
        <v>136</v>
      </c>
      <c r="B634" s="63">
        <v>876349</v>
      </c>
      <c r="C634" s="63" t="s">
        <v>142</v>
      </c>
      <c r="D634" s="64">
        <v>42676</v>
      </c>
      <c r="E634" s="63" t="s">
        <v>138</v>
      </c>
      <c r="F634" s="65">
        <v>1469</v>
      </c>
      <c r="G634" s="66">
        <v>8.7757278785126694E-3</v>
      </c>
      <c r="H634" s="65">
        <v>254</v>
      </c>
      <c r="I634" s="67">
        <v>0.496979554368701</v>
      </c>
      <c r="J634" s="67">
        <v>4.3613573303242097</v>
      </c>
      <c r="K634" s="65">
        <v>86</v>
      </c>
      <c r="L634" s="65">
        <v>40</v>
      </c>
      <c r="M634" s="66">
        <v>1.0830324909747301E-2</v>
      </c>
      <c r="N634" s="67">
        <v>762.63695986880202</v>
      </c>
      <c r="O634" s="67">
        <v>84.737439985422498</v>
      </c>
      <c r="P634" s="67">
        <v>412.99000968039002</v>
      </c>
      <c r="Q634" s="77">
        <v>0.54152897304038095</v>
      </c>
    </row>
    <row r="635" spans="1:17" x14ac:dyDescent="0.35">
      <c r="A635" s="76" t="s">
        <v>136</v>
      </c>
      <c r="B635" s="63">
        <v>876349</v>
      </c>
      <c r="C635" s="63" t="s">
        <v>142</v>
      </c>
      <c r="D635" s="64">
        <v>42677</v>
      </c>
      <c r="E635" s="63" t="s">
        <v>138</v>
      </c>
      <c r="F635" s="65">
        <v>43574</v>
      </c>
      <c r="G635" s="66">
        <v>9.4664200624465494E-3</v>
      </c>
      <c r="H635" s="65">
        <v>510</v>
      </c>
      <c r="I635" s="67">
        <v>0.48977943017546599</v>
      </c>
      <c r="J635" s="67">
        <v>4.6364578239866701</v>
      </c>
      <c r="K635" s="65">
        <v>26</v>
      </c>
      <c r="L635" s="65">
        <v>39</v>
      </c>
      <c r="M635" s="66">
        <v>1.6806722689075598E-2</v>
      </c>
      <c r="N635" s="67">
        <v>1728.32074709771</v>
      </c>
      <c r="O635" s="67">
        <v>108.020046693607</v>
      </c>
      <c r="P635" s="67">
        <v>466.27001752704399</v>
      </c>
      <c r="Q635" s="77">
        <v>0.26978210977911898</v>
      </c>
    </row>
    <row r="636" spans="1:17" x14ac:dyDescent="0.35">
      <c r="A636" s="76" t="s">
        <v>136</v>
      </c>
      <c r="B636" s="63">
        <v>876349</v>
      </c>
      <c r="C636" s="63" t="s">
        <v>142</v>
      </c>
      <c r="D636" s="64">
        <v>42678</v>
      </c>
      <c r="E636" s="63" t="s">
        <v>138</v>
      </c>
      <c r="F636" s="65">
        <v>57915</v>
      </c>
      <c r="G636" s="66">
        <v>9.0847062611642201E-3</v>
      </c>
      <c r="H636" s="65">
        <v>417</v>
      </c>
      <c r="I636" s="67">
        <v>0.47965402956501801</v>
      </c>
      <c r="J636" s="67">
        <v>4.3575159655819702</v>
      </c>
      <c r="K636" s="65">
        <v>73</v>
      </c>
      <c r="L636" s="65">
        <v>79</v>
      </c>
      <c r="M636" s="66">
        <v>2.44725738396624E-2</v>
      </c>
      <c r="N636" s="67">
        <v>2925.06895877734</v>
      </c>
      <c r="O636" s="67">
        <v>100.86444685439101</v>
      </c>
      <c r="P636" s="67">
        <v>568.39002503454697</v>
      </c>
      <c r="Q636" s="77">
        <v>0.19431679493536799</v>
      </c>
    </row>
    <row r="637" spans="1:17" x14ac:dyDescent="0.35">
      <c r="A637" s="76" t="s">
        <v>136</v>
      </c>
      <c r="B637" s="63">
        <v>873469</v>
      </c>
      <c r="C637" s="63" t="s">
        <v>143</v>
      </c>
      <c r="D637" s="64">
        <v>42552</v>
      </c>
      <c r="E637" s="63" t="s">
        <v>138</v>
      </c>
      <c r="F637" s="65">
        <v>3142</v>
      </c>
      <c r="G637" s="66">
        <v>5.3190300592244897E-3</v>
      </c>
      <c r="H637" s="65">
        <v>464</v>
      </c>
      <c r="I637" s="67">
        <v>0.32186974442618699</v>
      </c>
      <c r="J637" s="67">
        <v>1.7120348457578001</v>
      </c>
      <c r="K637" s="65">
        <v>80</v>
      </c>
      <c r="L637" s="65">
        <v>5</v>
      </c>
      <c r="M637" s="66">
        <v>6.3025210084033598E-3</v>
      </c>
      <c r="N637" s="67">
        <v>549.70178992388196</v>
      </c>
      <c r="O637" s="67">
        <v>183.23392997462699</v>
      </c>
      <c r="P637" s="67">
        <v>153.20999834686501</v>
      </c>
      <c r="Q637" s="77">
        <v>0.27871475253533401</v>
      </c>
    </row>
    <row r="638" spans="1:17" x14ac:dyDescent="0.35">
      <c r="A638" s="76" t="s">
        <v>136</v>
      </c>
      <c r="B638" s="63">
        <v>873469</v>
      </c>
      <c r="C638" s="63" t="s">
        <v>143</v>
      </c>
      <c r="D638" s="64">
        <v>42553</v>
      </c>
      <c r="E638" s="63" t="s">
        <v>138</v>
      </c>
      <c r="F638" s="65">
        <v>28235</v>
      </c>
      <c r="G638" s="66">
        <v>4.1493347646129903E-3</v>
      </c>
      <c r="H638" s="65">
        <v>533</v>
      </c>
      <c r="I638" s="67">
        <v>0.295024871863239</v>
      </c>
      <c r="J638" s="67">
        <v>1.2241569572476301</v>
      </c>
      <c r="K638" s="65">
        <v>83</v>
      </c>
      <c r="L638" s="65">
        <v>11</v>
      </c>
      <c r="M638" s="66">
        <v>1.7412935323383099E-2</v>
      </c>
      <c r="N638" s="67">
        <v>725.81899311396398</v>
      </c>
      <c r="O638" s="67">
        <v>103.688427587709</v>
      </c>
      <c r="P638" s="67">
        <v>118.599998489022</v>
      </c>
      <c r="Q638" s="77">
        <v>0.16340161888048099</v>
      </c>
    </row>
    <row r="639" spans="1:17" x14ac:dyDescent="0.35">
      <c r="A639" s="76" t="s">
        <v>136</v>
      </c>
      <c r="B639" s="63">
        <v>873469</v>
      </c>
      <c r="C639" s="63" t="s">
        <v>143</v>
      </c>
      <c r="D639" s="64">
        <v>42554</v>
      </c>
      <c r="E639" s="63" t="s">
        <v>138</v>
      </c>
      <c r="F639" s="65">
        <v>54222</v>
      </c>
      <c r="G639" s="66">
        <v>5.8613558830889999E-3</v>
      </c>
      <c r="H639" s="65">
        <v>300</v>
      </c>
      <c r="I639" s="67">
        <v>0.26182022374332597</v>
      </c>
      <c r="J639" s="67">
        <v>1.53462150874962</v>
      </c>
      <c r="K639" s="65">
        <v>58</v>
      </c>
      <c r="L639" s="65">
        <v>5</v>
      </c>
      <c r="M639" s="66">
        <v>1.1235955056179799E-2</v>
      </c>
      <c r="N639" s="67">
        <v>399.73205637628899</v>
      </c>
      <c r="O639" s="67">
        <v>79.946411275257802</v>
      </c>
      <c r="P639" s="67">
        <v>116.50999956578001</v>
      </c>
      <c r="Q639" s="77">
        <v>0.291470242897165</v>
      </c>
    </row>
    <row r="640" spans="1:17" x14ac:dyDescent="0.35">
      <c r="A640" s="76" t="s">
        <v>136</v>
      </c>
      <c r="B640" s="63">
        <v>873469</v>
      </c>
      <c r="C640" s="63" t="s">
        <v>143</v>
      </c>
      <c r="D640" s="64">
        <v>42555</v>
      </c>
      <c r="E640" s="63" t="s">
        <v>138</v>
      </c>
      <c r="F640" s="65">
        <v>49475</v>
      </c>
      <c r="G640" s="66">
        <v>4.3482599831772203E-3</v>
      </c>
      <c r="H640" s="65">
        <v>435</v>
      </c>
      <c r="I640" s="67">
        <v>0.255213113446705</v>
      </c>
      <c r="J640" s="67">
        <v>1.10973296838237</v>
      </c>
      <c r="K640" s="65">
        <v>96</v>
      </c>
      <c r="L640" s="65">
        <v>8</v>
      </c>
      <c r="M640" s="66">
        <v>9.8360655737704892E-3</v>
      </c>
      <c r="N640" s="67">
        <v>248.379288161571</v>
      </c>
      <c r="O640" s="67">
        <v>82.7930960538569</v>
      </c>
      <c r="P640" s="67">
        <v>77.839999601244898</v>
      </c>
      <c r="Q640" s="77">
        <v>0.31339166875544799</v>
      </c>
    </row>
    <row r="641" spans="1:17" x14ac:dyDescent="0.35">
      <c r="A641" s="76" t="s">
        <v>136</v>
      </c>
      <c r="B641" s="63">
        <v>873469</v>
      </c>
      <c r="C641" s="63" t="s">
        <v>143</v>
      </c>
      <c r="D641" s="64">
        <v>42556</v>
      </c>
      <c r="E641" s="63" t="s">
        <v>138</v>
      </c>
      <c r="F641" s="65">
        <v>68480</v>
      </c>
      <c r="G641" s="66">
        <v>4.4479285604730797E-3</v>
      </c>
      <c r="H641" s="65">
        <v>506</v>
      </c>
      <c r="I641" s="67">
        <v>0.30214559421000398</v>
      </c>
      <c r="J641" s="67">
        <v>1.34392201790779</v>
      </c>
      <c r="K641" s="65">
        <v>88</v>
      </c>
      <c r="L641" s="65">
        <v>6</v>
      </c>
      <c r="M641" s="66">
        <v>1.1494252873563199E-2</v>
      </c>
      <c r="N641" s="67">
        <v>130.261909952427</v>
      </c>
      <c r="O641" s="67">
        <v>43.420636650808902</v>
      </c>
      <c r="P641" s="67">
        <v>78.860000088810907</v>
      </c>
      <c r="Q641" s="77">
        <v>0.60539569946127503</v>
      </c>
    </row>
    <row r="642" spans="1:17" x14ac:dyDescent="0.35">
      <c r="A642" s="76" t="s">
        <v>136</v>
      </c>
      <c r="B642" s="63">
        <v>873469</v>
      </c>
      <c r="C642" s="63" t="s">
        <v>143</v>
      </c>
      <c r="D642" s="64">
        <v>42557</v>
      </c>
      <c r="E642" s="63" t="s">
        <v>138</v>
      </c>
      <c r="F642" s="65">
        <v>54452</v>
      </c>
      <c r="G642" s="66">
        <v>4.9680624556422996E-3</v>
      </c>
      <c r="H642" s="65">
        <v>164</v>
      </c>
      <c r="I642" s="67">
        <v>0.297216750075811</v>
      </c>
      <c r="J642" s="67">
        <v>1.4765913772396599</v>
      </c>
      <c r="K642" s="65">
        <v>96</v>
      </c>
      <c r="L642" s="65">
        <v>1</v>
      </c>
      <c r="M642" s="66">
        <v>0</v>
      </c>
      <c r="N642" s="67">
        <v>0</v>
      </c>
      <c r="O642" s="67">
        <v>0</v>
      </c>
      <c r="P642" s="67">
        <v>120.67000053077901</v>
      </c>
      <c r="Q642" s="77">
        <v>0</v>
      </c>
    </row>
    <row r="643" spans="1:17" x14ac:dyDescent="0.35">
      <c r="A643" s="76" t="s">
        <v>136</v>
      </c>
      <c r="B643" s="63">
        <v>873469</v>
      </c>
      <c r="C643" s="63" t="s">
        <v>143</v>
      </c>
      <c r="D643" s="64">
        <v>42558</v>
      </c>
      <c r="E643" s="63" t="s">
        <v>138</v>
      </c>
      <c r="F643" s="65">
        <v>18205</v>
      </c>
      <c r="G643" s="66">
        <v>6.4075630252100804E-3</v>
      </c>
      <c r="H643" s="65">
        <v>224</v>
      </c>
      <c r="I643" s="67">
        <v>0.278477752637947</v>
      </c>
      <c r="J643" s="67">
        <v>1.78436375114651</v>
      </c>
      <c r="K643" s="65">
        <v>54</v>
      </c>
      <c r="L643" s="65">
        <v>3</v>
      </c>
      <c r="M643" s="66">
        <v>4.6838407494145199E-3</v>
      </c>
      <c r="N643" s="67">
        <v>27.5736887995545</v>
      </c>
      <c r="O643" s="67">
        <v>13.7868443997772</v>
      </c>
      <c r="P643" s="67">
        <v>118.910000376403</v>
      </c>
      <c r="Q643" s="77">
        <v>4.3124444190551898</v>
      </c>
    </row>
    <row r="644" spans="1:17" x14ac:dyDescent="0.35">
      <c r="A644" s="76" t="s">
        <v>136</v>
      </c>
      <c r="B644" s="63">
        <v>873469</v>
      </c>
      <c r="C644" s="63" t="s">
        <v>143</v>
      </c>
      <c r="D644" s="64">
        <v>42559</v>
      </c>
      <c r="E644" s="63" t="s">
        <v>138</v>
      </c>
      <c r="F644" s="65">
        <v>55035</v>
      </c>
      <c r="G644" s="66">
        <v>5.47149164182484E-3</v>
      </c>
      <c r="H644" s="65">
        <v>152</v>
      </c>
      <c r="I644" s="67">
        <v>0.28463793348135602</v>
      </c>
      <c r="J644" s="67">
        <v>1.55739407398953</v>
      </c>
      <c r="K644" s="65">
        <v>15</v>
      </c>
      <c r="L644" s="65">
        <v>8</v>
      </c>
      <c r="M644" s="66">
        <v>1.03448275862069E-2</v>
      </c>
      <c r="N644" s="67">
        <v>505.964215041464</v>
      </c>
      <c r="O644" s="67">
        <v>84.327369173577296</v>
      </c>
      <c r="P644" s="67">
        <v>165.09000141918699</v>
      </c>
      <c r="Q644" s="77">
        <v>0.326287900431175</v>
      </c>
    </row>
    <row r="645" spans="1:17" x14ac:dyDescent="0.35">
      <c r="A645" s="76" t="s">
        <v>136</v>
      </c>
      <c r="B645" s="63">
        <v>873469</v>
      </c>
      <c r="C645" s="63" t="s">
        <v>143</v>
      </c>
      <c r="D645" s="64">
        <v>42560</v>
      </c>
      <c r="E645" s="63" t="s">
        <v>138</v>
      </c>
      <c r="F645" s="65">
        <v>36894</v>
      </c>
      <c r="G645" s="66">
        <v>4.62450990248316E-3</v>
      </c>
      <c r="H645" s="65">
        <v>295</v>
      </c>
      <c r="I645" s="67">
        <v>0.28762681332781298</v>
      </c>
      <c r="J645" s="67">
        <v>1.3301330464541501</v>
      </c>
      <c r="K645" s="65">
        <v>31</v>
      </c>
      <c r="L645" s="65">
        <v>4</v>
      </c>
      <c r="M645" s="66">
        <v>5.4347826086956503E-3</v>
      </c>
      <c r="N645" s="67">
        <v>384.00034575157798</v>
      </c>
      <c r="O645" s="67">
        <v>128.00011525052599</v>
      </c>
      <c r="P645" s="67">
        <v>158.770000956953</v>
      </c>
      <c r="Q645" s="77">
        <v>0.41346317187866799</v>
      </c>
    </row>
    <row r="646" spans="1:17" x14ac:dyDescent="0.35">
      <c r="A646" s="76" t="s">
        <v>136</v>
      </c>
      <c r="B646" s="63">
        <v>873469</v>
      </c>
      <c r="C646" s="63" t="s">
        <v>143</v>
      </c>
      <c r="D646" s="64">
        <v>42561</v>
      </c>
      <c r="E646" s="63" t="s">
        <v>138</v>
      </c>
      <c r="F646" s="65">
        <v>26804</v>
      </c>
      <c r="G646" s="66">
        <v>4.5616571528279796E-3</v>
      </c>
      <c r="H646" s="65">
        <v>536</v>
      </c>
      <c r="I646" s="67">
        <v>0.30194899863232699</v>
      </c>
      <c r="J646" s="67">
        <v>1.3773878094004</v>
      </c>
      <c r="K646" s="65">
        <v>25</v>
      </c>
      <c r="L646" s="65">
        <v>9</v>
      </c>
      <c r="M646" s="66">
        <v>1.0928961748633901E-2</v>
      </c>
      <c r="N646" s="67">
        <v>749.97840998073605</v>
      </c>
      <c r="O646" s="67">
        <v>124.996401663456</v>
      </c>
      <c r="P646" s="67">
        <v>165.77000024914699</v>
      </c>
      <c r="Q646" s="77">
        <v>0.22103302980869199</v>
      </c>
    </row>
    <row r="647" spans="1:17" x14ac:dyDescent="0.35">
      <c r="A647" s="76" t="s">
        <v>136</v>
      </c>
      <c r="B647" s="63">
        <v>873469</v>
      </c>
      <c r="C647" s="63" t="s">
        <v>143</v>
      </c>
      <c r="D647" s="64">
        <v>42562</v>
      </c>
      <c r="E647" s="63" t="s">
        <v>138</v>
      </c>
      <c r="F647" s="65">
        <v>45490</v>
      </c>
      <c r="G647" s="66">
        <v>5.2612092987002904E-3</v>
      </c>
      <c r="H647" s="65">
        <v>580</v>
      </c>
      <c r="I647" s="67">
        <v>0.31299999948177099</v>
      </c>
      <c r="J647" s="67">
        <v>1.64675850776668</v>
      </c>
      <c r="K647" s="65">
        <v>22</v>
      </c>
      <c r="L647" s="65">
        <v>4</v>
      </c>
      <c r="M647" s="66">
        <v>5.5555555555555601E-3</v>
      </c>
      <c r="N647" s="67">
        <v>427.30573610814702</v>
      </c>
      <c r="O647" s="67">
        <v>142.43524536938199</v>
      </c>
      <c r="P647" s="67">
        <v>169.01999972015599</v>
      </c>
      <c r="Q647" s="77">
        <v>0.39554816478611199</v>
      </c>
    </row>
    <row r="648" spans="1:17" x14ac:dyDescent="0.35">
      <c r="A648" s="76" t="s">
        <v>136</v>
      </c>
      <c r="B648" s="63">
        <v>873469</v>
      </c>
      <c r="C648" s="63" t="s">
        <v>143</v>
      </c>
      <c r="D648" s="64">
        <v>42563</v>
      </c>
      <c r="E648" s="63" t="s">
        <v>138</v>
      </c>
      <c r="F648" s="65">
        <v>38136</v>
      </c>
      <c r="G648" s="66">
        <v>5.3671763620607698E-3</v>
      </c>
      <c r="H648" s="65">
        <v>304</v>
      </c>
      <c r="I648" s="67">
        <v>0.24603125270611301</v>
      </c>
      <c r="J648" s="67">
        <v>1.32049312385245</v>
      </c>
      <c r="K648" s="65">
        <v>32</v>
      </c>
      <c r="L648" s="65">
        <v>3</v>
      </c>
      <c r="M648" s="66">
        <v>5.2083333333333296E-3</v>
      </c>
      <c r="N648" s="67">
        <v>182.16786898556001</v>
      </c>
      <c r="O648" s="67">
        <v>91.083934492780102</v>
      </c>
      <c r="P648" s="67">
        <v>94.476001039147405</v>
      </c>
      <c r="Q648" s="77">
        <v>0.51862055347771696</v>
      </c>
    </row>
    <row r="649" spans="1:17" x14ac:dyDescent="0.35">
      <c r="A649" s="76" t="s">
        <v>136</v>
      </c>
      <c r="B649" s="63">
        <v>873469</v>
      </c>
      <c r="C649" s="63" t="s">
        <v>143</v>
      </c>
      <c r="D649" s="64">
        <v>42564</v>
      </c>
      <c r="E649" s="63" t="s">
        <v>138</v>
      </c>
      <c r="F649" s="65">
        <v>4637</v>
      </c>
      <c r="G649" s="66">
        <v>6.0447668320088204E-3</v>
      </c>
      <c r="H649" s="65">
        <v>341</v>
      </c>
      <c r="I649" s="67">
        <v>0.23891176914467499</v>
      </c>
      <c r="J649" s="67">
        <v>1.44416593790228</v>
      </c>
      <c r="K649" s="65">
        <v>57</v>
      </c>
      <c r="L649" s="65">
        <v>6</v>
      </c>
      <c r="M649" s="66">
        <v>5.8823529411764696E-3</v>
      </c>
      <c r="N649" s="67">
        <v>240.772757413569</v>
      </c>
      <c r="O649" s="67">
        <v>120.386378706784</v>
      </c>
      <c r="P649" s="67">
        <v>81.230001509189606</v>
      </c>
      <c r="Q649" s="77">
        <v>0.33737206144822701</v>
      </c>
    </row>
    <row r="650" spans="1:17" x14ac:dyDescent="0.35">
      <c r="A650" s="76" t="s">
        <v>136</v>
      </c>
      <c r="B650" s="63">
        <v>873469</v>
      </c>
      <c r="C650" s="63" t="s">
        <v>143</v>
      </c>
      <c r="D650" s="64">
        <v>42565</v>
      </c>
      <c r="E650" s="63" t="s">
        <v>138</v>
      </c>
      <c r="F650" s="65">
        <v>3777</v>
      </c>
      <c r="G650" s="66">
        <v>7.40874321867063E-3</v>
      </c>
      <c r="H650" s="65">
        <v>311</v>
      </c>
      <c r="I650" s="67">
        <v>0.21263286084480801</v>
      </c>
      <c r="J650" s="67">
        <v>1.5753422658505001</v>
      </c>
      <c r="K650" s="65">
        <v>69</v>
      </c>
      <c r="L650" s="65">
        <v>6</v>
      </c>
      <c r="M650" s="66">
        <v>6.08519269776876E-3</v>
      </c>
      <c r="N650" s="67">
        <v>200.23338363374401</v>
      </c>
      <c r="O650" s="67">
        <v>66.744461211248094</v>
      </c>
      <c r="P650" s="67">
        <v>104.82800039649</v>
      </c>
      <c r="Q650" s="77">
        <v>0.52352908637969997</v>
      </c>
    </row>
    <row r="651" spans="1:17" x14ac:dyDescent="0.35">
      <c r="A651" s="76" t="s">
        <v>136</v>
      </c>
      <c r="B651" s="63">
        <v>873469</v>
      </c>
      <c r="C651" s="63" t="s">
        <v>143</v>
      </c>
      <c r="D651" s="64">
        <v>42566</v>
      </c>
      <c r="E651" s="63" t="s">
        <v>138</v>
      </c>
      <c r="F651" s="65">
        <v>63668</v>
      </c>
      <c r="G651" s="66">
        <v>6.2138938783436104E-3</v>
      </c>
      <c r="H651" s="65">
        <v>396</v>
      </c>
      <c r="I651" s="67">
        <v>0.23570312655647299</v>
      </c>
      <c r="J651" s="67">
        <v>1.4646342152157199</v>
      </c>
      <c r="K651" s="65">
        <v>38</v>
      </c>
      <c r="L651" s="65">
        <v>6</v>
      </c>
      <c r="M651" s="66">
        <v>3.90625E-3</v>
      </c>
      <c r="N651" s="67">
        <v>95.729968017979104</v>
      </c>
      <c r="O651" s="67">
        <v>47.864984008989502</v>
      </c>
      <c r="P651" s="67">
        <v>120.680000796914</v>
      </c>
      <c r="Q651" s="77">
        <v>1.2606292814622999</v>
      </c>
    </row>
    <row r="652" spans="1:17" x14ac:dyDescent="0.35">
      <c r="A652" s="76" t="s">
        <v>136</v>
      </c>
      <c r="B652" s="63">
        <v>873469</v>
      </c>
      <c r="C652" s="63" t="s">
        <v>143</v>
      </c>
      <c r="D652" s="64">
        <v>42567</v>
      </c>
      <c r="E652" s="63" t="s">
        <v>138</v>
      </c>
      <c r="F652" s="65">
        <v>58766</v>
      </c>
      <c r="G652" s="66">
        <v>5.1222758500154598E-3</v>
      </c>
      <c r="H652" s="65">
        <v>182</v>
      </c>
      <c r="I652" s="67">
        <v>0.207086613504436</v>
      </c>
      <c r="J652" s="67">
        <v>1.06075475921526</v>
      </c>
      <c r="K652" s="65">
        <v>70</v>
      </c>
      <c r="L652" s="65">
        <v>9</v>
      </c>
      <c r="M652" s="66">
        <v>7.8740157480314994E-3</v>
      </c>
      <c r="N652" s="67">
        <v>400.46676726748899</v>
      </c>
      <c r="O652" s="67">
        <v>133.48892242249599</v>
      </c>
      <c r="P652" s="67">
        <v>78.899999745190101</v>
      </c>
      <c r="Q652" s="77">
        <v>0.19702009303680701</v>
      </c>
    </row>
    <row r="653" spans="1:17" x14ac:dyDescent="0.35">
      <c r="A653" s="76" t="s">
        <v>136</v>
      </c>
      <c r="B653" s="63">
        <v>873469</v>
      </c>
      <c r="C653" s="63" t="s">
        <v>143</v>
      </c>
      <c r="D653" s="64">
        <v>42568</v>
      </c>
      <c r="E653" s="63" t="s">
        <v>138</v>
      </c>
      <c r="F653" s="65">
        <v>8194</v>
      </c>
      <c r="G653" s="66">
        <v>4.9442771985087402E-3</v>
      </c>
      <c r="H653" s="65">
        <v>590</v>
      </c>
      <c r="I653" s="67">
        <v>0.184193549617644</v>
      </c>
      <c r="J653" s="67">
        <v>0.91070396748690696</v>
      </c>
      <c r="K653" s="65">
        <v>59</v>
      </c>
      <c r="L653" s="65">
        <v>7</v>
      </c>
      <c r="M653" s="66">
        <v>2.4193548387096801E-2</v>
      </c>
      <c r="N653" s="67">
        <v>763.07373416177495</v>
      </c>
      <c r="O653" s="67">
        <v>127.17895569362901</v>
      </c>
      <c r="P653" s="67">
        <v>45.680000305175803</v>
      </c>
      <c r="Q653" s="77">
        <v>5.9863153795163097E-2</v>
      </c>
    </row>
    <row r="654" spans="1:17" x14ac:dyDescent="0.35">
      <c r="A654" s="76" t="s">
        <v>136</v>
      </c>
      <c r="B654" s="63">
        <v>873469</v>
      </c>
      <c r="C654" s="63" t="s">
        <v>143</v>
      </c>
      <c r="D654" s="64">
        <v>42569</v>
      </c>
      <c r="E654" s="63" t="s">
        <v>138</v>
      </c>
      <c r="F654" s="65">
        <v>46989</v>
      </c>
      <c r="G654" s="66">
        <v>5.1512230389203504E-3</v>
      </c>
      <c r="H654" s="65">
        <v>590</v>
      </c>
      <c r="I654" s="67">
        <v>0.17859649087427701</v>
      </c>
      <c r="J654" s="67">
        <v>0.91999035846190202</v>
      </c>
      <c r="K654" s="65">
        <v>13</v>
      </c>
      <c r="L654" s="65">
        <v>7</v>
      </c>
      <c r="M654" s="66">
        <v>1.7543859649122799E-2</v>
      </c>
      <c r="N654" s="67">
        <v>304.73680172251801</v>
      </c>
      <c r="O654" s="67">
        <v>101.578933907506</v>
      </c>
      <c r="P654" s="67">
        <v>30.5399999395013</v>
      </c>
      <c r="Q654" s="77">
        <v>0.10021762966230099</v>
      </c>
    </row>
    <row r="655" spans="1:17" x14ac:dyDescent="0.35">
      <c r="A655" s="76" t="s">
        <v>136</v>
      </c>
      <c r="B655" s="63">
        <v>873469</v>
      </c>
      <c r="C655" s="63" t="s">
        <v>143</v>
      </c>
      <c r="D655" s="64">
        <v>42570</v>
      </c>
      <c r="E655" s="63" t="s">
        <v>138</v>
      </c>
      <c r="F655" s="65">
        <v>64670</v>
      </c>
      <c r="G655" s="66">
        <v>6.3588715893325102E-3</v>
      </c>
      <c r="H655" s="65">
        <v>513</v>
      </c>
      <c r="I655" s="67">
        <v>0.164363637115016</v>
      </c>
      <c r="J655" s="67">
        <v>1.0451672623700301</v>
      </c>
      <c r="K655" s="65">
        <v>38</v>
      </c>
      <c r="L655" s="65">
        <v>11</v>
      </c>
      <c r="M655" s="66">
        <v>3.6363636363636397E-2</v>
      </c>
      <c r="N655" s="67">
        <v>791.38215610960196</v>
      </c>
      <c r="O655" s="67">
        <v>131.89702601826701</v>
      </c>
      <c r="P655" s="67">
        <v>27.1200001239777</v>
      </c>
      <c r="Q655" s="77">
        <v>3.4269157972045203E-2</v>
      </c>
    </row>
    <row r="656" spans="1:17" x14ac:dyDescent="0.35">
      <c r="A656" s="76" t="s">
        <v>136</v>
      </c>
      <c r="B656" s="63">
        <v>873469</v>
      </c>
      <c r="C656" s="63" t="s">
        <v>143</v>
      </c>
      <c r="D656" s="64">
        <v>42571</v>
      </c>
      <c r="E656" s="63" t="s">
        <v>138</v>
      </c>
      <c r="F656" s="65">
        <v>60139</v>
      </c>
      <c r="G656" s="66">
        <v>5.8215350223546902E-3</v>
      </c>
      <c r="H656" s="65">
        <v>283</v>
      </c>
      <c r="I656" s="67">
        <v>0.168960000634193</v>
      </c>
      <c r="J656" s="67">
        <v>0.983606561069028</v>
      </c>
      <c r="K656" s="65">
        <v>83</v>
      </c>
      <c r="L656" s="65">
        <v>3</v>
      </c>
      <c r="M656" s="66">
        <v>2.4E-2</v>
      </c>
      <c r="N656" s="67">
        <v>226.03509378511501</v>
      </c>
      <c r="O656" s="67">
        <v>75.345031261705103</v>
      </c>
      <c r="P656" s="67">
        <v>21.120000079274199</v>
      </c>
      <c r="Q656" s="77">
        <v>9.3436818706356797E-2</v>
      </c>
    </row>
    <row r="657" spans="1:17" x14ac:dyDescent="0.35">
      <c r="A657" s="76" t="s">
        <v>136</v>
      </c>
      <c r="B657" s="63">
        <v>873469</v>
      </c>
      <c r="C657" s="63" t="s">
        <v>143</v>
      </c>
      <c r="D657" s="64">
        <v>42572</v>
      </c>
      <c r="E657" s="63" t="s">
        <v>138</v>
      </c>
      <c r="F657" s="65">
        <v>65253</v>
      </c>
      <c r="G657" s="66">
        <v>6.92908742444346E-3</v>
      </c>
      <c r="H657" s="65">
        <v>195</v>
      </c>
      <c r="I657" s="67">
        <v>0.164255320391756</v>
      </c>
      <c r="J657" s="67">
        <v>1.13813947492445</v>
      </c>
      <c r="K657" s="65">
        <v>53</v>
      </c>
      <c r="L657" s="65">
        <v>0</v>
      </c>
      <c r="M657" s="66">
        <v>0</v>
      </c>
      <c r="N657" s="67">
        <v>0</v>
      </c>
      <c r="O657" s="67">
        <v>0</v>
      </c>
      <c r="P657" s="67">
        <v>23.160000175237698</v>
      </c>
      <c r="Q657" s="77">
        <v>0</v>
      </c>
    </row>
    <row r="658" spans="1:17" x14ac:dyDescent="0.35">
      <c r="A658" s="76" t="s">
        <v>136</v>
      </c>
      <c r="B658" s="63">
        <v>873469</v>
      </c>
      <c r="C658" s="63" t="s">
        <v>143</v>
      </c>
      <c r="D658" s="64">
        <v>42573</v>
      </c>
      <c r="E658" s="63" t="s">
        <v>138</v>
      </c>
      <c r="F658" s="65">
        <v>65162</v>
      </c>
      <c r="G658" s="66">
        <v>6.6644075454648103E-3</v>
      </c>
      <c r="H658" s="65">
        <v>591</v>
      </c>
      <c r="I658" s="67">
        <v>0.179604520274084</v>
      </c>
      <c r="J658" s="67">
        <v>1.1969577201141901</v>
      </c>
      <c r="K658" s="65">
        <v>93</v>
      </c>
      <c r="L658" s="65">
        <v>5</v>
      </c>
      <c r="M658" s="66">
        <v>1.6949152542372899E-2</v>
      </c>
      <c r="N658" s="67">
        <v>186.27366237358501</v>
      </c>
      <c r="O658" s="67">
        <v>62.0912207911949</v>
      </c>
      <c r="P658" s="67">
        <v>31.790000088512901</v>
      </c>
      <c r="Q658" s="77">
        <v>0.17066288214570999</v>
      </c>
    </row>
    <row r="659" spans="1:17" x14ac:dyDescent="0.35">
      <c r="A659" s="76" t="s">
        <v>136</v>
      </c>
      <c r="B659" s="63">
        <v>873469</v>
      </c>
      <c r="C659" s="63" t="s">
        <v>143</v>
      </c>
      <c r="D659" s="64">
        <v>42574</v>
      </c>
      <c r="E659" s="63" t="s">
        <v>138</v>
      </c>
      <c r="F659" s="65">
        <v>15728</v>
      </c>
      <c r="G659" s="66">
        <v>7.2588413375533197E-3</v>
      </c>
      <c r="H659" s="65">
        <v>258</v>
      </c>
      <c r="I659" s="67">
        <v>0.19516587472781199</v>
      </c>
      <c r="J659" s="67">
        <v>1.4166781191539899</v>
      </c>
      <c r="K659" s="65">
        <v>94</v>
      </c>
      <c r="L659" s="65">
        <v>5</v>
      </c>
      <c r="M659" s="66">
        <v>9.4786729857819895E-3</v>
      </c>
      <c r="N659" s="67">
        <v>355.64871375939299</v>
      </c>
      <c r="O659" s="67">
        <v>177.82435687969701</v>
      </c>
      <c r="P659" s="67">
        <v>41.179999567568302</v>
      </c>
      <c r="Q659" s="77">
        <v>0.115788411357584</v>
      </c>
    </row>
    <row r="660" spans="1:17" x14ac:dyDescent="0.35">
      <c r="A660" s="76" t="s">
        <v>136</v>
      </c>
      <c r="B660" s="63">
        <v>873469</v>
      </c>
      <c r="C660" s="63" t="s">
        <v>143</v>
      </c>
      <c r="D660" s="64">
        <v>42575</v>
      </c>
      <c r="E660" s="63" t="s">
        <v>138</v>
      </c>
      <c r="F660" s="65">
        <v>17363</v>
      </c>
      <c r="G660" s="66">
        <v>8.1618854438327108E-3</v>
      </c>
      <c r="H660" s="65">
        <v>310</v>
      </c>
      <c r="I660" s="67">
        <v>0.18606509396133999</v>
      </c>
      <c r="J660" s="67">
        <v>1.51864198200843</v>
      </c>
      <c r="K660" s="65">
        <v>53</v>
      </c>
      <c r="L660" s="65">
        <v>3</v>
      </c>
      <c r="M660" s="66">
        <v>2.9585798816567999E-3</v>
      </c>
      <c r="N660" s="67">
        <v>107.05333086189</v>
      </c>
      <c r="O660" s="67">
        <v>107.05333086189</v>
      </c>
      <c r="P660" s="67">
        <v>62.890001758933103</v>
      </c>
      <c r="Q660" s="77">
        <v>0.58746422229559103</v>
      </c>
    </row>
    <row r="661" spans="1:17" x14ac:dyDescent="0.35">
      <c r="A661" s="76" t="s">
        <v>136</v>
      </c>
      <c r="B661" s="63">
        <v>873469</v>
      </c>
      <c r="C661" s="63" t="s">
        <v>143</v>
      </c>
      <c r="D661" s="64">
        <v>42576</v>
      </c>
      <c r="E661" s="63" t="s">
        <v>138</v>
      </c>
      <c r="F661" s="65">
        <v>29145</v>
      </c>
      <c r="G661" s="66">
        <v>5.6967120064397598E-3</v>
      </c>
      <c r="H661" s="65">
        <v>323</v>
      </c>
      <c r="I661" s="67">
        <v>0.20416667174709899</v>
      </c>
      <c r="J661" s="67">
        <v>1.16307873025654</v>
      </c>
      <c r="K661" s="65">
        <v>36</v>
      </c>
      <c r="L661" s="65">
        <v>7</v>
      </c>
      <c r="M661" s="66">
        <v>1.0869565217391301E-2</v>
      </c>
      <c r="N661" s="67">
        <v>365.32975858862602</v>
      </c>
      <c r="O661" s="67">
        <v>121.776586196209</v>
      </c>
      <c r="P661" s="67">
        <v>56.350001402199297</v>
      </c>
      <c r="Q661" s="77">
        <v>0.15424421382998099</v>
      </c>
    </row>
    <row r="662" spans="1:17" x14ac:dyDescent="0.35">
      <c r="A662" s="76" t="s">
        <v>136</v>
      </c>
      <c r="B662" s="63">
        <v>873469</v>
      </c>
      <c r="C662" s="63" t="s">
        <v>143</v>
      </c>
      <c r="D662" s="64">
        <v>42577</v>
      </c>
      <c r="E662" s="63" t="s">
        <v>138</v>
      </c>
      <c r="F662" s="65">
        <v>59895</v>
      </c>
      <c r="G662" s="66">
        <v>8.62227114290956E-3</v>
      </c>
      <c r="H662" s="65">
        <v>509</v>
      </c>
      <c r="I662" s="67">
        <v>0.18361702355298601</v>
      </c>
      <c r="J662" s="67">
        <v>1.58319576352786</v>
      </c>
      <c r="K662" s="65">
        <v>49</v>
      </c>
      <c r="L662" s="65">
        <v>7</v>
      </c>
      <c r="M662" s="66">
        <v>1.77304964539007E-2</v>
      </c>
      <c r="N662" s="67">
        <v>358.717268242194</v>
      </c>
      <c r="O662" s="67">
        <v>71.743453648438901</v>
      </c>
      <c r="P662" s="67">
        <v>51.780000641942003</v>
      </c>
      <c r="Q662" s="77">
        <v>0.14434766660572901</v>
      </c>
    </row>
    <row r="663" spans="1:17" x14ac:dyDescent="0.35">
      <c r="A663" s="76" t="s">
        <v>136</v>
      </c>
      <c r="B663" s="63">
        <v>873469</v>
      </c>
      <c r="C663" s="63" t="s">
        <v>143</v>
      </c>
      <c r="D663" s="64">
        <v>42578</v>
      </c>
      <c r="E663" s="63" t="s">
        <v>138</v>
      </c>
      <c r="F663" s="65">
        <v>1440</v>
      </c>
      <c r="G663" s="66">
        <v>7.1337367456836701E-3</v>
      </c>
      <c r="H663" s="65">
        <v>282</v>
      </c>
      <c r="I663" s="67">
        <v>0.18392996327654401</v>
      </c>
      <c r="J663" s="67">
        <v>1.3121079376581299</v>
      </c>
      <c r="K663" s="65">
        <v>24</v>
      </c>
      <c r="L663" s="65">
        <v>2</v>
      </c>
      <c r="M663" s="66">
        <v>3.8910505836575902E-3</v>
      </c>
      <c r="N663" s="67">
        <v>105.238136398997</v>
      </c>
      <c r="O663" s="67">
        <v>105.238136398997</v>
      </c>
      <c r="P663" s="67">
        <v>47.2700005620718</v>
      </c>
      <c r="Q663" s="77">
        <v>0.449171775361486</v>
      </c>
    </row>
    <row r="664" spans="1:17" x14ac:dyDescent="0.35">
      <c r="A664" s="76" t="s">
        <v>136</v>
      </c>
      <c r="B664" s="63">
        <v>873469</v>
      </c>
      <c r="C664" s="63" t="s">
        <v>143</v>
      </c>
      <c r="D664" s="64">
        <v>42579</v>
      </c>
      <c r="E664" s="63" t="s">
        <v>138</v>
      </c>
      <c r="F664" s="65">
        <v>46951</v>
      </c>
      <c r="G664" s="66">
        <v>7.3288590604026803E-3</v>
      </c>
      <c r="H664" s="65">
        <v>557</v>
      </c>
      <c r="I664" s="67">
        <v>0.19439560758980201</v>
      </c>
      <c r="J664" s="67">
        <v>1.4246980099870099</v>
      </c>
      <c r="K664" s="65">
        <v>55</v>
      </c>
      <c r="L664" s="65">
        <v>1</v>
      </c>
      <c r="M664" s="66">
        <v>3.66300366300366E-3</v>
      </c>
      <c r="N664" s="67">
        <v>272.06327253868102</v>
      </c>
      <c r="O664" s="67">
        <v>272.06327253868102</v>
      </c>
      <c r="P664" s="67">
        <v>53.070000872016003</v>
      </c>
      <c r="Q664" s="77">
        <v>0.19506492139423401</v>
      </c>
    </row>
    <row r="665" spans="1:17" x14ac:dyDescent="0.35">
      <c r="A665" s="76" t="s">
        <v>136</v>
      </c>
      <c r="B665" s="63">
        <v>873469</v>
      </c>
      <c r="C665" s="63" t="s">
        <v>143</v>
      </c>
      <c r="D665" s="64">
        <v>42580</v>
      </c>
      <c r="E665" s="63" t="s">
        <v>138</v>
      </c>
      <c r="F665" s="65">
        <v>17528</v>
      </c>
      <c r="G665" s="66">
        <v>7.3765299658758903E-3</v>
      </c>
      <c r="H665" s="65">
        <v>293</v>
      </c>
      <c r="I665" s="67">
        <v>0.18734072095139201</v>
      </c>
      <c r="J665" s="67">
        <v>1.38192444192674</v>
      </c>
      <c r="K665" s="65">
        <v>92</v>
      </c>
      <c r="L665" s="65">
        <v>3</v>
      </c>
      <c r="M665" s="66">
        <v>5.5401662049861496E-3</v>
      </c>
      <c r="N665" s="67">
        <v>339.355185178417</v>
      </c>
      <c r="O665" s="67">
        <v>169.67759258920799</v>
      </c>
      <c r="P665" s="67">
        <v>67.630000263452501</v>
      </c>
      <c r="Q665" s="77">
        <v>0.19928972126327099</v>
      </c>
    </row>
    <row r="666" spans="1:17" x14ac:dyDescent="0.35">
      <c r="A666" s="76" t="s">
        <v>136</v>
      </c>
      <c r="B666" s="63">
        <v>873469</v>
      </c>
      <c r="C666" s="63" t="s">
        <v>143</v>
      </c>
      <c r="D666" s="64">
        <v>42581</v>
      </c>
      <c r="E666" s="63" t="s">
        <v>138</v>
      </c>
      <c r="F666" s="65">
        <v>35667</v>
      </c>
      <c r="G666" s="66">
        <v>7.8923200551027396E-3</v>
      </c>
      <c r="H666" s="65">
        <v>236</v>
      </c>
      <c r="I666" s="67">
        <v>0.19360000275752801</v>
      </c>
      <c r="J666" s="67">
        <v>1.52795318443118</v>
      </c>
      <c r="K666" s="65">
        <v>71</v>
      </c>
      <c r="L666" s="65">
        <v>3</v>
      </c>
      <c r="M666" s="66">
        <v>5.4545454545454602E-3</v>
      </c>
      <c r="N666" s="67">
        <v>532.630307433908</v>
      </c>
      <c r="O666" s="67">
        <v>177.543435811303</v>
      </c>
      <c r="P666" s="67">
        <v>106.48000151664</v>
      </c>
      <c r="Q666" s="77">
        <v>0.199913523565035</v>
      </c>
    </row>
    <row r="667" spans="1:17" x14ac:dyDescent="0.35">
      <c r="A667" s="76" t="s">
        <v>136</v>
      </c>
      <c r="B667" s="63">
        <v>873469</v>
      </c>
      <c r="C667" s="63" t="s">
        <v>143</v>
      </c>
      <c r="D667" s="64">
        <v>42582</v>
      </c>
      <c r="E667" s="63" t="s">
        <v>138</v>
      </c>
      <c r="F667" s="65">
        <v>39923</v>
      </c>
      <c r="G667" s="66">
        <v>5.9475993326330101E-3</v>
      </c>
      <c r="H667" s="65">
        <v>546</v>
      </c>
      <c r="I667" s="67">
        <v>0.194519483230331</v>
      </c>
      <c r="J667" s="67">
        <v>1.1569239486448299</v>
      </c>
      <c r="K667" s="65">
        <v>14</v>
      </c>
      <c r="L667" s="65">
        <v>1</v>
      </c>
      <c r="M667" s="66">
        <v>0</v>
      </c>
      <c r="N667" s="67">
        <v>0</v>
      </c>
      <c r="O667" s="67">
        <v>0</v>
      </c>
      <c r="P667" s="67">
        <v>74.890001043677302</v>
      </c>
      <c r="Q667" s="77">
        <v>0</v>
      </c>
    </row>
    <row r="668" spans="1:17" x14ac:dyDescent="0.35">
      <c r="A668" s="76" t="s">
        <v>136</v>
      </c>
      <c r="B668" s="63">
        <v>873469</v>
      </c>
      <c r="C668" s="63" t="s">
        <v>143</v>
      </c>
      <c r="D668" s="64">
        <v>42583</v>
      </c>
      <c r="E668" s="63" t="s">
        <v>138</v>
      </c>
      <c r="F668" s="65">
        <v>25691</v>
      </c>
      <c r="G668" s="66">
        <v>6.47111413853293E-3</v>
      </c>
      <c r="H668" s="65">
        <v>528</v>
      </c>
      <c r="I668" s="67">
        <v>0.18787280957034799</v>
      </c>
      <c r="J668" s="67">
        <v>1.21574639425658</v>
      </c>
      <c r="K668" s="65">
        <v>29</v>
      </c>
      <c r="L668" s="65">
        <v>3</v>
      </c>
      <c r="M668" s="66">
        <v>2.1929824561403499E-3</v>
      </c>
      <c r="N668" s="67">
        <v>102.47456326446</v>
      </c>
      <c r="O668" s="67">
        <v>102.47456326446</v>
      </c>
      <c r="P668" s="67">
        <v>85.670001164078698</v>
      </c>
      <c r="Q668" s="77">
        <v>0.83601235696888598</v>
      </c>
    </row>
    <row r="669" spans="1:17" x14ac:dyDescent="0.35">
      <c r="A669" s="76" t="s">
        <v>136</v>
      </c>
      <c r="B669" s="63">
        <v>873469</v>
      </c>
      <c r="C669" s="63" t="s">
        <v>143</v>
      </c>
      <c r="D669" s="64">
        <v>42584</v>
      </c>
      <c r="E669" s="63" t="s">
        <v>138</v>
      </c>
      <c r="F669" s="65">
        <v>31989</v>
      </c>
      <c r="G669" s="66">
        <v>5.5779932379987603E-3</v>
      </c>
      <c r="H669" s="65">
        <v>233</v>
      </c>
      <c r="I669" s="67">
        <v>0.19403302263609101</v>
      </c>
      <c r="J669" s="67">
        <v>1.0823148882125799</v>
      </c>
      <c r="K669" s="65">
        <v>18</v>
      </c>
      <c r="L669" s="65">
        <v>6</v>
      </c>
      <c r="M669" s="66">
        <v>9.4339622641509396E-3</v>
      </c>
      <c r="N669" s="67">
        <v>764.95945176126099</v>
      </c>
      <c r="O669" s="67">
        <v>191.23986294031499</v>
      </c>
      <c r="P669" s="67">
        <v>82.270001597702503</v>
      </c>
      <c r="Q669" s="77">
        <v>0.107548186257823</v>
      </c>
    </row>
    <row r="670" spans="1:17" x14ac:dyDescent="0.35">
      <c r="A670" s="76" t="s">
        <v>136</v>
      </c>
      <c r="B670" s="63">
        <v>873469</v>
      </c>
      <c r="C670" s="63" t="s">
        <v>143</v>
      </c>
      <c r="D670" s="64">
        <v>42585</v>
      </c>
      <c r="E670" s="63" t="s">
        <v>138</v>
      </c>
      <c r="F670" s="65">
        <v>26428</v>
      </c>
      <c r="G670" s="66">
        <v>5.8975357240703104E-3</v>
      </c>
      <c r="H670" s="65">
        <v>496</v>
      </c>
      <c r="I670" s="67">
        <v>0.178924207272769</v>
      </c>
      <c r="J670" s="67">
        <v>1.05521190429211</v>
      </c>
      <c r="K670" s="65">
        <v>73</v>
      </c>
      <c r="L670" s="65">
        <v>2</v>
      </c>
      <c r="M670" s="66">
        <v>2.4449877750611199E-3</v>
      </c>
      <c r="N670" s="67">
        <v>28.3669611362984</v>
      </c>
      <c r="O670" s="67">
        <v>28.3669611362984</v>
      </c>
      <c r="P670" s="67">
        <v>73.180000774562401</v>
      </c>
      <c r="Q670" s="77">
        <v>2.5797617313657599</v>
      </c>
    </row>
    <row r="671" spans="1:17" x14ac:dyDescent="0.35">
      <c r="A671" s="76" t="s">
        <v>136</v>
      </c>
      <c r="B671" s="63">
        <v>873469</v>
      </c>
      <c r="C671" s="63" t="s">
        <v>143</v>
      </c>
      <c r="D671" s="64">
        <v>42586</v>
      </c>
      <c r="E671" s="63" t="s">
        <v>138</v>
      </c>
      <c r="F671" s="65">
        <v>45297</v>
      </c>
      <c r="G671" s="66">
        <v>5.55479122239802E-3</v>
      </c>
      <c r="H671" s="65">
        <v>388</v>
      </c>
      <c r="I671" s="67">
        <v>0.20439629016830499</v>
      </c>
      <c r="J671" s="67">
        <v>1.1353787185176201</v>
      </c>
      <c r="K671" s="65">
        <v>52</v>
      </c>
      <c r="L671" s="65">
        <v>2</v>
      </c>
      <c r="M671" s="66">
        <v>3.09597523219814E-3</v>
      </c>
      <c r="N671" s="67">
        <v>83.290221136507199</v>
      </c>
      <c r="O671" s="67">
        <v>83.290221136507199</v>
      </c>
      <c r="P671" s="67">
        <v>66.020001724362402</v>
      </c>
      <c r="Q671" s="77">
        <v>0.79265009533543995</v>
      </c>
    </row>
    <row r="672" spans="1:17" x14ac:dyDescent="0.35">
      <c r="A672" s="76" t="s">
        <v>136</v>
      </c>
      <c r="B672" s="63">
        <v>873469</v>
      </c>
      <c r="C672" s="63" t="s">
        <v>143</v>
      </c>
      <c r="D672" s="64">
        <v>42587</v>
      </c>
      <c r="E672" s="63" t="s">
        <v>138</v>
      </c>
      <c r="F672" s="65">
        <v>31602</v>
      </c>
      <c r="G672" s="66">
        <v>6.1242953580624999E-3</v>
      </c>
      <c r="H672" s="65">
        <v>203</v>
      </c>
      <c r="I672" s="67">
        <v>0.208579551343891</v>
      </c>
      <c r="J672" s="67">
        <v>1.27740277808215</v>
      </c>
      <c r="K672" s="65">
        <v>21</v>
      </c>
      <c r="L672" s="65">
        <v>3</v>
      </c>
      <c r="M672" s="66">
        <v>5.6818181818181802E-3</v>
      </c>
      <c r="N672" s="67">
        <v>235.04052949087401</v>
      </c>
      <c r="O672" s="67">
        <v>117.520264745437</v>
      </c>
      <c r="P672" s="67">
        <v>73.420002073049503</v>
      </c>
      <c r="Q672" s="77">
        <v>0.31237166726983701</v>
      </c>
    </row>
    <row r="673" spans="1:17" x14ac:dyDescent="0.35">
      <c r="A673" s="76" t="s">
        <v>136</v>
      </c>
      <c r="B673" s="63">
        <v>873469</v>
      </c>
      <c r="C673" s="63" t="s">
        <v>143</v>
      </c>
      <c r="D673" s="64">
        <v>42588</v>
      </c>
      <c r="E673" s="63" t="s">
        <v>138</v>
      </c>
      <c r="F673" s="65">
        <v>23726</v>
      </c>
      <c r="G673" s="66">
        <v>4.54756860110589E-3</v>
      </c>
      <c r="H673" s="65">
        <v>342</v>
      </c>
      <c r="I673" s="67">
        <v>0.193143941744259</v>
      </c>
      <c r="J673" s="67">
        <v>0.87833532497001598</v>
      </c>
      <c r="K673" s="65">
        <v>11</v>
      </c>
      <c r="L673" s="65">
        <v>4</v>
      </c>
      <c r="M673" s="66">
        <v>1.13636363636364E-2</v>
      </c>
      <c r="N673" s="67">
        <v>334.15244270715499</v>
      </c>
      <c r="O673" s="67">
        <v>111.384147569052</v>
      </c>
      <c r="P673" s="67">
        <v>50.990000620484402</v>
      </c>
      <c r="Q673" s="77">
        <v>0.15259502581332601</v>
      </c>
    </row>
    <row r="674" spans="1:17" x14ac:dyDescent="0.35">
      <c r="A674" s="76" t="s">
        <v>136</v>
      </c>
      <c r="B674" s="63">
        <v>873469</v>
      </c>
      <c r="C674" s="63" t="s">
        <v>143</v>
      </c>
      <c r="D674" s="64">
        <v>42589</v>
      </c>
      <c r="E674" s="63" t="s">
        <v>138</v>
      </c>
      <c r="F674" s="65">
        <v>14648</v>
      </c>
      <c r="G674" s="66">
        <v>5.6532779744582996E-3</v>
      </c>
      <c r="H674" s="65">
        <v>486</v>
      </c>
      <c r="I674" s="67">
        <v>0.21275410139169801</v>
      </c>
      <c r="J674" s="67">
        <v>1.20275807537336</v>
      </c>
      <c r="K674" s="65">
        <v>97</v>
      </c>
      <c r="L674" s="65">
        <v>4</v>
      </c>
      <c r="M674" s="66">
        <v>9.8360655737704892E-3</v>
      </c>
      <c r="N674" s="67">
        <v>180.720819195996</v>
      </c>
      <c r="O674" s="67">
        <v>60.240273065331799</v>
      </c>
      <c r="P674" s="67">
        <v>64.890000924467998</v>
      </c>
      <c r="Q674" s="77">
        <v>0.35906212252221698</v>
      </c>
    </row>
    <row r="675" spans="1:17" x14ac:dyDescent="0.35">
      <c r="A675" s="76" t="s">
        <v>136</v>
      </c>
      <c r="B675" s="63">
        <v>873469</v>
      </c>
      <c r="C675" s="63" t="s">
        <v>143</v>
      </c>
      <c r="D675" s="64">
        <v>42590</v>
      </c>
      <c r="E675" s="63" t="s">
        <v>138</v>
      </c>
      <c r="F675" s="65">
        <v>34444</v>
      </c>
      <c r="G675" s="66">
        <v>5.4035626012102602E-3</v>
      </c>
      <c r="H675" s="65">
        <v>549</v>
      </c>
      <c r="I675" s="67">
        <v>0.20665615644270699</v>
      </c>
      <c r="J675" s="67">
        <v>1.11667947826367</v>
      </c>
      <c r="K675" s="65">
        <v>64</v>
      </c>
      <c r="L675" s="65">
        <v>5</v>
      </c>
      <c r="M675" s="66">
        <v>6.3091482649842304E-3</v>
      </c>
      <c r="N675" s="67">
        <v>471.93482161020501</v>
      </c>
      <c r="O675" s="67">
        <v>235.96741080510199</v>
      </c>
      <c r="P675" s="67">
        <v>65.510001592338099</v>
      </c>
      <c r="Q675" s="77">
        <v>0.138811544714635</v>
      </c>
    </row>
    <row r="676" spans="1:17" x14ac:dyDescent="0.35">
      <c r="A676" s="76" t="s">
        <v>136</v>
      </c>
      <c r="B676" s="63">
        <v>873469</v>
      </c>
      <c r="C676" s="63" t="s">
        <v>143</v>
      </c>
      <c r="D676" s="64">
        <v>42591</v>
      </c>
      <c r="E676" s="63" t="s">
        <v>138</v>
      </c>
      <c r="F676" s="65">
        <v>33025</v>
      </c>
      <c r="G676" s="66">
        <v>5.0587045010705598E-3</v>
      </c>
      <c r="H676" s="65">
        <v>151</v>
      </c>
      <c r="I676" s="67">
        <v>0.198604654711346</v>
      </c>
      <c r="J676" s="67">
        <v>1.00468226072185</v>
      </c>
      <c r="K676" s="65">
        <v>29</v>
      </c>
      <c r="L676" s="65">
        <v>2</v>
      </c>
      <c r="M676" s="66">
        <v>4.65116279069767E-3</v>
      </c>
      <c r="N676" s="67">
        <v>49.922401729504102</v>
      </c>
      <c r="O676" s="67">
        <v>49.922401729504102</v>
      </c>
      <c r="P676" s="67">
        <v>42.700000762939503</v>
      </c>
      <c r="Q676" s="77">
        <v>0.855327453881365</v>
      </c>
    </row>
    <row r="677" spans="1:17" x14ac:dyDescent="0.35">
      <c r="A677" s="76" t="s">
        <v>136</v>
      </c>
      <c r="B677" s="63">
        <v>873469</v>
      </c>
      <c r="C677" s="63" t="s">
        <v>143</v>
      </c>
      <c r="D677" s="64">
        <v>42592</v>
      </c>
      <c r="E677" s="63" t="s">
        <v>138</v>
      </c>
      <c r="F677" s="65">
        <v>66895</v>
      </c>
      <c r="G677" s="66">
        <v>4.8355899419729202E-3</v>
      </c>
      <c r="H677" s="65">
        <v>401</v>
      </c>
      <c r="I677" s="67">
        <v>0.204387100810005</v>
      </c>
      <c r="J677" s="67">
        <v>0.98833220894586504</v>
      </c>
      <c r="K677" s="65">
        <v>59</v>
      </c>
      <c r="L677" s="65">
        <v>8</v>
      </c>
      <c r="M677" s="66">
        <v>2.5806451612903201E-2</v>
      </c>
      <c r="N677" s="67">
        <v>708.785980482475</v>
      </c>
      <c r="O677" s="67">
        <v>177.19649512061901</v>
      </c>
      <c r="P677" s="67">
        <v>31.680000625550701</v>
      </c>
      <c r="Q677" s="77">
        <v>4.46961445315072E-2</v>
      </c>
    </row>
    <row r="678" spans="1:17" x14ac:dyDescent="0.35">
      <c r="A678" s="76" t="s">
        <v>136</v>
      </c>
      <c r="B678" s="63">
        <v>873469</v>
      </c>
      <c r="C678" s="63" t="s">
        <v>143</v>
      </c>
      <c r="D678" s="64">
        <v>42593</v>
      </c>
      <c r="E678" s="63" t="s">
        <v>138</v>
      </c>
      <c r="F678" s="65">
        <v>41459</v>
      </c>
      <c r="G678" s="66">
        <v>6.1573003129677499E-3</v>
      </c>
      <c r="H678" s="65">
        <v>282</v>
      </c>
      <c r="I678" s="67">
        <v>0.17204420070951201</v>
      </c>
      <c r="J678" s="67">
        <v>1.05932781087296</v>
      </c>
      <c r="K678" s="65">
        <v>24</v>
      </c>
      <c r="L678" s="65">
        <v>1</v>
      </c>
      <c r="M678" s="66">
        <v>5.5248618784530402E-3</v>
      </c>
      <c r="N678" s="67">
        <v>112.73495430246599</v>
      </c>
      <c r="O678" s="67">
        <v>112.73495430246599</v>
      </c>
      <c r="P678" s="67">
        <v>31.1400003284216</v>
      </c>
      <c r="Q678" s="77">
        <v>0.27622311572392599</v>
      </c>
    </row>
    <row r="679" spans="1:17" x14ac:dyDescent="0.35">
      <c r="A679" s="76" t="s">
        <v>136</v>
      </c>
      <c r="B679" s="63">
        <v>873469</v>
      </c>
      <c r="C679" s="63" t="s">
        <v>143</v>
      </c>
      <c r="D679" s="64">
        <v>42594</v>
      </c>
      <c r="E679" s="63" t="s">
        <v>138</v>
      </c>
      <c r="F679" s="65">
        <v>40653</v>
      </c>
      <c r="G679" s="66">
        <v>6.2103113547989997E-3</v>
      </c>
      <c r="H679" s="65">
        <v>444</v>
      </c>
      <c r="I679" s="67">
        <v>0.19590090362875301</v>
      </c>
      <c r="J679" s="67">
        <v>1.21660560622103</v>
      </c>
      <c r="K679" s="65">
        <v>68</v>
      </c>
      <c r="L679" s="65">
        <v>1</v>
      </c>
      <c r="M679" s="66">
        <v>0</v>
      </c>
      <c r="N679" s="67">
        <v>0</v>
      </c>
      <c r="O679" s="67">
        <v>0</v>
      </c>
      <c r="P679" s="67">
        <v>43.490000605583198</v>
      </c>
      <c r="Q679" s="77">
        <v>0</v>
      </c>
    </row>
    <row r="680" spans="1:17" x14ac:dyDescent="0.35">
      <c r="A680" s="76" t="s">
        <v>136</v>
      </c>
      <c r="B680" s="63">
        <v>873469</v>
      </c>
      <c r="C680" s="63" t="s">
        <v>143</v>
      </c>
      <c r="D680" s="64">
        <v>42595</v>
      </c>
      <c r="E680" s="63" t="s">
        <v>138</v>
      </c>
      <c r="F680" s="65">
        <v>9382</v>
      </c>
      <c r="G680" s="66">
        <v>5.2235078664779801E-3</v>
      </c>
      <c r="H680" s="65">
        <v>500</v>
      </c>
      <c r="I680" s="67">
        <v>0.18549801133187199</v>
      </c>
      <c r="J680" s="67">
        <v>0.96895032140805404</v>
      </c>
      <c r="K680" s="65">
        <v>68</v>
      </c>
      <c r="L680" s="65">
        <v>2</v>
      </c>
      <c r="M680" s="66">
        <v>7.9681274900398405E-3</v>
      </c>
      <c r="N680" s="67">
        <v>130.02242028949601</v>
      </c>
      <c r="O680" s="67">
        <v>65.011210144748205</v>
      </c>
      <c r="P680" s="67">
        <v>46.5600008442998</v>
      </c>
      <c r="Q680" s="77">
        <v>0.35809209473745701</v>
      </c>
    </row>
    <row r="681" spans="1:17" x14ac:dyDescent="0.35">
      <c r="A681" s="76" t="s">
        <v>136</v>
      </c>
      <c r="B681" s="63">
        <v>873469</v>
      </c>
      <c r="C681" s="63" t="s">
        <v>143</v>
      </c>
      <c r="D681" s="64">
        <v>42596</v>
      </c>
      <c r="E681" s="63" t="s">
        <v>138</v>
      </c>
      <c r="F681" s="65">
        <v>68886</v>
      </c>
      <c r="G681" s="66">
        <v>5.2759530336729896E-3</v>
      </c>
      <c r="H681" s="65">
        <v>295</v>
      </c>
      <c r="I681" s="67">
        <v>0.201617650578127</v>
      </c>
      <c r="J681" s="67">
        <v>1.0637252552096901</v>
      </c>
      <c r="K681" s="65">
        <v>28</v>
      </c>
      <c r="L681" s="65">
        <v>2</v>
      </c>
      <c r="M681" s="66">
        <v>4.9019607843137298E-3</v>
      </c>
      <c r="N681" s="67">
        <v>17.201242251198</v>
      </c>
      <c r="O681" s="67">
        <v>17.201242251198</v>
      </c>
      <c r="P681" s="67">
        <v>41.130000717937897</v>
      </c>
      <c r="Q681" s="77">
        <v>2.3911064164609002</v>
      </c>
    </row>
    <row r="682" spans="1:17" x14ac:dyDescent="0.35">
      <c r="A682" s="76" t="s">
        <v>136</v>
      </c>
      <c r="B682" s="63">
        <v>873469</v>
      </c>
      <c r="C682" s="63" t="s">
        <v>143</v>
      </c>
      <c r="D682" s="64">
        <v>42597</v>
      </c>
      <c r="E682" s="63" t="s">
        <v>138</v>
      </c>
      <c r="F682" s="65">
        <v>49167</v>
      </c>
      <c r="G682" s="66">
        <v>4.9130995516796696E-3</v>
      </c>
      <c r="H682" s="65">
        <v>425</v>
      </c>
      <c r="I682" s="67">
        <v>0.18925000410526999</v>
      </c>
      <c r="J682" s="67">
        <v>0.92980411032497601</v>
      </c>
      <c r="K682" s="65">
        <v>77</v>
      </c>
      <c r="L682" s="65">
        <v>5</v>
      </c>
      <c r="M682" s="66">
        <v>1.2500000000000001E-2</v>
      </c>
      <c r="N682" s="67">
        <v>51.603725109044397</v>
      </c>
      <c r="O682" s="67">
        <v>25.801862554522199</v>
      </c>
      <c r="P682" s="67">
        <v>30.2800006568432</v>
      </c>
      <c r="Q682" s="77">
        <v>0.58677935735953501</v>
      </c>
    </row>
    <row r="683" spans="1:17" x14ac:dyDescent="0.35">
      <c r="A683" s="76" t="s">
        <v>136</v>
      </c>
      <c r="B683" s="63">
        <v>873469</v>
      </c>
      <c r="C683" s="63" t="s">
        <v>143</v>
      </c>
      <c r="D683" s="64">
        <v>42598</v>
      </c>
      <c r="E683" s="63" t="s">
        <v>138</v>
      </c>
      <c r="F683" s="65">
        <v>19704</v>
      </c>
      <c r="G683" s="66">
        <v>6.4587434808137303E-3</v>
      </c>
      <c r="H683" s="65">
        <v>166</v>
      </c>
      <c r="I683" s="67">
        <v>0.220695187860632</v>
      </c>
      <c r="J683" s="67">
        <v>1.4254136058418201</v>
      </c>
      <c r="K683" s="65">
        <v>82</v>
      </c>
      <c r="L683" s="65">
        <v>3</v>
      </c>
      <c r="M683" s="66">
        <v>5.3475935828877002E-3</v>
      </c>
      <c r="N683" s="67">
        <v>34.445594725762597</v>
      </c>
      <c r="O683" s="67">
        <v>34.445594725762597</v>
      </c>
      <c r="P683" s="67">
        <v>41.270000129938097</v>
      </c>
      <c r="Q683" s="77">
        <v>1.19812128251835</v>
      </c>
    </row>
    <row r="684" spans="1:17" x14ac:dyDescent="0.35">
      <c r="A684" s="76" t="s">
        <v>136</v>
      </c>
      <c r="B684" s="63">
        <v>873469</v>
      </c>
      <c r="C684" s="63" t="s">
        <v>143</v>
      </c>
      <c r="D684" s="64">
        <v>42599</v>
      </c>
      <c r="E684" s="63" t="s">
        <v>138</v>
      </c>
      <c r="F684" s="65">
        <v>39031</v>
      </c>
      <c r="G684" s="66">
        <v>5.8770165266437899E-3</v>
      </c>
      <c r="H684" s="65">
        <v>479</v>
      </c>
      <c r="I684" s="67">
        <v>0.162416111602879</v>
      </c>
      <c r="J684" s="67">
        <v>0.954522172083343</v>
      </c>
      <c r="K684" s="65">
        <v>15</v>
      </c>
      <c r="L684" s="65">
        <v>4</v>
      </c>
      <c r="M684" s="66">
        <v>1.34228187919463E-2</v>
      </c>
      <c r="N684" s="67">
        <v>106.742541159735</v>
      </c>
      <c r="O684" s="67">
        <v>53.371270579867499</v>
      </c>
      <c r="P684" s="67">
        <v>24.200000628828999</v>
      </c>
      <c r="Q684" s="77">
        <v>0.22671373911376999</v>
      </c>
    </row>
    <row r="685" spans="1:17" x14ac:dyDescent="0.35">
      <c r="A685" s="76" t="s">
        <v>136</v>
      </c>
      <c r="B685" s="63">
        <v>873469</v>
      </c>
      <c r="C685" s="63" t="s">
        <v>143</v>
      </c>
      <c r="D685" s="64">
        <v>42600</v>
      </c>
      <c r="E685" s="63" t="s">
        <v>138</v>
      </c>
      <c r="F685" s="65">
        <v>31663</v>
      </c>
      <c r="G685" s="66">
        <v>7.0702794242167698E-3</v>
      </c>
      <c r="H685" s="65">
        <v>506</v>
      </c>
      <c r="I685" s="67">
        <v>0.17754491543520001</v>
      </c>
      <c r="J685" s="67">
        <v>1.2552921624758</v>
      </c>
      <c r="K685" s="65">
        <v>99</v>
      </c>
      <c r="L685" s="65">
        <v>1</v>
      </c>
      <c r="M685" s="66">
        <v>0</v>
      </c>
      <c r="N685" s="67">
        <v>0</v>
      </c>
      <c r="O685" s="67">
        <v>0</v>
      </c>
      <c r="P685" s="67">
        <v>29.650000877678401</v>
      </c>
      <c r="Q685" s="77">
        <v>0</v>
      </c>
    </row>
    <row r="686" spans="1:17" x14ac:dyDescent="0.35">
      <c r="A686" s="76" t="s">
        <v>136</v>
      </c>
      <c r="B686" s="63">
        <v>873469</v>
      </c>
      <c r="C686" s="63" t="s">
        <v>143</v>
      </c>
      <c r="D686" s="64">
        <v>42601</v>
      </c>
      <c r="E686" s="63" t="s">
        <v>138</v>
      </c>
      <c r="F686" s="65">
        <v>31892</v>
      </c>
      <c r="G686" s="66">
        <v>6.8720236301163399E-3</v>
      </c>
      <c r="H686" s="65">
        <v>473</v>
      </c>
      <c r="I686" s="67">
        <v>0.14372807486276901</v>
      </c>
      <c r="J686" s="67">
        <v>0.98770272676807802</v>
      </c>
      <c r="K686" s="65">
        <v>33</v>
      </c>
      <c r="L686" s="65">
        <v>2</v>
      </c>
      <c r="M686" s="66">
        <v>4.3859649122806998E-3</v>
      </c>
      <c r="N686" s="67">
        <v>86.1786488603571</v>
      </c>
      <c r="O686" s="67">
        <v>86.1786488603571</v>
      </c>
      <c r="P686" s="67">
        <v>32.770001068711302</v>
      </c>
      <c r="Q686" s="77">
        <v>0.380256612305577</v>
      </c>
    </row>
    <row r="687" spans="1:17" x14ac:dyDescent="0.35">
      <c r="A687" s="76" t="s">
        <v>136</v>
      </c>
      <c r="B687" s="63">
        <v>873469</v>
      </c>
      <c r="C687" s="63" t="s">
        <v>143</v>
      </c>
      <c r="D687" s="64">
        <v>42602</v>
      </c>
      <c r="E687" s="63" t="s">
        <v>138</v>
      </c>
      <c r="F687" s="65">
        <v>10912</v>
      </c>
      <c r="G687" s="66">
        <v>5.49867273416761E-3</v>
      </c>
      <c r="H687" s="65">
        <v>586</v>
      </c>
      <c r="I687" s="67">
        <v>0.14733990634162999</v>
      </c>
      <c r="J687" s="67">
        <v>0.81017392565553203</v>
      </c>
      <c r="K687" s="65">
        <v>72</v>
      </c>
      <c r="L687" s="65">
        <v>3</v>
      </c>
      <c r="M687" s="66">
        <v>0</v>
      </c>
      <c r="N687" s="67">
        <v>0</v>
      </c>
      <c r="O687" s="67">
        <v>0</v>
      </c>
      <c r="P687" s="67">
        <v>29.910000987350902</v>
      </c>
      <c r="Q687" s="77">
        <v>0</v>
      </c>
    </row>
    <row r="688" spans="1:17" x14ac:dyDescent="0.35">
      <c r="A688" s="76" t="s">
        <v>136</v>
      </c>
      <c r="B688" s="63">
        <v>873469</v>
      </c>
      <c r="C688" s="63" t="s">
        <v>143</v>
      </c>
      <c r="D688" s="64">
        <v>42603</v>
      </c>
      <c r="E688" s="63" t="s">
        <v>138</v>
      </c>
      <c r="F688" s="65">
        <v>41056</v>
      </c>
      <c r="G688" s="66">
        <v>5.3869523004165497E-3</v>
      </c>
      <c r="H688" s="65">
        <v>248</v>
      </c>
      <c r="I688" s="67">
        <v>0.17168605201985901</v>
      </c>
      <c r="J688" s="67">
        <v>0.92486457287781698</v>
      </c>
      <c r="K688" s="65">
        <v>67</v>
      </c>
      <c r="L688" s="65">
        <v>3</v>
      </c>
      <c r="M688" s="66">
        <v>1.16279069767442E-2</v>
      </c>
      <c r="N688" s="67">
        <v>115.321607173651</v>
      </c>
      <c r="O688" s="67">
        <v>57.660803586825303</v>
      </c>
      <c r="P688" s="67">
        <v>29.5300009474158</v>
      </c>
      <c r="Q688" s="77">
        <v>0.25606650541168502</v>
      </c>
    </row>
    <row r="689" spans="1:17" x14ac:dyDescent="0.35">
      <c r="A689" s="76" t="s">
        <v>136</v>
      </c>
      <c r="B689" s="63">
        <v>873469</v>
      </c>
      <c r="C689" s="63" t="s">
        <v>143</v>
      </c>
      <c r="D689" s="64">
        <v>42604</v>
      </c>
      <c r="E689" s="63" t="s">
        <v>138</v>
      </c>
      <c r="F689" s="65">
        <v>28386</v>
      </c>
      <c r="G689" s="66">
        <v>5.5947559600851701E-3</v>
      </c>
      <c r="H689" s="65">
        <v>566</v>
      </c>
      <c r="I689" s="67">
        <v>0.141492538042923</v>
      </c>
      <c r="J689" s="67">
        <v>0.79161622052321901</v>
      </c>
      <c r="K689" s="65">
        <v>85</v>
      </c>
      <c r="L689" s="65">
        <v>1</v>
      </c>
      <c r="M689" s="66">
        <v>7.4626865671641798E-3</v>
      </c>
      <c r="N689" s="67">
        <v>34.445594725762597</v>
      </c>
      <c r="O689" s="67">
        <v>34.445594725762597</v>
      </c>
      <c r="P689" s="67">
        <v>18.9600000977516</v>
      </c>
      <c r="Q689" s="77">
        <v>0.55043323387797505</v>
      </c>
    </row>
    <row r="690" spans="1:17" x14ac:dyDescent="0.35">
      <c r="A690" s="76" t="s">
        <v>136</v>
      </c>
      <c r="B690" s="63">
        <v>873469</v>
      </c>
      <c r="C690" s="63" t="s">
        <v>143</v>
      </c>
      <c r="D690" s="64">
        <v>42605</v>
      </c>
      <c r="E690" s="63" t="s">
        <v>138</v>
      </c>
      <c r="F690" s="65">
        <v>24711</v>
      </c>
      <c r="G690" s="66">
        <v>5.40540540540541E-3</v>
      </c>
      <c r="H690" s="65">
        <v>433</v>
      </c>
      <c r="I690" s="67">
        <v>0.127373736464616</v>
      </c>
      <c r="J690" s="67">
        <v>0.68850668359251899</v>
      </c>
      <c r="K690" s="65">
        <v>49</v>
      </c>
      <c r="L690" s="65">
        <v>3</v>
      </c>
      <c r="M690" s="66">
        <v>2.02020202020202E-2</v>
      </c>
      <c r="N690" s="67">
        <v>199.862041233284</v>
      </c>
      <c r="O690" s="67">
        <v>99.931020616642201</v>
      </c>
      <c r="P690" s="67">
        <v>12.609999909997001</v>
      </c>
      <c r="Q690" s="77">
        <v>6.3093521071758904E-2</v>
      </c>
    </row>
    <row r="691" spans="1:17" x14ac:dyDescent="0.35">
      <c r="A691" s="76" t="s">
        <v>136</v>
      </c>
      <c r="B691" s="63">
        <v>873469</v>
      </c>
      <c r="C691" s="63" t="s">
        <v>143</v>
      </c>
      <c r="D691" s="64">
        <v>42606</v>
      </c>
      <c r="E691" s="63" t="s">
        <v>138</v>
      </c>
      <c r="F691" s="65">
        <v>37291</v>
      </c>
      <c r="G691" s="66">
        <v>5.7114721811915301E-3</v>
      </c>
      <c r="H691" s="65">
        <v>397</v>
      </c>
      <c r="I691" s="67">
        <v>0.13724138035342601</v>
      </c>
      <c r="J691" s="67">
        <v>0.78385032599691895</v>
      </c>
      <c r="K691" s="65">
        <v>96</v>
      </c>
      <c r="L691" s="65">
        <v>5</v>
      </c>
      <c r="M691" s="66">
        <v>1.72413793103448E-2</v>
      </c>
      <c r="N691" s="67">
        <v>242.88670855116101</v>
      </c>
      <c r="O691" s="67">
        <v>121.443354275581</v>
      </c>
      <c r="P691" s="67">
        <v>15.9200001209974</v>
      </c>
      <c r="Q691" s="77">
        <v>6.5544962159360301E-2</v>
      </c>
    </row>
    <row r="692" spans="1:17" x14ac:dyDescent="0.35">
      <c r="A692" s="76" t="s">
        <v>136</v>
      </c>
      <c r="B692" s="63">
        <v>873469</v>
      </c>
      <c r="C692" s="63" t="s">
        <v>143</v>
      </c>
      <c r="D692" s="64">
        <v>42607</v>
      </c>
      <c r="E692" s="63" t="s">
        <v>138</v>
      </c>
      <c r="F692" s="65">
        <v>27887</v>
      </c>
      <c r="G692" s="66">
        <v>6.0248447204968901E-3</v>
      </c>
      <c r="H692" s="65">
        <v>177</v>
      </c>
      <c r="I692" s="67">
        <v>0.15525773044714</v>
      </c>
      <c r="J692" s="67">
        <v>0.935403717600781</v>
      </c>
      <c r="K692" s="65">
        <v>88</v>
      </c>
      <c r="L692" s="65">
        <v>2</v>
      </c>
      <c r="M692" s="66">
        <v>1.03092783505155E-2</v>
      </c>
      <c r="N692" s="67">
        <v>76.608034552613503</v>
      </c>
      <c r="O692" s="67">
        <v>76.608034552613503</v>
      </c>
      <c r="P692" s="67">
        <v>15.0599998533726</v>
      </c>
      <c r="Q692" s="77">
        <v>0.19658512245252199</v>
      </c>
    </row>
    <row r="693" spans="1:17" x14ac:dyDescent="0.35">
      <c r="A693" s="76" t="s">
        <v>136</v>
      </c>
      <c r="B693" s="63">
        <v>873469</v>
      </c>
      <c r="C693" s="63" t="s">
        <v>143</v>
      </c>
      <c r="D693" s="64">
        <v>42608</v>
      </c>
      <c r="E693" s="63" t="s">
        <v>138</v>
      </c>
      <c r="F693" s="65">
        <v>8435</v>
      </c>
      <c r="G693" s="66">
        <v>7.0662396421127503E-3</v>
      </c>
      <c r="H693" s="65">
        <v>381</v>
      </c>
      <c r="I693" s="67">
        <v>0.15841726599622999</v>
      </c>
      <c r="J693" s="67">
        <v>1.11941436497768</v>
      </c>
      <c r="K693" s="65">
        <v>38</v>
      </c>
      <c r="L693" s="65">
        <v>3</v>
      </c>
      <c r="M693" s="66">
        <v>0</v>
      </c>
      <c r="N693" s="67">
        <v>0</v>
      </c>
      <c r="O693" s="67">
        <v>0</v>
      </c>
      <c r="P693" s="67">
        <v>22.019999973475901</v>
      </c>
      <c r="Q693" s="77">
        <v>0</v>
      </c>
    </row>
    <row r="694" spans="1:17" x14ac:dyDescent="0.35">
      <c r="A694" s="76" t="s">
        <v>136</v>
      </c>
      <c r="B694" s="63">
        <v>873469</v>
      </c>
      <c r="C694" s="63" t="s">
        <v>143</v>
      </c>
      <c r="D694" s="64">
        <v>42609</v>
      </c>
      <c r="E694" s="63" t="s">
        <v>138</v>
      </c>
      <c r="F694" s="65">
        <v>48374</v>
      </c>
      <c r="G694" s="66">
        <v>3.9563497239250497E-3</v>
      </c>
      <c r="H694" s="65">
        <v>529</v>
      </c>
      <c r="I694" s="67">
        <v>0.13021978244676699</v>
      </c>
      <c r="J694" s="67">
        <v>0.51519500033284604</v>
      </c>
      <c r="K694" s="65">
        <v>36</v>
      </c>
      <c r="L694" s="65">
        <v>0</v>
      </c>
      <c r="M694" s="66">
        <v>0</v>
      </c>
      <c r="N694" s="67">
        <v>0</v>
      </c>
      <c r="O694" s="67">
        <v>0</v>
      </c>
      <c r="P694" s="67">
        <v>11.850000202655799</v>
      </c>
      <c r="Q694" s="77">
        <v>0</v>
      </c>
    </row>
    <row r="695" spans="1:17" x14ac:dyDescent="0.35">
      <c r="A695" s="76" t="s">
        <v>136</v>
      </c>
      <c r="B695" s="63">
        <v>873469</v>
      </c>
      <c r="C695" s="63" t="s">
        <v>143</v>
      </c>
      <c r="D695" s="64">
        <v>42610</v>
      </c>
      <c r="E695" s="63" t="s">
        <v>138</v>
      </c>
      <c r="F695" s="65">
        <v>43551</v>
      </c>
      <c r="G695" s="66">
        <v>6.98662220634354E-3</v>
      </c>
      <c r="H695" s="65">
        <v>440</v>
      </c>
      <c r="I695" s="67">
        <v>0.13045454791493</v>
      </c>
      <c r="J695" s="67">
        <v>0.91143664138095903</v>
      </c>
      <c r="K695" s="65">
        <v>15</v>
      </c>
      <c r="L695" s="65">
        <v>1</v>
      </c>
      <c r="M695" s="66">
        <v>5.6818181818181802E-3</v>
      </c>
      <c r="N695" s="67">
        <v>15.4768070037416</v>
      </c>
      <c r="O695" s="67">
        <v>15.4768070037416</v>
      </c>
      <c r="P695" s="67">
        <v>22.960000433027702</v>
      </c>
      <c r="Q695" s="77">
        <v>1.4835101599106999</v>
      </c>
    </row>
    <row r="696" spans="1:17" x14ac:dyDescent="0.35">
      <c r="A696" s="76" t="s">
        <v>136</v>
      </c>
      <c r="B696" s="63">
        <v>873469</v>
      </c>
      <c r="C696" s="63" t="s">
        <v>143</v>
      </c>
      <c r="D696" s="64">
        <v>42611</v>
      </c>
      <c r="E696" s="63" t="s">
        <v>138</v>
      </c>
      <c r="F696" s="65">
        <v>56754</v>
      </c>
      <c r="G696" s="66">
        <v>7.7236236350492699E-3</v>
      </c>
      <c r="H696" s="65">
        <v>194</v>
      </c>
      <c r="I696" s="67">
        <v>0.137339904280425</v>
      </c>
      <c r="J696" s="67">
        <v>1.0607617307357</v>
      </c>
      <c r="K696" s="65">
        <v>96</v>
      </c>
      <c r="L696" s="65">
        <v>4</v>
      </c>
      <c r="M696" s="66">
        <v>4.92610837438424E-3</v>
      </c>
      <c r="N696" s="67">
        <v>112.82118132739799</v>
      </c>
      <c r="O696" s="67">
        <v>112.82118132739799</v>
      </c>
      <c r="P696" s="67">
        <v>27.880000568926299</v>
      </c>
      <c r="Q696" s="77">
        <v>0.24711672259503201</v>
      </c>
    </row>
    <row r="697" spans="1:17" x14ac:dyDescent="0.35">
      <c r="A697" s="76" t="s">
        <v>136</v>
      </c>
      <c r="B697" s="63">
        <v>873469</v>
      </c>
      <c r="C697" s="63" t="s">
        <v>143</v>
      </c>
      <c r="D697" s="64">
        <v>42612</v>
      </c>
      <c r="E697" s="63" t="s">
        <v>138</v>
      </c>
      <c r="F697" s="65">
        <v>47760</v>
      </c>
      <c r="G697" s="66">
        <v>6.5982404692082096E-3</v>
      </c>
      <c r="H697" s="65">
        <v>397</v>
      </c>
      <c r="I697" s="67">
        <v>0.14921568850286601</v>
      </c>
      <c r="J697" s="67">
        <v>0.98456099452038004</v>
      </c>
      <c r="K697" s="65">
        <v>82</v>
      </c>
      <c r="L697" s="65">
        <v>1</v>
      </c>
      <c r="M697" s="66">
        <v>0</v>
      </c>
      <c r="N697" s="67">
        <v>0</v>
      </c>
      <c r="O697" s="67">
        <v>0</v>
      </c>
      <c r="P697" s="67">
        <v>22.8300003409386</v>
      </c>
      <c r="Q697" s="77">
        <v>0</v>
      </c>
    </row>
    <row r="698" spans="1:17" x14ac:dyDescent="0.35">
      <c r="A698" s="76" t="s">
        <v>136</v>
      </c>
      <c r="B698" s="63">
        <v>873469</v>
      </c>
      <c r="C698" s="63" t="s">
        <v>143</v>
      </c>
      <c r="D698" s="64">
        <v>42613</v>
      </c>
      <c r="E698" s="63" t="s">
        <v>138</v>
      </c>
      <c r="F698" s="65">
        <v>54917</v>
      </c>
      <c r="G698" s="66">
        <v>5.9903587126045703E-3</v>
      </c>
      <c r="H698" s="65">
        <v>227</v>
      </c>
      <c r="I698" s="67">
        <v>0.14035503411963099</v>
      </c>
      <c r="J698" s="67">
        <v>0.84077700149644496</v>
      </c>
      <c r="K698" s="65">
        <v>76</v>
      </c>
      <c r="L698" s="65">
        <v>2</v>
      </c>
      <c r="M698" s="66">
        <v>0</v>
      </c>
      <c r="N698" s="67">
        <v>0</v>
      </c>
      <c r="O698" s="67">
        <v>0</v>
      </c>
      <c r="P698" s="67">
        <v>23.720000766217701</v>
      </c>
      <c r="Q698" s="77">
        <v>0</v>
      </c>
    </row>
    <row r="699" spans="1:17" x14ac:dyDescent="0.35">
      <c r="A699" s="76" t="s">
        <v>136</v>
      </c>
      <c r="B699" s="63">
        <v>873469</v>
      </c>
      <c r="C699" s="63" t="s">
        <v>143</v>
      </c>
      <c r="D699" s="64">
        <v>42614</v>
      </c>
      <c r="E699" s="63" t="s">
        <v>138</v>
      </c>
      <c r="F699" s="65">
        <v>27110</v>
      </c>
      <c r="G699" s="66">
        <v>6.57816406715085E-3</v>
      </c>
      <c r="H699" s="65">
        <v>501</v>
      </c>
      <c r="I699" s="67">
        <v>0.14271493593222401</v>
      </c>
      <c r="J699" s="67">
        <v>0.93880226339509298</v>
      </c>
      <c r="K699" s="65">
        <v>82</v>
      </c>
      <c r="L699" s="65">
        <v>6</v>
      </c>
      <c r="M699" s="66">
        <v>9.0497737556561094E-3</v>
      </c>
      <c r="N699" s="67">
        <v>237.631188444869</v>
      </c>
      <c r="O699" s="67">
        <v>118.815594222434</v>
      </c>
      <c r="P699" s="67">
        <v>31.540000841021499</v>
      </c>
      <c r="Q699" s="77">
        <v>0.13272668898147999</v>
      </c>
    </row>
    <row r="700" spans="1:17" x14ac:dyDescent="0.35">
      <c r="A700" s="76" t="s">
        <v>136</v>
      </c>
      <c r="B700" s="63">
        <v>873469</v>
      </c>
      <c r="C700" s="63" t="s">
        <v>143</v>
      </c>
      <c r="D700" s="64">
        <v>42615</v>
      </c>
      <c r="E700" s="63" t="s">
        <v>138</v>
      </c>
      <c r="F700" s="65">
        <v>38989</v>
      </c>
      <c r="G700" s="66">
        <v>6.1557723407585198E-3</v>
      </c>
      <c r="H700" s="65">
        <v>245</v>
      </c>
      <c r="I700" s="67">
        <v>0.13533898597677901</v>
      </c>
      <c r="J700" s="67">
        <v>0.83311598650216001</v>
      </c>
      <c r="K700" s="65">
        <v>79</v>
      </c>
      <c r="L700" s="65">
        <v>6</v>
      </c>
      <c r="M700" s="66">
        <v>1.6949152542372899E-2</v>
      </c>
      <c r="N700" s="67">
        <v>659.096920781481</v>
      </c>
      <c r="O700" s="67">
        <v>164.77423019537</v>
      </c>
      <c r="P700" s="67">
        <v>31.940000690519799</v>
      </c>
      <c r="Q700" s="77">
        <v>4.8460248687930502E-2</v>
      </c>
    </row>
    <row r="701" spans="1:17" x14ac:dyDescent="0.35">
      <c r="A701" s="76" t="s">
        <v>136</v>
      </c>
      <c r="B701" s="63">
        <v>873469</v>
      </c>
      <c r="C701" s="63" t="s">
        <v>143</v>
      </c>
      <c r="D701" s="64">
        <v>42616</v>
      </c>
      <c r="E701" s="63" t="s">
        <v>138</v>
      </c>
      <c r="F701" s="65">
        <v>66658</v>
      </c>
      <c r="G701" s="66">
        <v>6.6232211730283298E-3</v>
      </c>
      <c r="H701" s="65">
        <v>576</v>
      </c>
      <c r="I701" s="67">
        <v>0.127228917875683</v>
      </c>
      <c r="J701" s="67">
        <v>0.84266526269570297</v>
      </c>
      <c r="K701" s="65">
        <v>79</v>
      </c>
      <c r="L701" s="65">
        <v>2</v>
      </c>
      <c r="M701" s="66">
        <v>0</v>
      </c>
      <c r="N701" s="67">
        <v>0</v>
      </c>
      <c r="O701" s="67">
        <v>0</v>
      </c>
      <c r="P701" s="67">
        <v>31.680000551044898</v>
      </c>
      <c r="Q701" s="77">
        <v>0</v>
      </c>
    </row>
    <row r="702" spans="1:17" x14ac:dyDescent="0.35">
      <c r="A702" s="76" t="s">
        <v>136</v>
      </c>
      <c r="B702" s="63">
        <v>873469</v>
      </c>
      <c r="C702" s="63" t="s">
        <v>143</v>
      </c>
      <c r="D702" s="64">
        <v>42617</v>
      </c>
      <c r="E702" s="63" t="s">
        <v>138</v>
      </c>
      <c r="F702" s="65">
        <v>46106</v>
      </c>
      <c r="G702" s="66">
        <v>5.7997557997558E-3</v>
      </c>
      <c r="H702" s="65">
        <v>411</v>
      </c>
      <c r="I702" s="67">
        <v>0.12906432922994901</v>
      </c>
      <c r="J702" s="67">
        <v>0.74854159199298798</v>
      </c>
      <c r="K702" s="65">
        <v>31</v>
      </c>
      <c r="L702" s="65">
        <v>3</v>
      </c>
      <c r="M702" s="66">
        <v>1.7543859649122799E-2</v>
      </c>
      <c r="N702" s="67">
        <v>170.826353885076</v>
      </c>
      <c r="O702" s="67">
        <v>56.942117961692098</v>
      </c>
      <c r="P702" s="67">
        <v>22.070000298321201</v>
      </c>
      <c r="Q702" s="77">
        <v>0.12919552397148801</v>
      </c>
    </row>
    <row r="703" spans="1:17" x14ac:dyDescent="0.35">
      <c r="A703" s="76" t="s">
        <v>136</v>
      </c>
      <c r="B703" s="63">
        <v>873469</v>
      </c>
      <c r="C703" s="63" t="s">
        <v>143</v>
      </c>
      <c r="D703" s="64">
        <v>42618</v>
      </c>
      <c r="E703" s="63" t="s">
        <v>138</v>
      </c>
      <c r="F703" s="65">
        <v>49149</v>
      </c>
      <c r="G703" s="66">
        <v>6.3442830960101504E-3</v>
      </c>
      <c r="H703" s="65">
        <v>460</v>
      </c>
      <c r="I703" s="67">
        <v>0.13205555735362901</v>
      </c>
      <c r="J703" s="67">
        <v>0.837797840252827</v>
      </c>
      <c r="K703" s="65">
        <v>38</v>
      </c>
      <c r="L703" s="65">
        <v>2</v>
      </c>
      <c r="M703" s="66">
        <v>1.1111111111111099E-2</v>
      </c>
      <c r="N703" s="67">
        <v>148.73445428272501</v>
      </c>
      <c r="O703" s="67">
        <v>74.367227141362406</v>
      </c>
      <c r="P703" s="67">
        <v>23.7700003236532</v>
      </c>
      <c r="Q703" s="77">
        <v>0.15981502361564201</v>
      </c>
    </row>
    <row r="704" spans="1:17" x14ac:dyDescent="0.35">
      <c r="A704" s="76" t="s">
        <v>136</v>
      </c>
      <c r="B704" s="63">
        <v>873469</v>
      </c>
      <c r="C704" s="63" t="s">
        <v>143</v>
      </c>
      <c r="D704" s="64">
        <v>42619</v>
      </c>
      <c r="E704" s="63" t="s">
        <v>138</v>
      </c>
      <c r="F704" s="65">
        <v>56244</v>
      </c>
      <c r="G704" s="66">
        <v>5.6439349631535896E-3</v>
      </c>
      <c r="H704" s="65">
        <v>333</v>
      </c>
      <c r="I704" s="67">
        <v>0.148549223965314</v>
      </c>
      <c r="J704" s="67">
        <v>0.83840215888716696</v>
      </c>
      <c r="K704" s="65">
        <v>58</v>
      </c>
      <c r="L704" s="65">
        <v>3</v>
      </c>
      <c r="M704" s="66">
        <v>5.1813471502590702E-3</v>
      </c>
      <c r="N704" s="67">
        <v>98.685952487766897</v>
      </c>
      <c r="O704" s="67">
        <v>98.685952487766897</v>
      </c>
      <c r="P704" s="67">
        <v>28.6700002253056</v>
      </c>
      <c r="Q704" s="77">
        <v>0.29051754077014602</v>
      </c>
    </row>
    <row r="705" spans="1:17" x14ac:dyDescent="0.35">
      <c r="A705" s="76" t="s">
        <v>136</v>
      </c>
      <c r="B705" s="63">
        <v>873469</v>
      </c>
      <c r="C705" s="63" t="s">
        <v>143</v>
      </c>
      <c r="D705" s="64">
        <v>42620</v>
      </c>
      <c r="E705" s="63" t="s">
        <v>138</v>
      </c>
      <c r="F705" s="65">
        <v>26572</v>
      </c>
      <c r="G705" s="66">
        <v>6.58402579121827E-3</v>
      </c>
      <c r="H705" s="65">
        <v>330</v>
      </c>
      <c r="I705" s="67">
        <v>0.14124138113753501</v>
      </c>
      <c r="J705" s="67">
        <v>0.92993689619682396</v>
      </c>
      <c r="K705" s="65">
        <v>86</v>
      </c>
      <c r="L705" s="65">
        <v>1</v>
      </c>
      <c r="M705" s="66">
        <v>6.8965517241379301E-3</v>
      </c>
      <c r="N705" s="67">
        <v>96.878030226758199</v>
      </c>
      <c r="O705" s="67">
        <v>96.878030226758199</v>
      </c>
      <c r="P705" s="67">
        <v>20.4800002649426</v>
      </c>
      <c r="Q705" s="77">
        <v>0.21139984181146099</v>
      </c>
    </row>
    <row r="706" spans="1:17" x14ac:dyDescent="0.35">
      <c r="A706" s="76" t="s">
        <v>136</v>
      </c>
      <c r="B706" s="63">
        <v>873469</v>
      </c>
      <c r="C706" s="63" t="s">
        <v>143</v>
      </c>
      <c r="D706" s="64">
        <v>42621</v>
      </c>
      <c r="E706" s="63" t="s">
        <v>138</v>
      </c>
      <c r="F706" s="65">
        <v>46329</v>
      </c>
      <c r="G706" s="66">
        <v>7.5573672880501997E-3</v>
      </c>
      <c r="H706" s="65">
        <v>154</v>
      </c>
      <c r="I706" s="67">
        <v>0.146363637618946</v>
      </c>
      <c r="J706" s="67">
        <v>1.1061237671014601</v>
      </c>
      <c r="K706" s="65">
        <v>38</v>
      </c>
      <c r="L706" s="65">
        <v>3</v>
      </c>
      <c r="M706" s="66">
        <v>1.8181818181818198E-2</v>
      </c>
      <c r="N706" s="67">
        <v>338.962876888187</v>
      </c>
      <c r="O706" s="67">
        <v>112.98762562939601</v>
      </c>
      <c r="P706" s="67">
        <v>24.150000207126102</v>
      </c>
      <c r="Q706" s="77">
        <v>7.1246740731116795E-2</v>
      </c>
    </row>
    <row r="707" spans="1:17" x14ac:dyDescent="0.35">
      <c r="A707" s="76" t="s">
        <v>136</v>
      </c>
      <c r="B707" s="63">
        <v>873469</v>
      </c>
      <c r="C707" s="63" t="s">
        <v>143</v>
      </c>
      <c r="D707" s="64">
        <v>42622</v>
      </c>
      <c r="E707" s="63" t="s">
        <v>138</v>
      </c>
      <c r="F707" s="65">
        <v>56548</v>
      </c>
      <c r="G707" s="66">
        <v>7.38022100769937E-3</v>
      </c>
      <c r="H707" s="65">
        <v>505</v>
      </c>
      <c r="I707" s="67">
        <v>0.14281081134403101</v>
      </c>
      <c r="J707" s="67">
        <v>1.05397535000781</v>
      </c>
      <c r="K707" s="65">
        <v>32</v>
      </c>
      <c r="L707" s="65">
        <v>1</v>
      </c>
      <c r="M707" s="66">
        <v>5.40540540540541E-3</v>
      </c>
      <c r="N707" s="67">
        <v>198.209718670077</v>
      </c>
      <c r="O707" s="67">
        <v>198.209718670077</v>
      </c>
      <c r="P707" s="67">
        <v>26.420000098645701</v>
      </c>
      <c r="Q707" s="77">
        <v>0.13329316178800599</v>
      </c>
    </row>
    <row r="708" spans="1:17" x14ac:dyDescent="0.35">
      <c r="A708" s="76" t="s">
        <v>136</v>
      </c>
      <c r="B708" s="63">
        <v>873469</v>
      </c>
      <c r="C708" s="63" t="s">
        <v>143</v>
      </c>
      <c r="D708" s="64">
        <v>42623</v>
      </c>
      <c r="E708" s="63" t="s">
        <v>138</v>
      </c>
      <c r="F708" s="65">
        <v>29514</v>
      </c>
      <c r="G708" s="66">
        <v>6.14934793706781E-3</v>
      </c>
      <c r="H708" s="65">
        <v>491</v>
      </c>
      <c r="I708" s="67">
        <v>0.152566040714957</v>
      </c>
      <c r="J708" s="67">
        <v>0.93818166773712197</v>
      </c>
      <c r="K708" s="65">
        <v>70</v>
      </c>
      <c r="L708" s="65">
        <v>5</v>
      </c>
      <c r="M708" s="66">
        <v>7.5471698113207496E-3</v>
      </c>
      <c r="N708" s="67">
        <v>113.546168092424</v>
      </c>
      <c r="O708" s="67">
        <v>56.773084046212198</v>
      </c>
      <c r="P708" s="67">
        <v>40.430000789463499</v>
      </c>
      <c r="Q708" s="77">
        <v>0.35606662442852599</v>
      </c>
    </row>
    <row r="709" spans="1:17" x14ac:dyDescent="0.35">
      <c r="A709" s="76" t="s">
        <v>136</v>
      </c>
      <c r="B709" s="63">
        <v>873469</v>
      </c>
      <c r="C709" s="63" t="s">
        <v>143</v>
      </c>
      <c r="D709" s="64">
        <v>42624</v>
      </c>
      <c r="E709" s="63" t="s">
        <v>138</v>
      </c>
      <c r="F709" s="65">
        <v>34116</v>
      </c>
      <c r="G709" s="66">
        <v>5.7030438338601603E-3</v>
      </c>
      <c r="H709" s="65">
        <v>158</v>
      </c>
      <c r="I709" s="67">
        <v>0.186899225898953</v>
      </c>
      <c r="J709" s="67">
        <v>1.06589447781626</v>
      </c>
      <c r="K709" s="65">
        <v>78</v>
      </c>
      <c r="L709" s="65">
        <v>2</v>
      </c>
      <c r="M709" s="66">
        <v>3.8759689922480598E-3</v>
      </c>
      <c r="N709" s="67">
        <v>307.34632683658202</v>
      </c>
      <c r="O709" s="67">
        <v>307.34632683658202</v>
      </c>
      <c r="P709" s="67">
        <v>48.220000281929998</v>
      </c>
      <c r="Q709" s="77">
        <v>0.15689141555145</v>
      </c>
    </row>
    <row r="710" spans="1:17" x14ac:dyDescent="0.35">
      <c r="A710" s="76" t="s">
        <v>136</v>
      </c>
      <c r="B710" s="63">
        <v>873469</v>
      </c>
      <c r="C710" s="63" t="s">
        <v>143</v>
      </c>
      <c r="D710" s="64">
        <v>42625</v>
      </c>
      <c r="E710" s="63" t="s">
        <v>138</v>
      </c>
      <c r="F710" s="65">
        <v>27695</v>
      </c>
      <c r="G710" s="66">
        <v>5.7927122392077701E-3</v>
      </c>
      <c r="H710" s="65">
        <v>156</v>
      </c>
      <c r="I710" s="67">
        <v>0.19887966925425199</v>
      </c>
      <c r="J710" s="67">
        <v>1.1520526942186999</v>
      </c>
      <c r="K710" s="65">
        <v>76</v>
      </c>
      <c r="L710" s="65">
        <v>1</v>
      </c>
      <c r="M710" s="66">
        <v>0</v>
      </c>
      <c r="N710" s="67">
        <v>0</v>
      </c>
      <c r="O710" s="67">
        <v>0</v>
      </c>
      <c r="P710" s="67">
        <v>47.930000290274599</v>
      </c>
      <c r="Q710" s="77">
        <v>0</v>
      </c>
    </row>
    <row r="711" spans="1:17" x14ac:dyDescent="0.35">
      <c r="A711" s="76" t="s">
        <v>136</v>
      </c>
      <c r="B711" s="63">
        <v>873469</v>
      </c>
      <c r="C711" s="63" t="s">
        <v>143</v>
      </c>
      <c r="D711" s="64">
        <v>42626</v>
      </c>
      <c r="E711" s="63" t="s">
        <v>138</v>
      </c>
      <c r="F711" s="65">
        <v>25958</v>
      </c>
      <c r="G711" s="66">
        <v>5.8131783152449304E-3</v>
      </c>
      <c r="H711" s="65">
        <v>465</v>
      </c>
      <c r="I711" s="67">
        <v>0.20169724756424601</v>
      </c>
      <c r="J711" s="67">
        <v>1.17250206578506</v>
      </c>
      <c r="K711" s="65">
        <v>60</v>
      </c>
      <c r="L711" s="65">
        <v>1</v>
      </c>
      <c r="M711" s="66">
        <v>4.5871559633027499E-3</v>
      </c>
      <c r="N711" s="67">
        <v>182.33530293676699</v>
      </c>
      <c r="O711" s="67">
        <v>182.33530293676699</v>
      </c>
      <c r="P711" s="67">
        <v>43.969999969005599</v>
      </c>
      <c r="Q711" s="77">
        <v>0.24114913163170701</v>
      </c>
    </row>
    <row r="712" spans="1:17" x14ac:dyDescent="0.35">
      <c r="A712" s="76" t="s">
        <v>136</v>
      </c>
      <c r="B712" s="63">
        <v>873469</v>
      </c>
      <c r="C712" s="63" t="s">
        <v>143</v>
      </c>
      <c r="D712" s="64">
        <v>42627</v>
      </c>
      <c r="E712" s="63" t="s">
        <v>138</v>
      </c>
      <c r="F712" s="65">
        <v>15603</v>
      </c>
      <c r="G712" s="66">
        <v>6.0407667386609097E-3</v>
      </c>
      <c r="H712" s="65">
        <v>233</v>
      </c>
      <c r="I712" s="67">
        <v>0.18916201283478901</v>
      </c>
      <c r="J712" s="67">
        <v>1.1426835953505401</v>
      </c>
      <c r="K712" s="65">
        <v>36</v>
      </c>
      <c r="L712" s="65">
        <v>0</v>
      </c>
      <c r="M712" s="66">
        <v>0</v>
      </c>
      <c r="N712" s="67">
        <v>0</v>
      </c>
      <c r="O712" s="67">
        <v>0</v>
      </c>
      <c r="P712" s="67">
        <v>33.860000297427199</v>
      </c>
      <c r="Q712" s="77">
        <v>0</v>
      </c>
    </row>
    <row r="713" spans="1:17" x14ac:dyDescent="0.35">
      <c r="A713" s="76" t="s">
        <v>136</v>
      </c>
      <c r="B713" s="63">
        <v>873469</v>
      </c>
      <c r="C713" s="63" t="s">
        <v>143</v>
      </c>
      <c r="D713" s="64">
        <v>42628</v>
      </c>
      <c r="E713" s="63" t="s">
        <v>138</v>
      </c>
      <c r="F713" s="65">
        <v>3735</v>
      </c>
      <c r="G713" s="66">
        <v>5.9193765922373699E-3</v>
      </c>
      <c r="H713" s="65">
        <v>565</v>
      </c>
      <c r="I713" s="67">
        <v>0.203164558008879</v>
      </c>
      <c r="J713" s="67">
        <v>1.20260752905001</v>
      </c>
      <c r="K713" s="65">
        <v>60</v>
      </c>
      <c r="L713" s="65">
        <v>4</v>
      </c>
      <c r="M713" s="66">
        <v>1.8987341772151899E-2</v>
      </c>
      <c r="N713" s="67">
        <v>169.194813011836</v>
      </c>
      <c r="O713" s="67">
        <v>56.398271003945403</v>
      </c>
      <c r="P713" s="67">
        <v>32.100000165402903</v>
      </c>
      <c r="Q713" s="77">
        <v>0.18972212914799799</v>
      </c>
    </row>
    <row r="714" spans="1:17" x14ac:dyDescent="0.35">
      <c r="A714" s="76" t="s">
        <v>136</v>
      </c>
      <c r="B714" s="63">
        <v>873469</v>
      </c>
      <c r="C714" s="63" t="s">
        <v>143</v>
      </c>
      <c r="D714" s="64">
        <v>42629</v>
      </c>
      <c r="E714" s="63" t="s">
        <v>138</v>
      </c>
      <c r="F714" s="65">
        <v>14819</v>
      </c>
      <c r="G714" s="66">
        <v>5.8983163491360202E-3</v>
      </c>
      <c r="H714" s="65">
        <v>199</v>
      </c>
      <c r="I714" s="67">
        <v>0.22169014020984701</v>
      </c>
      <c r="J714" s="67">
        <v>1.3075985784419999</v>
      </c>
      <c r="K714" s="65">
        <v>77</v>
      </c>
      <c r="L714" s="65">
        <v>1</v>
      </c>
      <c r="M714" s="66">
        <v>4.6948356807511703E-3</v>
      </c>
      <c r="N714" s="67">
        <v>21.959608094655898</v>
      </c>
      <c r="O714" s="67">
        <v>21.959608094655898</v>
      </c>
      <c r="P714" s="67">
        <v>47.219999864697499</v>
      </c>
      <c r="Q714" s="77">
        <v>2.15031159304655</v>
      </c>
    </row>
    <row r="715" spans="1:17" x14ac:dyDescent="0.35">
      <c r="A715" s="76" t="s">
        <v>136</v>
      </c>
      <c r="B715" s="63">
        <v>873469</v>
      </c>
      <c r="C715" s="63" t="s">
        <v>143</v>
      </c>
      <c r="D715" s="64">
        <v>42630</v>
      </c>
      <c r="E715" s="63" t="s">
        <v>138</v>
      </c>
      <c r="F715" s="65">
        <v>27542</v>
      </c>
      <c r="G715" s="66">
        <v>4.8761070753308797E-3</v>
      </c>
      <c r="H715" s="65">
        <v>343</v>
      </c>
      <c r="I715" s="67">
        <v>0.22285714608674101</v>
      </c>
      <c r="J715" s="67">
        <v>1.08667530682161</v>
      </c>
      <c r="K715" s="65">
        <v>62</v>
      </c>
      <c r="L715" s="65">
        <v>3</v>
      </c>
      <c r="M715" s="66">
        <v>5.1020408163265302E-3</v>
      </c>
      <c r="N715" s="67">
        <v>156.71575707579299</v>
      </c>
      <c r="O715" s="67">
        <v>156.71575707579299</v>
      </c>
      <c r="P715" s="67">
        <v>43.680000633001299</v>
      </c>
      <c r="Q715" s="77">
        <v>0.278721179337928</v>
      </c>
    </row>
    <row r="716" spans="1:17" x14ac:dyDescent="0.35">
      <c r="A716" s="76" t="s">
        <v>136</v>
      </c>
      <c r="B716" s="63">
        <v>873469</v>
      </c>
      <c r="C716" s="63" t="s">
        <v>143</v>
      </c>
      <c r="D716" s="64">
        <v>42631</v>
      </c>
      <c r="E716" s="63" t="s">
        <v>138</v>
      </c>
      <c r="F716" s="65">
        <v>46579</v>
      </c>
      <c r="G716" s="66">
        <v>5.31681648761237E-3</v>
      </c>
      <c r="H716" s="65">
        <v>587</v>
      </c>
      <c r="I716" s="67">
        <v>0.25190721905415803</v>
      </c>
      <c r="J716" s="67">
        <v>1.3393444556157299</v>
      </c>
      <c r="K716" s="65">
        <v>71</v>
      </c>
      <c r="L716" s="65">
        <v>5</v>
      </c>
      <c r="M716" s="66">
        <v>2.57731958762887E-2</v>
      </c>
      <c r="N716" s="67">
        <v>526.67783065514698</v>
      </c>
      <c r="O716" s="67">
        <v>105.335566131029</v>
      </c>
      <c r="P716" s="67">
        <v>48.870000496506698</v>
      </c>
      <c r="Q716" s="77">
        <v>9.2789173289705706E-2</v>
      </c>
    </row>
    <row r="717" spans="1:17" x14ac:dyDescent="0.35">
      <c r="A717" s="76" t="s">
        <v>136</v>
      </c>
      <c r="B717" s="63">
        <v>873469</v>
      </c>
      <c r="C717" s="63" t="s">
        <v>143</v>
      </c>
      <c r="D717" s="64">
        <v>42632</v>
      </c>
      <c r="E717" s="63" t="s">
        <v>138</v>
      </c>
      <c r="F717" s="65">
        <v>46627</v>
      </c>
      <c r="G717" s="66">
        <v>6.1277743571700799E-3</v>
      </c>
      <c r="H717" s="65">
        <v>369</v>
      </c>
      <c r="I717" s="67">
        <v>0.231626794989885</v>
      </c>
      <c r="J717" s="67">
        <v>1.41935673477251</v>
      </c>
      <c r="K717" s="65">
        <v>11</v>
      </c>
      <c r="L717" s="65">
        <v>1</v>
      </c>
      <c r="M717" s="66">
        <v>4.78468899521531E-3</v>
      </c>
      <c r="N717" s="67">
        <v>53.532058173506897</v>
      </c>
      <c r="O717" s="67">
        <v>53.532058173506897</v>
      </c>
      <c r="P717" s="67">
        <v>48.4100001528859</v>
      </c>
      <c r="Q717" s="77">
        <v>0.90431793218150802</v>
      </c>
    </row>
    <row r="718" spans="1:17" x14ac:dyDescent="0.35">
      <c r="A718" s="76" t="s">
        <v>136</v>
      </c>
      <c r="B718" s="63">
        <v>873469</v>
      </c>
      <c r="C718" s="63" t="s">
        <v>143</v>
      </c>
      <c r="D718" s="64">
        <v>42633</v>
      </c>
      <c r="E718" s="63" t="s">
        <v>138</v>
      </c>
      <c r="F718" s="65">
        <v>54498</v>
      </c>
      <c r="G718" s="66">
        <v>4.9517937955007498E-3</v>
      </c>
      <c r="H718" s="65">
        <v>503</v>
      </c>
      <c r="I718" s="67">
        <v>0.236158942248648</v>
      </c>
      <c r="J718" s="67">
        <v>1.16941038497887</v>
      </c>
      <c r="K718" s="65">
        <v>23</v>
      </c>
      <c r="L718" s="65">
        <v>4</v>
      </c>
      <c r="M718" s="66">
        <v>1.3245033112582801E-2</v>
      </c>
      <c r="N718" s="67">
        <v>185.86295760595701</v>
      </c>
      <c r="O718" s="67">
        <v>92.931478802978503</v>
      </c>
      <c r="P718" s="67">
        <v>35.660000279545798</v>
      </c>
      <c r="Q718" s="77">
        <v>0.19186179289768801</v>
      </c>
    </row>
    <row r="719" spans="1:17" x14ac:dyDescent="0.35">
      <c r="A719" s="76" t="s">
        <v>136</v>
      </c>
      <c r="B719" s="63">
        <v>873469</v>
      </c>
      <c r="C719" s="63" t="s">
        <v>143</v>
      </c>
      <c r="D719" s="64">
        <v>42634</v>
      </c>
      <c r="E719" s="63" t="s">
        <v>138</v>
      </c>
      <c r="F719" s="65">
        <v>2055</v>
      </c>
      <c r="G719" s="66">
        <v>6.4834622346552602E-3</v>
      </c>
      <c r="H719" s="65">
        <v>341</v>
      </c>
      <c r="I719" s="67">
        <v>0.240507615853082</v>
      </c>
      <c r="J719" s="67">
        <v>1.5593220445304301</v>
      </c>
      <c r="K719" s="65">
        <v>50</v>
      </c>
      <c r="L719" s="65">
        <v>1</v>
      </c>
      <c r="M719" s="66">
        <v>5.0761421319797002E-3</v>
      </c>
      <c r="N719" s="67">
        <v>17.5941447772638</v>
      </c>
      <c r="O719" s="67">
        <v>17.5941447772638</v>
      </c>
      <c r="P719" s="67">
        <v>47.380000323057203</v>
      </c>
      <c r="Q719" s="77">
        <v>2.6929413690106898</v>
      </c>
    </row>
    <row r="720" spans="1:17" x14ac:dyDescent="0.35">
      <c r="A720" s="76" t="s">
        <v>136</v>
      </c>
      <c r="B720" s="63">
        <v>873469</v>
      </c>
      <c r="C720" s="63" t="s">
        <v>143</v>
      </c>
      <c r="D720" s="64">
        <v>42635</v>
      </c>
      <c r="E720" s="63" t="s">
        <v>138</v>
      </c>
      <c r="F720" s="65">
        <v>42911</v>
      </c>
      <c r="G720" s="66">
        <v>6.5736021862766803E-3</v>
      </c>
      <c r="H720" s="65">
        <v>459</v>
      </c>
      <c r="I720" s="67">
        <v>0.23168539393986201</v>
      </c>
      <c r="J720" s="67">
        <v>1.52300761213145</v>
      </c>
      <c r="K720" s="65">
        <v>30</v>
      </c>
      <c r="L720" s="65">
        <v>1</v>
      </c>
      <c r="M720" s="66">
        <v>0</v>
      </c>
      <c r="N720" s="67">
        <v>0</v>
      </c>
      <c r="O720" s="67">
        <v>0</v>
      </c>
      <c r="P720" s="67">
        <v>41.240000121295502</v>
      </c>
      <c r="Q720" s="77">
        <v>0</v>
      </c>
    </row>
    <row r="721" spans="1:17" x14ac:dyDescent="0.35">
      <c r="A721" s="76" t="s">
        <v>136</v>
      </c>
      <c r="B721" s="63">
        <v>873469</v>
      </c>
      <c r="C721" s="63" t="s">
        <v>143</v>
      </c>
      <c r="D721" s="64">
        <v>42636</v>
      </c>
      <c r="E721" s="63" t="s">
        <v>138</v>
      </c>
      <c r="F721" s="65">
        <v>39374</v>
      </c>
      <c r="G721" s="66">
        <v>6.6738553900853896E-3</v>
      </c>
      <c r="H721" s="65">
        <v>371</v>
      </c>
      <c r="I721" s="67">
        <v>0.25786026463107797</v>
      </c>
      <c r="J721" s="67">
        <v>1.72092211699696</v>
      </c>
      <c r="K721" s="65">
        <v>95</v>
      </c>
      <c r="L721" s="65">
        <v>2</v>
      </c>
      <c r="M721" s="66">
        <v>8.7336244541484694E-3</v>
      </c>
      <c r="N721" s="67">
        <v>188.20001898393099</v>
      </c>
      <c r="O721" s="67">
        <v>94.100009491965295</v>
      </c>
      <c r="P721" s="67">
        <v>59.050000600516803</v>
      </c>
      <c r="Q721" s="77">
        <v>0.31376192690798199</v>
      </c>
    </row>
    <row r="722" spans="1:17" x14ac:dyDescent="0.35">
      <c r="A722" s="76" t="s">
        <v>136</v>
      </c>
      <c r="B722" s="63">
        <v>873469</v>
      </c>
      <c r="C722" s="63" t="s">
        <v>143</v>
      </c>
      <c r="D722" s="64">
        <v>42637</v>
      </c>
      <c r="E722" s="63" t="s">
        <v>138</v>
      </c>
      <c r="F722" s="65">
        <v>13655</v>
      </c>
      <c r="G722" s="66">
        <v>4.8544867593873602E-3</v>
      </c>
      <c r="H722" s="65">
        <v>183</v>
      </c>
      <c r="I722" s="67">
        <v>0.22855000317096699</v>
      </c>
      <c r="J722" s="67">
        <v>1.1094929642514</v>
      </c>
      <c r="K722" s="65">
        <v>22</v>
      </c>
      <c r="L722" s="65">
        <v>5</v>
      </c>
      <c r="M722" s="66">
        <v>0.01</v>
      </c>
      <c r="N722" s="67">
        <v>85.2367913494855</v>
      </c>
      <c r="O722" s="67">
        <v>42.6183956747428</v>
      </c>
      <c r="P722" s="67">
        <v>45.710000634193399</v>
      </c>
      <c r="Q722" s="77">
        <v>0.53627078061601996</v>
      </c>
    </row>
    <row r="723" spans="1:17" x14ac:dyDescent="0.35">
      <c r="A723" s="76" t="s">
        <v>136</v>
      </c>
      <c r="B723" s="63">
        <v>873469</v>
      </c>
      <c r="C723" s="63" t="s">
        <v>143</v>
      </c>
      <c r="D723" s="64">
        <v>42638</v>
      </c>
      <c r="E723" s="63" t="s">
        <v>138</v>
      </c>
      <c r="F723" s="65">
        <v>2178</v>
      </c>
      <c r="G723" s="66">
        <v>5.7944294462369096E-3</v>
      </c>
      <c r="H723" s="65">
        <v>502</v>
      </c>
      <c r="I723" s="67">
        <v>0.274128793682339</v>
      </c>
      <c r="J723" s="67">
        <v>1.58841995417435</v>
      </c>
      <c r="K723" s="65">
        <v>69</v>
      </c>
      <c r="L723" s="65">
        <v>4</v>
      </c>
      <c r="M723" s="66">
        <v>1.13636363636364E-2</v>
      </c>
      <c r="N723" s="67">
        <v>412.99937694242402</v>
      </c>
      <c r="O723" s="67">
        <v>137.66645898080799</v>
      </c>
      <c r="P723" s="67">
        <v>72.370001532137394</v>
      </c>
      <c r="Q723" s="77">
        <v>0.17523029227772</v>
      </c>
    </row>
    <row r="724" spans="1:17" x14ac:dyDescent="0.35">
      <c r="A724" s="76" t="s">
        <v>136</v>
      </c>
      <c r="B724" s="63">
        <v>873469</v>
      </c>
      <c r="C724" s="63" t="s">
        <v>143</v>
      </c>
      <c r="D724" s="64">
        <v>42639</v>
      </c>
      <c r="E724" s="63" t="s">
        <v>138</v>
      </c>
      <c r="F724" s="65">
        <v>48235</v>
      </c>
      <c r="G724" s="66">
        <v>3.9382787784879598E-3</v>
      </c>
      <c r="H724" s="65">
        <v>405</v>
      </c>
      <c r="I724" s="67">
        <v>0.314480885578309</v>
      </c>
      <c r="J724" s="67">
        <v>1.23851339791316</v>
      </c>
      <c r="K724" s="65">
        <v>77</v>
      </c>
      <c r="L724" s="65">
        <v>4</v>
      </c>
      <c r="M724" s="66">
        <v>2.1857923497267801E-2</v>
      </c>
      <c r="N724" s="67">
        <v>256.28361734345998</v>
      </c>
      <c r="O724" s="67">
        <v>64.070904335865094</v>
      </c>
      <c r="P724" s="67">
        <v>57.5500020608306</v>
      </c>
      <c r="Q724" s="77">
        <v>0.22455591448791101</v>
      </c>
    </row>
    <row r="725" spans="1:17" x14ac:dyDescent="0.35">
      <c r="A725" s="76" t="s">
        <v>136</v>
      </c>
      <c r="B725" s="63">
        <v>873469</v>
      </c>
      <c r="C725" s="63" t="s">
        <v>143</v>
      </c>
      <c r="D725" s="64">
        <v>42640</v>
      </c>
      <c r="E725" s="63" t="s">
        <v>138</v>
      </c>
      <c r="F725" s="65">
        <v>8909</v>
      </c>
      <c r="G725" s="66">
        <v>4.8524736460483003E-3</v>
      </c>
      <c r="H725" s="65">
        <v>378</v>
      </c>
      <c r="I725" s="67">
        <v>0.28488506882012599</v>
      </c>
      <c r="J725" s="67">
        <v>1.3823972886023199</v>
      </c>
      <c r="K725" s="65">
        <v>22</v>
      </c>
      <c r="L725" s="65">
        <v>4</v>
      </c>
      <c r="M725" s="66">
        <v>5.74712643678161E-3</v>
      </c>
      <c r="N725" s="67">
        <v>52.826529258205198</v>
      </c>
      <c r="O725" s="67">
        <v>52.826529258205198</v>
      </c>
      <c r="P725" s="67">
        <v>49.570001974701903</v>
      </c>
      <c r="Q725" s="77">
        <v>0.93835432065608304</v>
      </c>
    </row>
    <row r="726" spans="1:17" x14ac:dyDescent="0.35">
      <c r="A726" s="76" t="s">
        <v>136</v>
      </c>
      <c r="B726" s="63">
        <v>873469</v>
      </c>
      <c r="C726" s="63" t="s">
        <v>143</v>
      </c>
      <c r="D726" s="64">
        <v>42641</v>
      </c>
      <c r="E726" s="63" t="s">
        <v>138</v>
      </c>
      <c r="F726" s="65">
        <v>10310</v>
      </c>
      <c r="G726" s="66">
        <v>4.4703230653643901E-3</v>
      </c>
      <c r="H726" s="65">
        <v>588</v>
      </c>
      <c r="I726" s="67">
        <v>0.243613448714008</v>
      </c>
      <c r="J726" s="67">
        <v>1.0890308188191899</v>
      </c>
      <c r="K726" s="65">
        <v>79</v>
      </c>
      <c r="L726" s="65">
        <v>1</v>
      </c>
      <c r="M726" s="66">
        <v>0</v>
      </c>
      <c r="N726" s="67">
        <v>0</v>
      </c>
      <c r="O726" s="67">
        <v>0</v>
      </c>
      <c r="P726" s="67">
        <v>28.990000396966899</v>
      </c>
      <c r="Q726" s="77">
        <v>0</v>
      </c>
    </row>
    <row r="727" spans="1:17" x14ac:dyDescent="0.35">
      <c r="A727" s="76" t="s">
        <v>136</v>
      </c>
      <c r="B727" s="63">
        <v>873469</v>
      </c>
      <c r="C727" s="63" t="s">
        <v>143</v>
      </c>
      <c r="D727" s="64">
        <v>42642</v>
      </c>
      <c r="E727" s="63" t="s">
        <v>138</v>
      </c>
      <c r="F727" s="65">
        <v>45950</v>
      </c>
      <c r="G727" s="66">
        <v>6.5273072791869804E-3</v>
      </c>
      <c r="H727" s="65">
        <v>364</v>
      </c>
      <c r="I727" s="67">
        <v>0.25493671287652803</v>
      </c>
      <c r="J727" s="67">
        <v>1.66405026169096</v>
      </c>
      <c r="K727" s="65">
        <v>25</v>
      </c>
      <c r="L727" s="65">
        <v>0</v>
      </c>
      <c r="M727" s="66">
        <v>0</v>
      </c>
      <c r="N727" s="67">
        <v>0</v>
      </c>
      <c r="O727" s="67">
        <v>0</v>
      </c>
      <c r="P727" s="67">
        <v>40.280000634491401</v>
      </c>
      <c r="Q727" s="77">
        <v>0</v>
      </c>
    </row>
    <row r="728" spans="1:17" x14ac:dyDescent="0.35">
      <c r="A728" s="76" t="s">
        <v>136</v>
      </c>
      <c r="B728" s="63">
        <v>873469</v>
      </c>
      <c r="C728" s="63" t="s">
        <v>143</v>
      </c>
      <c r="D728" s="64">
        <v>42643</v>
      </c>
      <c r="E728" s="63" t="s">
        <v>138</v>
      </c>
      <c r="F728" s="65">
        <v>30249</v>
      </c>
      <c r="G728" s="66">
        <v>5.1423437935627803E-3</v>
      </c>
      <c r="H728" s="65">
        <v>410</v>
      </c>
      <c r="I728" s="67">
        <v>0.25819277386349399</v>
      </c>
      <c r="J728" s="67">
        <v>1.3277160082196899</v>
      </c>
      <c r="K728" s="65">
        <v>64</v>
      </c>
      <c r="L728" s="65">
        <v>4</v>
      </c>
      <c r="M728" s="66">
        <v>1.8072289156626498E-2</v>
      </c>
      <c r="N728" s="67">
        <v>211.35020523078001</v>
      </c>
      <c r="O728" s="67">
        <v>70.450068410260101</v>
      </c>
      <c r="P728" s="67">
        <v>42.86000046134</v>
      </c>
      <c r="Q728" s="77">
        <v>0.20279138321412901</v>
      </c>
    </row>
    <row r="729" spans="1:17" x14ac:dyDescent="0.35">
      <c r="A729" s="76" t="s">
        <v>136</v>
      </c>
      <c r="B729" s="63">
        <v>873469</v>
      </c>
      <c r="C729" s="63" t="s">
        <v>143</v>
      </c>
      <c r="D729" s="64">
        <v>42644</v>
      </c>
      <c r="E729" s="63" t="s">
        <v>138</v>
      </c>
      <c r="F729" s="65">
        <v>10857</v>
      </c>
      <c r="G729" s="66">
        <v>4.08563033440604E-3</v>
      </c>
      <c r="H729" s="65">
        <v>422</v>
      </c>
      <c r="I729" s="67">
        <v>0.27780822587952197</v>
      </c>
      <c r="J729" s="67">
        <v>1.1350217148009001</v>
      </c>
      <c r="K729" s="65">
        <v>11</v>
      </c>
      <c r="L729" s="65">
        <v>1</v>
      </c>
      <c r="M729" s="66">
        <v>0</v>
      </c>
      <c r="N729" s="67">
        <v>0</v>
      </c>
      <c r="O729" s="67">
        <v>0</v>
      </c>
      <c r="P729" s="67">
        <v>40.560000978410201</v>
      </c>
      <c r="Q729" s="77">
        <v>0</v>
      </c>
    </row>
    <row r="730" spans="1:17" x14ac:dyDescent="0.35">
      <c r="A730" s="76" t="s">
        <v>136</v>
      </c>
      <c r="B730" s="63">
        <v>873469</v>
      </c>
      <c r="C730" s="63" t="s">
        <v>143</v>
      </c>
      <c r="D730" s="64">
        <v>42645</v>
      </c>
      <c r="E730" s="63" t="s">
        <v>138</v>
      </c>
      <c r="F730" s="65">
        <v>23987</v>
      </c>
      <c r="G730" s="66">
        <v>4.21726736694131E-3</v>
      </c>
      <c r="H730" s="65">
        <v>414</v>
      </c>
      <c r="I730" s="67">
        <v>0.30546296967400399</v>
      </c>
      <c r="J730" s="67">
        <v>1.2882190138151599</v>
      </c>
      <c r="K730" s="65">
        <v>61</v>
      </c>
      <c r="L730" s="65">
        <v>0</v>
      </c>
      <c r="M730" s="66">
        <v>0</v>
      </c>
      <c r="N730" s="67">
        <v>0</v>
      </c>
      <c r="O730" s="67">
        <v>0</v>
      </c>
      <c r="P730" s="67">
        <v>32.990000724792502</v>
      </c>
      <c r="Q730" s="77">
        <v>0</v>
      </c>
    </row>
    <row r="731" spans="1:17" x14ac:dyDescent="0.35">
      <c r="A731" s="76" t="s">
        <v>136</v>
      </c>
      <c r="B731" s="63">
        <v>873469</v>
      </c>
      <c r="C731" s="63" t="s">
        <v>143</v>
      </c>
      <c r="D731" s="64">
        <v>42646</v>
      </c>
      <c r="E731" s="63" t="s">
        <v>138</v>
      </c>
      <c r="F731" s="65">
        <v>22344</v>
      </c>
      <c r="G731" s="66">
        <v>3.9871926538995999E-3</v>
      </c>
      <c r="H731" s="65">
        <v>349</v>
      </c>
      <c r="I731" s="67">
        <v>0.282121217837839</v>
      </c>
      <c r="J731" s="67">
        <v>1.12487164727224</v>
      </c>
      <c r="K731" s="65">
        <v>11</v>
      </c>
      <c r="L731" s="65">
        <v>1</v>
      </c>
      <c r="M731" s="66">
        <v>1.5151515151515201E-2</v>
      </c>
      <c r="N731" s="67">
        <v>37.071403996941903</v>
      </c>
      <c r="O731" s="67">
        <v>37.071403996941903</v>
      </c>
      <c r="P731" s="67">
        <v>18.620000377297401</v>
      </c>
      <c r="Q731" s="77">
        <v>0.50227394621561705</v>
      </c>
    </row>
    <row r="732" spans="1:17" x14ac:dyDescent="0.35">
      <c r="A732" s="76" t="s">
        <v>136</v>
      </c>
      <c r="B732" s="63">
        <v>873469</v>
      </c>
      <c r="C732" s="63" t="s">
        <v>143</v>
      </c>
      <c r="D732" s="64">
        <v>42647</v>
      </c>
      <c r="E732" s="63" t="s">
        <v>138</v>
      </c>
      <c r="F732" s="65">
        <v>34950</v>
      </c>
      <c r="G732" s="66">
        <v>3.6545083983414201E-3</v>
      </c>
      <c r="H732" s="65">
        <v>303</v>
      </c>
      <c r="I732" s="67">
        <v>0.35307692378186301</v>
      </c>
      <c r="J732" s="67">
        <v>1.2903225832213701</v>
      </c>
      <c r="K732" s="65">
        <v>94</v>
      </c>
      <c r="L732" s="65">
        <v>1</v>
      </c>
      <c r="M732" s="66">
        <v>1.9230769230769201E-2</v>
      </c>
      <c r="N732" s="67">
        <v>83.7751882747948</v>
      </c>
      <c r="O732" s="67">
        <v>83.7751882747948</v>
      </c>
      <c r="P732" s="67">
        <v>18.360000036656899</v>
      </c>
      <c r="Q732" s="77">
        <v>0.21915796806607399</v>
      </c>
    </row>
    <row r="733" spans="1:17" x14ac:dyDescent="0.35">
      <c r="A733" s="76" t="s">
        <v>136</v>
      </c>
      <c r="B733" s="63">
        <v>873469</v>
      </c>
      <c r="C733" s="63" t="s">
        <v>143</v>
      </c>
      <c r="D733" s="64">
        <v>42648</v>
      </c>
      <c r="E733" s="63" t="s">
        <v>138</v>
      </c>
      <c r="F733" s="65">
        <v>626</v>
      </c>
      <c r="G733" s="66">
        <v>5.9637404580152702E-3</v>
      </c>
      <c r="H733" s="65">
        <v>392</v>
      </c>
      <c r="I733" s="67">
        <v>0.26973333736260702</v>
      </c>
      <c r="J733" s="67">
        <v>1.6086196169048601</v>
      </c>
      <c r="K733" s="65">
        <v>25</v>
      </c>
      <c r="L733" s="65">
        <v>2</v>
      </c>
      <c r="M733" s="66">
        <v>2.66666666666667E-2</v>
      </c>
      <c r="N733" s="67">
        <v>432.30823342898702</v>
      </c>
      <c r="O733" s="67">
        <v>216.15411671449399</v>
      </c>
      <c r="P733" s="67">
        <v>20.230000302195499</v>
      </c>
      <c r="Q733" s="77">
        <v>4.6795315790622301E-2</v>
      </c>
    </row>
    <row r="734" spans="1:17" x14ac:dyDescent="0.35">
      <c r="A734" s="76" t="s">
        <v>136</v>
      </c>
      <c r="B734" s="63">
        <v>873469</v>
      </c>
      <c r="C734" s="63" t="s">
        <v>143</v>
      </c>
      <c r="D734" s="64">
        <v>42649</v>
      </c>
      <c r="E734" s="63" t="s">
        <v>138</v>
      </c>
      <c r="F734" s="65">
        <v>47611</v>
      </c>
      <c r="G734" s="66">
        <v>5.2116234996841398E-3</v>
      </c>
      <c r="H734" s="65">
        <v>282</v>
      </c>
      <c r="I734" s="67">
        <v>0.26666666770523201</v>
      </c>
      <c r="J734" s="67">
        <v>1.3897662719950501</v>
      </c>
      <c r="K734" s="65">
        <v>63</v>
      </c>
      <c r="L734" s="65">
        <v>8</v>
      </c>
      <c r="M734" s="66">
        <v>4.5454545454545497E-2</v>
      </c>
      <c r="N734" s="67">
        <v>325.38000371777201</v>
      </c>
      <c r="O734" s="67">
        <v>108.460001239257</v>
      </c>
      <c r="P734" s="67">
        <v>17.600000068545299</v>
      </c>
      <c r="Q734" s="77">
        <v>5.4090601350570998E-2</v>
      </c>
    </row>
    <row r="735" spans="1:17" x14ac:dyDescent="0.35">
      <c r="A735" s="76" t="s">
        <v>136</v>
      </c>
      <c r="B735" s="63">
        <v>873469</v>
      </c>
      <c r="C735" s="63" t="s">
        <v>143</v>
      </c>
      <c r="D735" s="64">
        <v>42650</v>
      </c>
      <c r="E735" s="63" t="s">
        <v>138</v>
      </c>
      <c r="F735" s="65">
        <v>1317</v>
      </c>
      <c r="G735" s="66">
        <v>5.9224605584034199E-3</v>
      </c>
      <c r="H735" s="65">
        <v>483</v>
      </c>
      <c r="I735" s="67">
        <v>0.30016807347786501</v>
      </c>
      <c r="J735" s="67">
        <v>1.7777335760646</v>
      </c>
      <c r="K735" s="65">
        <v>18</v>
      </c>
      <c r="L735" s="65">
        <v>7</v>
      </c>
      <c r="M735" s="66">
        <v>5.0420168067226899E-2</v>
      </c>
      <c r="N735" s="67">
        <v>1252.51856150245</v>
      </c>
      <c r="O735" s="67">
        <v>208.75309358374099</v>
      </c>
      <c r="P735" s="67">
        <v>35.720000743866002</v>
      </c>
      <c r="Q735" s="77">
        <v>2.85185400374573E-2</v>
      </c>
    </row>
    <row r="736" spans="1:17" x14ac:dyDescent="0.35">
      <c r="A736" s="76" t="s">
        <v>136</v>
      </c>
      <c r="B736" s="63">
        <v>873469</v>
      </c>
      <c r="C736" s="63" t="s">
        <v>143</v>
      </c>
      <c r="D736" s="64">
        <v>42651</v>
      </c>
      <c r="E736" s="63" t="s">
        <v>138</v>
      </c>
      <c r="F736" s="65">
        <v>58157</v>
      </c>
      <c r="G736" s="66">
        <v>4.5274476513865302E-3</v>
      </c>
      <c r="H736" s="65">
        <v>518</v>
      </c>
      <c r="I736" s="67">
        <v>0.29572916698331603</v>
      </c>
      <c r="J736" s="67">
        <v>1.3388983225051101</v>
      </c>
      <c r="K736" s="65">
        <v>64</v>
      </c>
      <c r="L736" s="65">
        <v>4</v>
      </c>
      <c r="M736" s="66">
        <v>3.125E-2</v>
      </c>
      <c r="N736" s="67">
        <v>434.384941001291</v>
      </c>
      <c r="O736" s="67">
        <v>144.79498033376399</v>
      </c>
      <c r="P736" s="67">
        <v>28.390000030398401</v>
      </c>
      <c r="Q736" s="77">
        <v>6.5356777711854497E-2</v>
      </c>
    </row>
    <row r="737" spans="1:17" x14ac:dyDescent="0.35">
      <c r="A737" s="76" t="s">
        <v>136</v>
      </c>
      <c r="B737" s="63">
        <v>873469</v>
      </c>
      <c r="C737" s="63" t="s">
        <v>143</v>
      </c>
      <c r="D737" s="64">
        <v>42652</v>
      </c>
      <c r="E737" s="63" t="s">
        <v>138</v>
      </c>
      <c r="F737" s="65">
        <v>20402</v>
      </c>
      <c r="G737" s="66">
        <v>4.4024075666380096E-3</v>
      </c>
      <c r="H737" s="65">
        <v>400</v>
      </c>
      <c r="I737" s="67">
        <v>0.29585937818046698</v>
      </c>
      <c r="J737" s="67">
        <v>1.3024935651625</v>
      </c>
      <c r="K737" s="65">
        <v>81</v>
      </c>
      <c r="L737" s="65">
        <v>4</v>
      </c>
      <c r="M737" s="66">
        <v>7.8125E-3</v>
      </c>
      <c r="N737" s="67">
        <v>211.95652713283499</v>
      </c>
      <c r="O737" s="67">
        <v>211.95652713283499</v>
      </c>
      <c r="P737" s="67">
        <v>37.870000407099702</v>
      </c>
      <c r="Q737" s="77">
        <v>0.17866871532277201</v>
      </c>
    </row>
    <row r="738" spans="1:17" x14ac:dyDescent="0.35">
      <c r="A738" s="76" t="s">
        <v>136</v>
      </c>
      <c r="B738" s="63">
        <v>873469</v>
      </c>
      <c r="C738" s="63" t="s">
        <v>143</v>
      </c>
      <c r="D738" s="64">
        <v>42653</v>
      </c>
      <c r="E738" s="63" t="s">
        <v>138</v>
      </c>
      <c r="F738" s="65">
        <v>43894</v>
      </c>
      <c r="G738" s="66">
        <v>3.76048597049465E-3</v>
      </c>
      <c r="H738" s="65">
        <v>424</v>
      </c>
      <c r="I738" s="67">
        <v>0.31807692475043797</v>
      </c>
      <c r="J738" s="67">
        <v>1.1961238130620999</v>
      </c>
      <c r="K738" s="65">
        <v>55</v>
      </c>
      <c r="L738" s="65">
        <v>6</v>
      </c>
      <c r="M738" s="66">
        <v>7.6923076923076901E-3</v>
      </c>
      <c r="N738" s="67">
        <v>45.90844888913</v>
      </c>
      <c r="O738" s="67">
        <v>45.90844888913</v>
      </c>
      <c r="P738" s="67">
        <v>41.350000217557003</v>
      </c>
      <c r="Q738" s="77">
        <v>0.90070567004819202</v>
      </c>
    </row>
    <row r="739" spans="1:17" x14ac:dyDescent="0.35">
      <c r="A739" s="76" t="s">
        <v>136</v>
      </c>
      <c r="B739" s="63">
        <v>873469</v>
      </c>
      <c r="C739" s="63" t="s">
        <v>143</v>
      </c>
      <c r="D739" s="64">
        <v>42654</v>
      </c>
      <c r="E739" s="63" t="s">
        <v>138</v>
      </c>
      <c r="F739" s="65">
        <v>59545</v>
      </c>
      <c r="G739" s="66">
        <v>4.7556517727224299E-3</v>
      </c>
      <c r="H739" s="65">
        <v>512</v>
      </c>
      <c r="I739" s="67">
        <v>0.34238806044432701</v>
      </c>
      <c r="J739" s="67">
        <v>1.6282783866110599</v>
      </c>
      <c r="K739" s="65">
        <v>22</v>
      </c>
      <c r="L739" s="65">
        <v>5</v>
      </c>
      <c r="M739" s="66">
        <v>2.2388059701492501E-2</v>
      </c>
      <c r="N739" s="67">
        <v>283.27148008700499</v>
      </c>
      <c r="O739" s="67">
        <v>94.423826695668396</v>
      </c>
      <c r="P739" s="67">
        <v>45.880000099539799</v>
      </c>
      <c r="Q739" s="77">
        <v>0.161964769928296</v>
      </c>
    </row>
    <row r="740" spans="1:17" x14ac:dyDescent="0.35">
      <c r="A740" s="76" t="s">
        <v>136</v>
      </c>
      <c r="B740" s="63">
        <v>873469</v>
      </c>
      <c r="C740" s="63" t="s">
        <v>143</v>
      </c>
      <c r="D740" s="64">
        <v>42655</v>
      </c>
      <c r="E740" s="63" t="s">
        <v>138</v>
      </c>
      <c r="F740" s="65">
        <v>50119</v>
      </c>
      <c r="G740" s="66">
        <v>4.2395912599195599E-3</v>
      </c>
      <c r="H740" s="65">
        <v>284</v>
      </c>
      <c r="I740" s="67">
        <v>0.32756410567806299</v>
      </c>
      <c r="J740" s="67">
        <v>1.3887379194960801</v>
      </c>
      <c r="K740" s="65">
        <v>37</v>
      </c>
      <c r="L740" s="65">
        <v>3</v>
      </c>
      <c r="M740" s="66">
        <v>1.2820512820512799E-2</v>
      </c>
      <c r="N740" s="67">
        <v>119.16755576486</v>
      </c>
      <c r="O740" s="67">
        <v>119.16755576486</v>
      </c>
      <c r="P740" s="67">
        <v>25.550000242888899</v>
      </c>
      <c r="Q740" s="77">
        <v>0.21440399678335201</v>
      </c>
    </row>
    <row r="741" spans="1:17" x14ac:dyDescent="0.35">
      <c r="A741" s="76" t="s">
        <v>136</v>
      </c>
      <c r="B741" s="63">
        <v>873469</v>
      </c>
      <c r="C741" s="63" t="s">
        <v>143</v>
      </c>
      <c r="D741" s="64">
        <v>42656</v>
      </c>
      <c r="E741" s="63" t="s">
        <v>138</v>
      </c>
      <c r="F741" s="65">
        <v>63633</v>
      </c>
      <c r="G741" s="66">
        <v>4.1697691734921801E-3</v>
      </c>
      <c r="H741" s="65">
        <v>195</v>
      </c>
      <c r="I741" s="67">
        <v>0.32428572074111001</v>
      </c>
      <c r="J741" s="67">
        <v>1.35219660174998</v>
      </c>
      <c r="K741" s="65">
        <v>47</v>
      </c>
      <c r="L741" s="65">
        <v>0</v>
      </c>
      <c r="M741" s="66">
        <v>0</v>
      </c>
      <c r="N741" s="67">
        <v>0</v>
      </c>
      <c r="O741" s="67">
        <v>0</v>
      </c>
      <c r="P741" s="67">
        <v>18.160000361502199</v>
      </c>
      <c r="Q741" s="77">
        <v>0</v>
      </c>
    </row>
    <row r="742" spans="1:17" x14ac:dyDescent="0.35">
      <c r="A742" s="76" t="s">
        <v>136</v>
      </c>
      <c r="B742" s="63">
        <v>873469</v>
      </c>
      <c r="C742" s="63" t="s">
        <v>143</v>
      </c>
      <c r="D742" s="64">
        <v>42657</v>
      </c>
      <c r="E742" s="63" t="s">
        <v>138</v>
      </c>
      <c r="F742" s="65">
        <v>36051</v>
      </c>
      <c r="G742" s="66">
        <v>4.7553976496310501E-3</v>
      </c>
      <c r="H742" s="65">
        <v>218</v>
      </c>
      <c r="I742" s="67">
        <v>0.26793104084743902</v>
      </c>
      <c r="J742" s="67">
        <v>1.27411864190911</v>
      </c>
      <c r="K742" s="65">
        <v>46</v>
      </c>
      <c r="L742" s="65">
        <v>1</v>
      </c>
      <c r="M742" s="66">
        <v>1.1494252873563199E-2</v>
      </c>
      <c r="N742" s="67">
        <v>132.51148546150799</v>
      </c>
      <c r="O742" s="67">
        <v>132.51148546150799</v>
      </c>
      <c r="P742" s="67">
        <v>23.3100005537272</v>
      </c>
      <c r="Q742" s="77">
        <v>0.17590928418426299</v>
      </c>
    </row>
    <row r="743" spans="1:17" x14ac:dyDescent="0.35">
      <c r="A743" s="76" t="s">
        <v>136</v>
      </c>
      <c r="B743" s="63">
        <v>873469</v>
      </c>
      <c r="C743" s="63" t="s">
        <v>143</v>
      </c>
      <c r="D743" s="64">
        <v>42658</v>
      </c>
      <c r="E743" s="63" t="s">
        <v>138</v>
      </c>
      <c r="F743" s="65">
        <v>10464</v>
      </c>
      <c r="G743" s="66">
        <v>3.8577182731037601E-3</v>
      </c>
      <c r="H743" s="65">
        <v>516</v>
      </c>
      <c r="I743" s="67">
        <v>0.361617653356756</v>
      </c>
      <c r="J743" s="67">
        <v>1.3950190292312601</v>
      </c>
      <c r="K743" s="65">
        <v>79</v>
      </c>
      <c r="L743" s="65">
        <v>6</v>
      </c>
      <c r="M743" s="66">
        <v>7.3529411764705899E-3</v>
      </c>
      <c r="N743" s="67">
        <v>50.282786784976103</v>
      </c>
      <c r="O743" s="67">
        <v>50.282786784976103</v>
      </c>
      <c r="P743" s="67">
        <v>49.180000856518703</v>
      </c>
      <c r="Q743" s="77">
        <v>0.97806832120953902</v>
      </c>
    </row>
    <row r="744" spans="1:17" x14ac:dyDescent="0.35">
      <c r="A744" s="76" t="s">
        <v>136</v>
      </c>
      <c r="B744" s="63">
        <v>873469</v>
      </c>
      <c r="C744" s="63" t="s">
        <v>143</v>
      </c>
      <c r="D744" s="64">
        <v>42659</v>
      </c>
      <c r="E744" s="63" t="s">
        <v>138</v>
      </c>
      <c r="F744" s="65">
        <v>24920</v>
      </c>
      <c r="G744" s="66">
        <v>3.46756518041153E-3</v>
      </c>
      <c r="H744" s="65">
        <v>525</v>
      </c>
      <c r="I744" s="67">
        <v>0.34443396941389698</v>
      </c>
      <c r="J744" s="67">
        <v>1.1943472392905601</v>
      </c>
      <c r="K744" s="65">
        <v>48</v>
      </c>
      <c r="L744" s="65">
        <v>5</v>
      </c>
      <c r="M744" s="66">
        <v>3.77358490566038E-2</v>
      </c>
      <c r="N744" s="67">
        <v>291.887595485823</v>
      </c>
      <c r="O744" s="67">
        <v>72.971898871455906</v>
      </c>
      <c r="P744" s="67">
        <v>36.510000757873101</v>
      </c>
      <c r="Q744" s="77">
        <v>0.125082399260938</v>
      </c>
    </row>
    <row r="745" spans="1:17" x14ac:dyDescent="0.35">
      <c r="A745" s="76" t="s">
        <v>136</v>
      </c>
      <c r="B745" s="63">
        <v>873469</v>
      </c>
      <c r="C745" s="63" t="s">
        <v>143</v>
      </c>
      <c r="D745" s="64">
        <v>42660</v>
      </c>
      <c r="E745" s="63" t="s">
        <v>138</v>
      </c>
      <c r="F745" s="65">
        <v>64410</v>
      </c>
      <c r="G745" s="66">
        <v>5.01172957986778E-3</v>
      </c>
      <c r="H745" s="65">
        <v>596</v>
      </c>
      <c r="I745" s="67">
        <v>0.41092199969587601</v>
      </c>
      <c r="J745" s="67">
        <v>2.05942994089424</v>
      </c>
      <c r="K745" s="65">
        <v>78</v>
      </c>
      <c r="L745" s="65">
        <v>2</v>
      </c>
      <c r="M745" s="66">
        <v>7.09219858156028E-3</v>
      </c>
      <c r="N745" s="67">
        <v>252.91623560183001</v>
      </c>
      <c r="O745" s="67">
        <v>252.91623560183001</v>
      </c>
      <c r="P745" s="67">
        <v>57.940001957118497</v>
      </c>
      <c r="Q745" s="77">
        <v>0.22908771285183199</v>
      </c>
    </row>
    <row r="746" spans="1:17" x14ac:dyDescent="0.35">
      <c r="A746" s="76" t="s">
        <v>136</v>
      </c>
      <c r="B746" s="63">
        <v>873469</v>
      </c>
      <c r="C746" s="63" t="s">
        <v>143</v>
      </c>
      <c r="D746" s="64">
        <v>42661</v>
      </c>
      <c r="E746" s="63" t="s">
        <v>138</v>
      </c>
      <c r="F746" s="65">
        <v>42224</v>
      </c>
      <c r="G746" s="66">
        <v>3.64170171922197E-3</v>
      </c>
      <c r="H746" s="65">
        <v>252</v>
      </c>
      <c r="I746" s="67">
        <v>0.39434110482995799</v>
      </c>
      <c r="J746" s="67">
        <v>1.4360726794191501</v>
      </c>
      <c r="K746" s="65">
        <v>54</v>
      </c>
      <c r="L746" s="65">
        <v>3</v>
      </c>
      <c r="M746" s="66">
        <v>1.5503875968992199E-2</v>
      </c>
      <c r="N746" s="67">
        <v>135.03004864948599</v>
      </c>
      <c r="O746" s="67">
        <v>67.515024324742797</v>
      </c>
      <c r="P746" s="67">
        <v>50.870002523064599</v>
      </c>
      <c r="Q746" s="77">
        <v>0.37673097974743602</v>
      </c>
    </row>
    <row r="747" spans="1:17" x14ac:dyDescent="0.35">
      <c r="A747" s="76" t="s">
        <v>136</v>
      </c>
      <c r="B747" s="63">
        <v>873469</v>
      </c>
      <c r="C747" s="63" t="s">
        <v>143</v>
      </c>
      <c r="D747" s="64">
        <v>42662</v>
      </c>
      <c r="E747" s="63" t="s">
        <v>138</v>
      </c>
      <c r="F747" s="65">
        <v>67336</v>
      </c>
      <c r="G747" s="66">
        <v>3.9765057823501499E-3</v>
      </c>
      <c r="H747" s="65">
        <v>272</v>
      </c>
      <c r="I747" s="67">
        <v>0.39899084224886799</v>
      </c>
      <c r="J747" s="67">
        <v>1.5865893913073801</v>
      </c>
      <c r="K747" s="65">
        <v>60</v>
      </c>
      <c r="L747" s="65">
        <v>3</v>
      </c>
      <c r="M747" s="66">
        <v>2.7522935779816501E-2</v>
      </c>
      <c r="N747" s="67">
        <v>316.14527764696197</v>
      </c>
      <c r="O747" s="67">
        <v>105.381759215654</v>
      </c>
      <c r="P747" s="67">
        <v>43.490001805126703</v>
      </c>
      <c r="Q747" s="77">
        <v>0.13756334470284801</v>
      </c>
    </row>
    <row r="748" spans="1:17" x14ac:dyDescent="0.35">
      <c r="A748" s="76" t="s">
        <v>136</v>
      </c>
      <c r="B748" s="63">
        <v>873469</v>
      </c>
      <c r="C748" s="63" t="s">
        <v>143</v>
      </c>
      <c r="D748" s="64">
        <v>42663</v>
      </c>
      <c r="E748" s="63" t="s">
        <v>138</v>
      </c>
      <c r="F748" s="65">
        <v>66501</v>
      </c>
      <c r="G748" s="66">
        <v>4.5521690633384604E-3</v>
      </c>
      <c r="H748" s="65">
        <v>344</v>
      </c>
      <c r="I748" s="67">
        <v>0.39364240515903098</v>
      </c>
      <c r="J748" s="67">
        <v>1.7919267787830899</v>
      </c>
      <c r="K748" s="65">
        <v>32</v>
      </c>
      <c r="L748" s="65">
        <v>0</v>
      </c>
      <c r="M748" s="66">
        <v>0</v>
      </c>
      <c r="N748" s="67">
        <v>0</v>
      </c>
      <c r="O748" s="67">
        <v>0</v>
      </c>
      <c r="P748" s="67">
        <v>59.440003179013701</v>
      </c>
      <c r="Q748" s="77">
        <v>0</v>
      </c>
    </row>
    <row r="749" spans="1:17" x14ac:dyDescent="0.35">
      <c r="A749" s="76" t="s">
        <v>136</v>
      </c>
      <c r="B749" s="63">
        <v>873469</v>
      </c>
      <c r="C749" s="63" t="s">
        <v>143</v>
      </c>
      <c r="D749" s="64">
        <v>42664</v>
      </c>
      <c r="E749" s="63" t="s">
        <v>138</v>
      </c>
      <c r="F749" s="65">
        <v>47490</v>
      </c>
      <c r="G749" s="66">
        <v>4.77047000860249E-3</v>
      </c>
      <c r="H749" s="65">
        <v>209</v>
      </c>
      <c r="I749" s="67">
        <v>0.426147566009007</v>
      </c>
      <c r="J749" s="67">
        <v>2.0329241828849201</v>
      </c>
      <c r="K749" s="65">
        <v>53</v>
      </c>
      <c r="L749" s="65">
        <v>3</v>
      </c>
      <c r="M749" s="66">
        <v>1.2295081967213101E-2</v>
      </c>
      <c r="N749" s="67">
        <v>569.28242925790198</v>
      </c>
      <c r="O749" s="67">
        <v>189.760809752634</v>
      </c>
      <c r="P749" s="67">
        <v>103.980006106198</v>
      </c>
      <c r="Q749" s="77">
        <v>0.18265100196705999</v>
      </c>
    </row>
    <row r="750" spans="1:17" x14ac:dyDescent="0.35">
      <c r="A750" s="76" t="s">
        <v>136</v>
      </c>
      <c r="B750" s="63">
        <v>873469</v>
      </c>
      <c r="C750" s="63" t="s">
        <v>143</v>
      </c>
      <c r="D750" s="64">
        <v>42665</v>
      </c>
      <c r="E750" s="63" t="s">
        <v>138</v>
      </c>
      <c r="F750" s="65">
        <v>17744</v>
      </c>
      <c r="G750" s="66">
        <v>3.56649468550001E-3</v>
      </c>
      <c r="H750" s="65">
        <v>438</v>
      </c>
      <c r="I750" s="67">
        <v>0.36893282468493299</v>
      </c>
      <c r="J750" s="67">
        <v>1.31579695854532</v>
      </c>
      <c r="K750" s="65">
        <v>78</v>
      </c>
      <c r="L750" s="65">
        <v>4</v>
      </c>
      <c r="M750" s="66">
        <v>7.9051383399209498E-3</v>
      </c>
      <c r="N750" s="67">
        <v>453.95899341484801</v>
      </c>
      <c r="O750" s="67">
        <v>226.979496707424</v>
      </c>
      <c r="P750" s="67">
        <v>93.340004645288005</v>
      </c>
      <c r="Q750" s="77">
        <v>0.20561329547224</v>
      </c>
    </row>
    <row r="751" spans="1:17" x14ac:dyDescent="0.35">
      <c r="A751" s="76" t="s">
        <v>136</v>
      </c>
      <c r="B751" s="63">
        <v>873469</v>
      </c>
      <c r="C751" s="63" t="s">
        <v>143</v>
      </c>
      <c r="D751" s="64">
        <v>42666</v>
      </c>
      <c r="E751" s="63" t="s">
        <v>138</v>
      </c>
      <c r="F751" s="65">
        <v>39513</v>
      </c>
      <c r="G751" s="66">
        <v>3.3775434549798201E-3</v>
      </c>
      <c r="H751" s="65">
        <v>431</v>
      </c>
      <c r="I751" s="67">
        <v>0.382195141030158</v>
      </c>
      <c r="J751" s="67">
        <v>1.2908806971115001</v>
      </c>
      <c r="K751" s="65">
        <v>44</v>
      </c>
      <c r="L751" s="65">
        <v>6</v>
      </c>
      <c r="M751" s="66">
        <v>2.4390243902439001E-2</v>
      </c>
      <c r="N751" s="67">
        <v>332.53800198988898</v>
      </c>
      <c r="O751" s="67">
        <v>83.134500497472104</v>
      </c>
      <c r="P751" s="67">
        <v>62.680003128945799</v>
      </c>
      <c r="Q751" s="77">
        <v>0.18848974479269201</v>
      </c>
    </row>
    <row r="752" spans="1:17" x14ac:dyDescent="0.35">
      <c r="A752" s="76" t="s">
        <v>136</v>
      </c>
      <c r="B752" s="63">
        <v>873469</v>
      </c>
      <c r="C752" s="63" t="s">
        <v>143</v>
      </c>
      <c r="D752" s="64">
        <v>42667</v>
      </c>
      <c r="E752" s="63" t="s">
        <v>138</v>
      </c>
      <c r="F752" s="65">
        <v>1185</v>
      </c>
      <c r="G752" s="66">
        <v>2.5543478260869599E-3</v>
      </c>
      <c r="H752" s="65">
        <v>351</v>
      </c>
      <c r="I752" s="67">
        <v>0.37648937898747498</v>
      </c>
      <c r="J752" s="67">
        <v>0.96168482676148404</v>
      </c>
      <c r="K752" s="65">
        <v>21</v>
      </c>
      <c r="L752" s="65">
        <v>1</v>
      </c>
      <c r="M752" s="66">
        <v>1.0638297872340399E-2</v>
      </c>
      <c r="N752" s="67">
        <v>124.337218936234</v>
      </c>
      <c r="O752" s="67">
        <v>124.337218936234</v>
      </c>
      <c r="P752" s="67">
        <v>35.390001624822602</v>
      </c>
      <c r="Q752" s="77">
        <v>0.28462918768492301</v>
      </c>
    </row>
    <row r="753" spans="1:17" x14ac:dyDescent="0.35">
      <c r="A753" s="76" t="s">
        <v>136</v>
      </c>
      <c r="B753" s="63">
        <v>873469</v>
      </c>
      <c r="C753" s="63" t="s">
        <v>143</v>
      </c>
      <c r="D753" s="64">
        <v>42668</v>
      </c>
      <c r="E753" s="63" t="s">
        <v>138</v>
      </c>
      <c r="F753" s="65">
        <v>58741</v>
      </c>
      <c r="G753" s="66">
        <v>2.6166097838452801E-3</v>
      </c>
      <c r="H753" s="65">
        <v>343</v>
      </c>
      <c r="I753" s="67">
        <v>0.44826088894320598</v>
      </c>
      <c r="J753" s="67">
        <v>1.17292382772397</v>
      </c>
      <c r="K753" s="65">
        <v>96</v>
      </c>
      <c r="L753" s="65">
        <v>2</v>
      </c>
      <c r="M753" s="66">
        <v>4.3478260869565202E-2</v>
      </c>
      <c r="N753" s="67">
        <v>377.51856858168202</v>
      </c>
      <c r="O753" s="67">
        <v>188.75928429084101</v>
      </c>
      <c r="P753" s="67">
        <v>20.620000891387502</v>
      </c>
      <c r="Q753" s="77">
        <v>5.4619832261114401E-2</v>
      </c>
    </row>
    <row r="754" spans="1:17" x14ac:dyDescent="0.35">
      <c r="A754" s="76" t="s">
        <v>136</v>
      </c>
      <c r="B754" s="63">
        <v>873469</v>
      </c>
      <c r="C754" s="63" t="s">
        <v>143</v>
      </c>
      <c r="D754" s="64">
        <v>42669</v>
      </c>
      <c r="E754" s="63" t="s">
        <v>138</v>
      </c>
      <c r="F754" s="65">
        <v>51195</v>
      </c>
      <c r="G754" s="66">
        <v>3.5481963335304602E-3</v>
      </c>
      <c r="H754" s="65">
        <v>487</v>
      </c>
      <c r="I754" s="67">
        <v>0.32166667934507098</v>
      </c>
      <c r="J754" s="67">
        <v>1.1413365322711</v>
      </c>
      <c r="K754" s="65">
        <v>54</v>
      </c>
      <c r="L754" s="65">
        <v>3</v>
      </c>
      <c r="M754" s="66">
        <v>4.1666666666666699E-2</v>
      </c>
      <c r="N754" s="67">
        <v>83.775184903729695</v>
      </c>
      <c r="O754" s="67">
        <v>41.887592451864897</v>
      </c>
      <c r="P754" s="67">
        <v>15.4400006085634</v>
      </c>
      <c r="Q754" s="77">
        <v>0.184302793557619</v>
      </c>
    </row>
    <row r="755" spans="1:17" x14ac:dyDescent="0.35">
      <c r="A755" s="76" t="s">
        <v>136</v>
      </c>
      <c r="B755" s="63">
        <v>873469</v>
      </c>
      <c r="C755" s="63" t="s">
        <v>143</v>
      </c>
      <c r="D755" s="64">
        <v>42670</v>
      </c>
      <c r="E755" s="63" t="s">
        <v>138</v>
      </c>
      <c r="F755" s="65">
        <v>45290</v>
      </c>
      <c r="G755" s="66">
        <v>4.8484848484848502E-3</v>
      </c>
      <c r="H755" s="65">
        <v>181</v>
      </c>
      <c r="I755" s="67">
        <v>0.46576926441719901</v>
      </c>
      <c r="J755" s="67">
        <v>2.2582752214167199</v>
      </c>
      <c r="K755" s="65">
        <v>58</v>
      </c>
      <c r="L755" s="65">
        <v>1</v>
      </c>
      <c r="M755" s="66">
        <v>1.9230769230769201E-2</v>
      </c>
      <c r="N755" s="67">
        <v>17.629905234128199</v>
      </c>
      <c r="O755" s="67">
        <v>17.629905234128199</v>
      </c>
      <c r="P755" s="67">
        <v>24.220001749694301</v>
      </c>
      <c r="Q755" s="77">
        <v>1.37380215197124</v>
      </c>
    </row>
    <row r="756" spans="1:17" x14ac:dyDescent="0.35">
      <c r="A756" s="76" t="s">
        <v>136</v>
      </c>
      <c r="B756" s="63">
        <v>873469</v>
      </c>
      <c r="C756" s="63" t="s">
        <v>143</v>
      </c>
      <c r="D756" s="64">
        <v>42671</v>
      </c>
      <c r="E756" s="63" t="s">
        <v>138</v>
      </c>
      <c r="F756" s="65">
        <v>22649</v>
      </c>
      <c r="G756" s="66">
        <v>4.7410873714672699E-3</v>
      </c>
      <c r="H756" s="65">
        <v>306</v>
      </c>
      <c r="I756" s="67">
        <v>0.375844177584369</v>
      </c>
      <c r="J756" s="67">
        <v>1.7819100839847599</v>
      </c>
      <c r="K756" s="65">
        <v>39</v>
      </c>
      <c r="L756" s="65">
        <v>2</v>
      </c>
      <c r="M756" s="66">
        <v>2.5974025974026E-2</v>
      </c>
      <c r="N756" s="67">
        <v>233.07706577358999</v>
      </c>
      <c r="O756" s="67">
        <v>116.538532886795</v>
      </c>
      <c r="P756" s="67">
        <v>28.940001673996399</v>
      </c>
      <c r="Q756" s="77">
        <v>0.124164947666317</v>
      </c>
    </row>
    <row r="757" spans="1:17" x14ac:dyDescent="0.35">
      <c r="A757" s="76" t="s">
        <v>136</v>
      </c>
      <c r="B757" s="63">
        <v>873469</v>
      </c>
      <c r="C757" s="63" t="s">
        <v>143</v>
      </c>
      <c r="D757" s="64">
        <v>42672</v>
      </c>
      <c r="E757" s="63" t="s">
        <v>138</v>
      </c>
      <c r="F757" s="65">
        <v>25667</v>
      </c>
      <c r="G757" s="66">
        <v>2.7359074953541198E-3</v>
      </c>
      <c r="H757" s="65">
        <v>211</v>
      </c>
      <c r="I757" s="67">
        <v>0.38207549447158601</v>
      </c>
      <c r="J757" s="67">
        <v>1.0453232091159399</v>
      </c>
      <c r="K757" s="65">
        <v>54</v>
      </c>
      <c r="L757" s="65">
        <v>4</v>
      </c>
      <c r="M757" s="66">
        <v>1.88679245283019E-2</v>
      </c>
      <c r="N757" s="67">
        <v>51.166491274194897</v>
      </c>
      <c r="O757" s="67">
        <v>51.166491274194897</v>
      </c>
      <c r="P757" s="67">
        <v>20.250001206994099</v>
      </c>
      <c r="Q757" s="77">
        <v>0.39576685253786098</v>
      </c>
    </row>
    <row r="758" spans="1:17" x14ac:dyDescent="0.35">
      <c r="A758" s="76" t="s">
        <v>136</v>
      </c>
      <c r="B758" s="63">
        <v>873469</v>
      </c>
      <c r="C758" s="63" t="s">
        <v>143</v>
      </c>
      <c r="D758" s="64">
        <v>42673</v>
      </c>
      <c r="E758" s="63" t="s">
        <v>138</v>
      </c>
      <c r="F758" s="65">
        <v>44989</v>
      </c>
      <c r="G758" s="66">
        <v>2.24704673857216E-3</v>
      </c>
      <c r="H758" s="65">
        <v>333</v>
      </c>
      <c r="I758" s="67">
        <v>0.46771431245974099</v>
      </c>
      <c r="J758" s="67">
        <v>1.0509759203961799</v>
      </c>
      <c r="K758" s="65">
        <v>75</v>
      </c>
      <c r="L758" s="65">
        <v>0</v>
      </c>
      <c r="M758" s="66">
        <v>0</v>
      </c>
      <c r="N758" s="67">
        <v>0</v>
      </c>
      <c r="O758" s="67">
        <v>0</v>
      </c>
      <c r="P758" s="67">
        <v>16.3700009360909</v>
      </c>
      <c r="Q758" s="77">
        <v>0</v>
      </c>
    </row>
    <row r="759" spans="1:17" x14ac:dyDescent="0.35">
      <c r="A759" s="76" t="s">
        <v>136</v>
      </c>
      <c r="B759" s="63">
        <v>873469</v>
      </c>
      <c r="C759" s="63" t="s">
        <v>143</v>
      </c>
      <c r="D759" s="64">
        <v>42674</v>
      </c>
      <c r="E759" s="63" t="s">
        <v>138</v>
      </c>
      <c r="F759" s="65">
        <v>4335</v>
      </c>
      <c r="G759" s="66">
        <v>3.6210018105009099E-3</v>
      </c>
      <c r="H759" s="65">
        <v>188</v>
      </c>
      <c r="I759" s="67">
        <v>0.409000018487374</v>
      </c>
      <c r="J759" s="67">
        <v>1.4809898074376799</v>
      </c>
      <c r="K759" s="65">
        <v>64</v>
      </c>
      <c r="L759" s="65">
        <v>1</v>
      </c>
      <c r="M759" s="66">
        <v>0</v>
      </c>
      <c r="N759" s="67">
        <v>0</v>
      </c>
      <c r="O759" s="67">
        <v>0</v>
      </c>
      <c r="P759" s="67">
        <v>12.2700005546212</v>
      </c>
      <c r="Q759" s="77">
        <v>0</v>
      </c>
    </row>
    <row r="760" spans="1:17" x14ac:dyDescent="0.35">
      <c r="A760" s="76" t="s">
        <v>136</v>
      </c>
      <c r="B760" s="63">
        <v>873469</v>
      </c>
      <c r="C760" s="63" t="s">
        <v>143</v>
      </c>
      <c r="D760" s="64">
        <v>42675</v>
      </c>
      <c r="E760" s="63" t="s">
        <v>138</v>
      </c>
      <c r="F760" s="65">
        <v>519</v>
      </c>
      <c r="G760" s="66">
        <v>4.3089518474631102E-3</v>
      </c>
      <c r="H760" s="65">
        <v>327</v>
      </c>
      <c r="I760" s="67">
        <v>0.332250011712313</v>
      </c>
      <c r="J760" s="67">
        <v>1.4316493017874099</v>
      </c>
      <c r="K760" s="65">
        <v>44</v>
      </c>
      <c r="L760" s="65">
        <v>2</v>
      </c>
      <c r="M760" s="66">
        <v>0.05</v>
      </c>
      <c r="N760" s="67">
        <v>54.701309231070098</v>
      </c>
      <c r="O760" s="67">
        <v>27.350654615534999</v>
      </c>
      <c r="P760" s="67">
        <v>13.290000468492501</v>
      </c>
      <c r="Q760" s="77">
        <v>0.242955802252423</v>
      </c>
    </row>
    <row r="761" spans="1:17" x14ac:dyDescent="0.35">
      <c r="A761" s="76" t="s">
        <v>136</v>
      </c>
      <c r="B761" s="63">
        <v>873469</v>
      </c>
      <c r="C761" s="63" t="s">
        <v>143</v>
      </c>
      <c r="D761" s="64">
        <v>42676</v>
      </c>
      <c r="E761" s="63" t="s">
        <v>138</v>
      </c>
      <c r="F761" s="65">
        <v>41578</v>
      </c>
      <c r="G761" s="66">
        <v>4.9878501087095503E-3</v>
      </c>
      <c r="H761" s="65">
        <v>562</v>
      </c>
      <c r="I761" s="67">
        <v>0.33538462699223798</v>
      </c>
      <c r="J761" s="67">
        <v>1.67284824820275</v>
      </c>
      <c r="K761" s="65">
        <v>74</v>
      </c>
      <c r="L761" s="65">
        <v>4</v>
      </c>
      <c r="M761" s="66">
        <v>0.102564102564103</v>
      </c>
      <c r="N761" s="67">
        <v>312.47791952360399</v>
      </c>
      <c r="O761" s="67">
        <v>78.119479880900997</v>
      </c>
      <c r="P761" s="67">
        <v>13.0800004526973</v>
      </c>
      <c r="Q761" s="77">
        <v>4.1858959099057999E-2</v>
      </c>
    </row>
    <row r="762" spans="1:17" x14ac:dyDescent="0.35">
      <c r="A762" s="76" t="s">
        <v>136</v>
      </c>
      <c r="B762" s="63">
        <v>873469</v>
      </c>
      <c r="C762" s="63" t="s">
        <v>143</v>
      </c>
      <c r="D762" s="64">
        <v>42677</v>
      </c>
      <c r="E762" s="63" t="s">
        <v>138</v>
      </c>
      <c r="F762" s="65">
        <v>56063</v>
      </c>
      <c r="G762" s="66">
        <v>2.9980921231943301E-3</v>
      </c>
      <c r="H762" s="65">
        <v>169</v>
      </c>
      <c r="I762" s="67">
        <v>0.35818183252757202</v>
      </c>
      <c r="J762" s="67">
        <v>1.07386213077223</v>
      </c>
      <c r="K762" s="65">
        <v>15</v>
      </c>
      <c r="L762" s="65">
        <v>4</v>
      </c>
      <c r="M762" s="66">
        <v>4.5454545454545497E-2</v>
      </c>
      <c r="N762" s="67">
        <v>87.442556511348698</v>
      </c>
      <c r="O762" s="67">
        <v>87.442556511348698</v>
      </c>
      <c r="P762" s="67">
        <v>7.8800003156065896</v>
      </c>
      <c r="Q762" s="77">
        <v>9.01163075508193E-2</v>
      </c>
    </row>
    <row r="763" spans="1:17" x14ac:dyDescent="0.35">
      <c r="A763" s="76" t="s">
        <v>136</v>
      </c>
      <c r="B763" s="63">
        <v>873469</v>
      </c>
      <c r="C763" s="63" t="s">
        <v>143</v>
      </c>
      <c r="D763" s="64">
        <v>42678</v>
      </c>
      <c r="E763" s="63" t="s">
        <v>138</v>
      </c>
      <c r="F763" s="65">
        <v>4707</v>
      </c>
      <c r="G763" s="66">
        <v>4.17798203467725E-3</v>
      </c>
      <c r="H763" s="65">
        <v>218</v>
      </c>
      <c r="I763" s="67">
        <v>0.31583334592481499</v>
      </c>
      <c r="J763" s="67">
        <v>1.31954604522588</v>
      </c>
      <c r="K763" s="65">
        <v>64</v>
      </c>
      <c r="L763" s="65">
        <v>1</v>
      </c>
      <c r="M763" s="66">
        <v>1.6666666666666701E-2</v>
      </c>
      <c r="N763" s="67">
        <v>336.02863202545097</v>
      </c>
      <c r="O763" s="67">
        <v>336.02863202545097</v>
      </c>
      <c r="P763" s="67">
        <v>18.950000755488901</v>
      </c>
      <c r="Q763" s="77">
        <v>5.6394006193060398E-2</v>
      </c>
    </row>
    <row r="764" spans="1:17" x14ac:dyDescent="0.35">
      <c r="A764" s="76" t="s">
        <v>136</v>
      </c>
      <c r="B764" s="63">
        <v>987456</v>
      </c>
      <c r="C764" s="63" t="s">
        <v>144</v>
      </c>
      <c r="D764" s="64">
        <v>42552</v>
      </c>
      <c r="E764" s="63" t="s">
        <v>138</v>
      </c>
      <c r="F764" s="65">
        <v>58879</v>
      </c>
      <c r="G764" s="66">
        <v>3.6602347324448002E-3</v>
      </c>
      <c r="H764" s="65">
        <v>419</v>
      </c>
      <c r="I764" s="67">
        <v>1.09554346812808</v>
      </c>
      <c r="J764" s="67">
        <v>4.0099462529454302</v>
      </c>
      <c r="K764" s="65">
        <v>68</v>
      </c>
      <c r="L764" s="65">
        <v>19</v>
      </c>
      <c r="M764" s="66">
        <v>0.13043478260869601</v>
      </c>
      <c r="N764" s="67">
        <v>1706.11116836473</v>
      </c>
      <c r="O764" s="67">
        <v>142.17593069706101</v>
      </c>
      <c r="P764" s="67">
        <v>100.789999067783</v>
      </c>
      <c r="Q764" s="77">
        <v>5.9075868522910198E-2</v>
      </c>
    </row>
    <row r="765" spans="1:17" x14ac:dyDescent="0.35">
      <c r="A765" s="76" t="s">
        <v>136</v>
      </c>
      <c r="B765" s="63">
        <v>987456</v>
      </c>
      <c r="C765" s="63" t="s">
        <v>144</v>
      </c>
      <c r="D765" s="64">
        <v>42553</v>
      </c>
      <c r="E765" s="63" t="s">
        <v>138</v>
      </c>
      <c r="F765" s="65">
        <v>55717</v>
      </c>
      <c r="G765" s="66">
        <v>3.32803204335277E-3</v>
      </c>
      <c r="H765" s="65">
        <v>352</v>
      </c>
      <c r="I765" s="67">
        <v>1.03672565664865</v>
      </c>
      <c r="J765" s="67">
        <v>3.4502562054926602</v>
      </c>
      <c r="K765" s="65">
        <v>13</v>
      </c>
      <c r="L765" s="65">
        <v>25</v>
      </c>
      <c r="M765" s="66">
        <v>0.14159292035398199</v>
      </c>
      <c r="N765" s="67">
        <v>1674.9503081027699</v>
      </c>
      <c r="O765" s="67">
        <v>104.684394256423</v>
      </c>
      <c r="P765" s="67">
        <v>117.149999201298</v>
      </c>
      <c r="Q765" s="77">
        <v>6.99423729973188E-2</v>
      </c>
    </row>
    <row r="766" spans="1:17" x14ac:dyDescent="0.35">
      <c r="A766" s="76" t="s">
        <v>136</v>
      </c>
      <c r="B766" s="63">
        <v>987456</v>
      </c>
      <c r="C766" s="63" t="s">
        <v>144</v>
      </c>
      <c r="D766" s="64">
        <v>42554</v>
      </c>
      <c r="E766" s="63" t="s">
        <v>138</v>
      </c>
      <c r="F766" s="65">
        <v>17510</v>
      </c>
      <c r="G766" s="66">
        <v>3.8406870898478802E-3</v>
      </c>
      <c r="H766" s="65">
        <v>207</v>
      </c>
      <c r="I766" s="67">
        <v>0.98881889492508002</v>
      </c>
      <c r="J766" s="67">
        <v>3.7977439639364099</v>
      </c>
      <c r="K766" s="65">
        <v>18</v>
      </c>
      <c r="L766" s="65">
        <v>18</v>
      </c>
      <c r="M766" s="66">
        <v>0.110236220472441</v>
      </c>
      <c r="N766" s="67">
        <v>2119.7165127230801</v>
      </c>
      <c r="O766" s="67">
        <v>151.40832233736299</v>
      </c>
      <c r="P766" s="67">
        <v>125.579999655485</v>
      </c>
      <c r="Q766" s="77">
        <v>5.9243770995659903E-2</v>
      </c>
    </row>
    <row r="767" spans="1:17" x14ac:dyDescent="0.35">
      <c r="A767" s="76" t="s">
        <v>136</v>
      </c>
      <c r="B767" s="63">
        <v>987456</v>
      </c>
      <c r="C767" s="63" t="s">
        <v>144</v>
      </c>
      <c r="D767" s="64">
        <v>42555</v>
      </c>
      <c r="E767" s="63" t="s">
        <v>138</v>
      </c>
      <c r="F767" s="65">
        <v>13270</v>
      </c>
      <c r="G767" s="66">
        <v>2.9230269568041602E-3</v>
      </c>
      <c r="H767" s="65">
        <v>510</v>
      </c>
      <c r="I767" s="67">
        <v>0.98055555257532301</v>
      </c>
      <c r="J767" s="67">
        <v>2.8661903128216699</v>
      </c>
      <c r="K767" s="65">
        <v>12</v>
      </c>
      <c r="L767" s="65">
        <v>18</v>
      </c>
      <c r="M767" s="66">
        <v>0.14444444444444399</v>
      </c>
      <c r="N767" s="67">
        <v>1483.9225384572701</v>
      </c>
      <c r="O767" s="67">
        <v>114.147887573636</v>
      </c>
      <c r="P767" s="67">
        <v>88.249999731779099</v>
      </c>
      <c r="Q767" s="77">
        <v>5.9470759048869698E-2</v>
      </c>
    </row>
    <row r="768" spans="1:17" x14ac:dyDescent="0.35">
      <c r="A768" s="76" t="s">
        <v>136</v>
      </c>
      <c r="B768" s="63">
        <v>987456</v>
      </c>
      <c r="C768" s="63" t="s">
        <v>144</v>
      </c>
      <c r="D768" s="64">
        <v>42556</v>
      </c>
      <c r="E768" s="63" t="s">
        <v>138</v>
      </c>
      <c r="F768" s="65">
        <v>60754</v>
      </c>
      <c r="G768" s="66">
        <v>3.7164228254222098E-3</v>
      </c>
      <c r="H768" s="65">
        <v>157</v>
      </c>
      <c r="I768" s="67">
        <v>0.93708860044237896</v>
      </c>
      <c r="J768" s="67">
        <v>3.4826174641270198</v>
      </c>
      <c r="K768" s="65">
        <v>92</v>
      </c>
      <c r="L768" s="65">
        <v>9</v>
      </c>
      <c r="M768" s="66">
        <v>8.8607594936708903E-2</v>
      </c>
      <c r="N768" s="67">
        <v>686.83551396275902</v>
      </c>
      <c r="O768" s="67">
        <v>98.119359137537003</v>
      </c>
      <c r="P768" s="67">
        <v>74.029999434947996</v>
      </c>
      <c r="Q768" s="77">
        <v>0.10778417529376901</v>
      </c>
    </row>
    <row r="769" spans="1:17" x14ac:dyDescent="0.35">
      <c r="A769" s="76" t="s">
        <v>136</v>
      </c>
      <c r="B769" s="63">
        <v>987456</v>
      </c>
      <c r="C769" s="63" t="s">
        <v>144</v>
      </c>
      <c r="D769" s="64">
        <v>42557</v>
      </c>
      <c r="E769" s="63" t="s">
        <v>138</v>
      </c>
      <c r="F769" s="65">
        <v>65896</v>
      </c>
      <c r="G769" s="66">
        <v>4.2239117869370003E-3</v>
      </c>
      <c r="H769" s="65">
        <v>164</v>
      </c>
      <c r="I769" s="67">
        <v>0.96221050525966401</v>
      </c>
      <c r="J769" s="67">
        <v>4.0642922946809001</v>
      </c>
      <c r="K769" s="65">
        <v>87</v>
      </c>
      <c r="L769" s="65">
        <v>7</v>
      </c>
      <c r="M769" s="66">
        <v>6.3157894736842093E-2</v>
      </c>
      <c r="N769" s="67">
        <v>414.383266942587</v>
      </c>
      <c r="O769" s="67">
        <v>69.0638778237645</v>
      </c>
      <c r="P769" s="67">
        <v>91.409997999668093</v>
      </c>
      <c r="Q769" s="77">
        <v>0.220592879326696</v>
      </c>
    </row>
    <row r="770" spans="1:17" x14ac:dyDescent="0.35">
      <c r="A770" s="76" t="s">
        <v>136</v>
      </c>
      <c r="B770" s="63">
        <v>987456</v>
      </c>
      <c r="C770" s="63" t="s">
        <v>144</v>
      </c>
      <c r="D770" s="64">
        <v>42558</v>
      </c>
      <c r="E770" s="63" t="s">
        <v>138</v>
      </c>
      <c r="F770" s="65">
        <v>31801</v>
      </c>
      <c r="G770" s="66">
        <v>3.6757198284664101E-3</v>
      </c>
      <c r="H770" s="65">
        <v>394</v>
      </c>
      <c r="I770" s="67">
        <v>0.88222221326496897</v>
      </c>
      <c r="J770" s="67">
        <v>3.24280168241157</v>
      </c>
      <c r="K770" s="65">
        <v>18</v>
      </c>
      <c r="L770" s="65">
        <v>9</v>
      </c>
      <c r="M770" s="66">
        <v>6.9444444444444406E-2</v>
      </c>
      <c r="N770" s="67">
        <v>306.11980753788202</v>
      </c>
      <c r="O770" s="67">
        <v>61.223961507576497</v>
      </c>
      <c r="P770" s="67">
        <v>63.519999355077701</v>
      </c>
      <c r="Q770" s="77">
        <v>0.20750045502108599</v>
      </c>
    </row>
    <row r="771" spans="1:17" x14ac:dyDescent="0.35">
      <c r="A771" s="76" t="s">
        <v>136</v>
      </c>
      <c r="B771" s="63">
        <v>987456</v>
      </c>
      <c r="C771" s="63" t="s">
        <v>144</v>
      </c>
      <c r="D771" s="64">
        <v>42559</v>
      </c>
      <c r="E771" s="63" t="s">
        <v>138</v>
      </c>
      <c r="F771" s="65">
        <v>60095</v>
      </c>
      <c r="G771" s="66">
        <v>4.05788224485108E-3</v>
      </c>
      <c r="H771" s="65">
        <v>426</v>
      </c>
      <c r="I771" s="67">
        <v>0.93481130448152405</v>
      </c>
      <c r="J771" s="67">
        <v>3.79335419474166</v>
      </c>
      <c r="K771" s="65">
        <v>58</v>
      </c>
      <c r="L771" s="65">
        <v>15</v>
      </c>
      <c r="M771" s="66">
        <v>8.4905660377358499E-2</v>
      </c>
      <c r="N771" s="67">
        <v>879.98099289580102</v>
      </c>
      <c r="O771" s="67">
        <v>97.775665877311297</v>
      </c>
      <c r="P771" s="67">
        <v>99.089998275041594</v>
      </c>
      <c r="Q771" s="77">
        <v>0.112604702914049</v>
      </c>
    </row>
    <row r="772" spans="1:17" x14ac:dyDescent="0.35">
      <c r="A772" s="76" t="s">
        <v>136</v>
      </c>
      <c r="B772" s="63">
        <v>987456</v>
      </c>
      <c r="C772" s="63" t="s">
        <v>144</v>
      </c>
      <c r="D772" s="64">
        <v>42560</v>
      </c>
      <c r="E772" s="63" t="s">
        <v>138</v>
      </c>
      <c r="F772" s="65">
        <v>48987</v>
      </c>
      <c r="G772" s="66">
        <v>2.83442792948496E-3</v>
      </c>
      <c r="H772" s="65">
        <v>394</v>
      </c>
      <c r="I772" s="67">
        <v>0.88841461771871999</v>
      </c>
      <c r="J772" s="67">
        <v>2.5181472054246501</v>
      </c>
      <c r="K772" s="65">
        <v>87</v>
      </c>
      <c r="L772" s="65">
        <v>8</v>
      </c>
      <c r="M772" s="66">
        <v>4.8780487804878099E-2</v>
      </c>
      <c r="N772" s="67">
        <v>676.03076397677103</v>
      </c>
      <c r="O772" s="67">
        <v>169.00769099419301</v>
      </c>
      <c r="P772" s="67">
        <v>72.849998652935</v>
      </c>
      <c r="Q772" s="77">
        <v>0.10776136610173299</v>
      </c>
    </row>
    <row r="773" spans="1:17" x14ac:dyDescent="0.35">
      <c r="A773" s="76" t="s">
        <v>136</v>
      </c>
      <c r="B773" s="63">
        <v>987456</v>
      </c>
      <c r="C773" s="63" t="s">
        <v>144</v>
      </c>
      <c r="D773" s="64">
        <v>42561</v>
      </c>
      <c r="E773" s="63" t="s">
        <v>138</v>
      </c>
      <c r="F773" s="65">
        <v>39440</v>
      </c>
      <c r="G773" s="66">
        <v>3.4644564311713398E-3</v>
      </c>
      <c r="H773" s="65">
        <v>238</v>
      </c>
      <c r="I773" s="67">
        <v>0.88075949779794205</v>
      </c>
      <c r="J773" s="67">
        <v>3.0513529064613198</v>
      </c>
      <c r="K773" s="65">
        <v>25</v>
      </c>
      <c r="L773" s="65">
        <v>11</v>
      </c>
      <c r="M773" s="66">
        <v>6.3291139240506306E-2</v>
      </c>
      <c r="N773" s="67">
        <v>394.50255783150999</v>
      </c>
      <c r="O773" s="67">
        <v>78.900511566301901</v>
      </c>
      <c r="P773" s="67">
        <v>69.580000326037407</v>
      </c>
      <c r="Q773" s="77">
        <v>0.17637401569333999</v>
      </c>
    </row>
    <row r="774" spans="1:17" x14ac:dyDescent="0.35">
      <c r="A774" s="76" t="s">
        <v>136</v>
      </c>
      <c r="B774" s="63">
        <v>987456</v>
      </c>
      <c r="C774" s="63" t="s">
        <v>144</v>
      </c>
      <c r="D774" s="64">
        <v>42562</v>
      </c>
      <c r="E774" s="63" t="s">
        <v>138</v>
      </c>
      <c r="F774" s="65">
        <v>40007</v>
      </c>
      <c r="G774" s="66">
        <v>2.95872577543271E-3</v>
      </c>
      <c r="H774" s="65">
        <v>592</v>
      </c>
      <c r="I774" s="67">
        <v>0.762666667997837</v>
      </c>
      <c r="J774" s="67">
        <v>2.2565215286685798</v>
      </c>
      <c r="K774" s="65">
        <v>31</v>
      </c>
      <c r="L774" s="65">
        <v>11</v>
      </c>
      <c r="M774" s="66">
        <v>0.1</v>
      </c>
      <c r="N774" s="67">
        <v>642.92506757814203</v>
      </c>
      <c r="O774" s="67">
        <v>107.15417792968999</v>
      </c>
      <c r="P774" s="67">
        <v>45.760000079870203</v>
      </c>
      <c r="Q774" s="77">
        <v>7.1174701979260596E-2</v>
      </c>
    </row>
    <row r="775" spans="1:17" x14ac:dyDescent="0.35">
      <c r="A775" s="76" t="s">
        <v>136</v>
      </c>
      <c r="B775" s="63">
        <v>987456</v>
      </c>
      <c r="C775" s="63" t="s">
        <v>144</v>
      </c>
      <c r="D775" s="64">
        <v>42563</v>
      </c>
      <c r="E775" s="63" t="s">
        <v>138</v>
      </c>
      <c r="F775" s="65">
        <v>22331</v>
      </c>
      <c r="G775" s="66">
        <v>3.7209302325581402E-3</v>
      </c>
      <c r="H775" s="65">
        <v>263</v>
      </c>
      <c r="I775" s="67">
        <v>0.774821422728045</v>
      </c>
      <c r="J775" s="67">
        <v>2.8830564566624899</v>
      </c>
      <c r="K775" s="65">
        <v>74</v>
      </c>
      <c r="L775" s="65">
        <v>12</v>
      </c>
      <c r="M775" s="66">
        <v>0.17857142857142899</v>
      </c>
      <c r="N775" s="67">
        <v>714.58207014283198</v>
      </c>
      <c r="O775" s="67">
        <v>71.458207014283204</v>
      </c>
      <c r="P775" s="67">
        <v>43.3899996727705</v>
      </c>
      <c r="Q775" s="77">
        <v>6.0720806588524703E-2</v>
      </c>
    </row>
    <row r="776" spans="1:17" x14ac:dyDescent="0.35">
      <c r="A776" s="76" t="s">
        <v>136</v>
      </c>
      <c r="B776" s="63">
        <v>987456</v>
      </c>
      <c r="C776" s="63" t="s">
        <v>144</v>
      </c>
      <c r="D776" s="64">
        <v>42564</v>
      </c>
      <c r="E776" s="63" t="s">
        <v>138</v>
      </c>
      <c r="F776" s="65">
        <v>38310</v>
      </c>
      <c r="G776" s="66">
        <v>4.3025503523102804E-3</v>
      </c>
      <c r="H776" s="65">
        <v>227</v>
      </c>
      <c r="I776" s="67">
        <v>0.75246375000131305</v>
      </c>
      <c r="J776" s="67">
        <v>3.2375131726688702</v>
      </c>
      <c r="K776" s="65">
        <v>84</v>
      </c>
      <c r="L776" s="65">
        <v>12</v>
      </c>
      <c r="M776" s="66">
        <v>0.13043478260869601</v>
      </c>
      <c r="N776" s="67">
        <v>1015.5588025219899</v>
      </c>
      <c r="O776" s="67">
        <v>112.83986694688799</v>
      </c>
      <c r="P776" s="67">
        <v>51.919998750090599</v>
      </c>
      <c r="Q776" s="77">
        <v>5.1124561789189102E-2</v>
      </c>
    </row>
    <row r="777" spans="1:17" x14ac:dyDescent="0.35">
      <c r="A777" s="76" t="s">
        <v>136</v>
      </c>
      <c r="B777" s="63">
        <v>987456</v>
      </c>
      <c r="C777" s="63" t="s">
        <v>144</v>
      </c>
      <c r="D777" s="64">
        <v>42565</v>
      </c>
      <c r="E777" s="63" t="s">
        <v>138</v>
      </c>
      <c r="F777" s="65">
        <v>41452</v>
      </c>
      <c r="G777" s="66">
        <v>4.7072330654420198E-3</v>
      </c>
      <c r="H777" s="65">
        <v>472</v>
      </c>
      <c r="I777" s="67">
        <v>0.76243901161885796</v>
      </c>
      <c r="J777" s="67">
        <v>3.58897812587522</v>
      </c>
      <c r="K777" s="65">
        <v>17</v>
      </c>
      <c r="L777" s="65">
        <v>3</v>
      </c>
      <c r="M777" s="66">
        <v>2.4390243902439001E-2</v>
      </c>
      <c r="N777" s="67">
        <v>252.61474630478</v>
      </c>
      <c r="O777" s="67">
        <v>126.30737315239</v>
      </c>
      <c r="P777" s="67">
        <v>62.519998952746398</v>
      </c>
      <c r="Q777" s="77">
        <v>0.24749148601687701</v>
      </c>
    </row>
    <row r="778" spans="1:17" x14ac:dyDescent="0.35">
      <c r="A778" s="76" t="s">
        <v>136</v>
      </c>
      <c r="B778" s="63">
        <v>987456</v>
      </c>
      <c r="C778" s="63" t="s">
        <v>144</v>
      </c>
      <c r="D778" s="64">
        <v>42566</v>
      </c>
      <c r="E778" s="63" t="s">
        <v>138</v>
      </c>
      <c r="F778" s="65">
        <v>39031</v>
      </c>
      <c r="G778" s="66">
        <v>4.2785065590312801E-3</v>
      </c>
      <c r="H778" s="65">
        <v>406</v>
      </c>
      <c r="I778" s="67">
        <v>0.73518866441159902</v>
      </c>
      <c r="J778" s="67">
        <v>3.1455095228104701</v>
      </c>
      <c r="K778" s="65">
        <v>28</v>
      </c>
      <c r="L778" s="65">
        <v>10</v>
      </c>
      <c r="M778" s="66">
        <v>5.6603773584905703E-2</v>
      </c>
      <c r="N778" s="67">
        <v>671.36314274044901</v>
      </c>
      <c r="O778" s="67">
        <v>111.893857123408</v>
      </c>
      <c r="P778" s="67">
        <v>77.929998427629499</v>
      </c>
      <c r="Q778" s="77">
        <v>0.116077266484314</v>
      </c>
    </row>
    <row r="779" spans="1:17" x14ac:dyDescent="0.35">
      <c r="A779" s="76" t="s">
        <v>136</v>
      </c>
      <c r="B779" s="63">
        <v>987456</v>
      </c>
      <c r="C779" s="63" t="s">
        <v>144</v>
      </c>
      <c r="D779" s="64">
        <v>42567</v>
      </c>
      <c r="E779" s="63" t="s">
        <v>138</v>
      </c>
      <c r="F779" s="65">
        <v>9478</v>
      </c>
      <c r="G779" s="66">
        <v>4.1113031043317604E-3</v>
      </c>
      <c r="H779" s="65">
        <v>297</v>
      </c>
      <c r="I779" s="67">
        <v>0.765942019288955</v>
      </c>
      <c r="J779" s="67">
        <v>3.14901980164082</v>
      </c>
      <c r="K779" s="65">
        <v>65</v>
      </c>
      <c r="L779" s="65">
        <v>13</v>
      </c>
      <c r="M779" s="66">
        <v>5.7971014492753603E-2</v>
      </c>
      <c r="N779" s="67">
        <v>495.41879786318998</v>
      </c>
      <c r="O779" s="67">
        <v>61.927349732898797</v>
      </c>
      <c r="P779" s="67">
        <v>105.69999866187599</v>
      </c>
      <c r="Q779" s="77">
        <v>0.213354840627313</v>
      </c>
    </row>
    <row r="780" spans="1:17" x14ac:dyDescent="0.35">
      <c r="A780" s="76" t="s">
        <v>136</v>
      </c>
      <c r="B780" s="63">
        <v>987456</v>
      </c>
      <c r="C780" s="63" t="s">
        <v>144</v>
      </c>
      <c r="D780" s="64">
        <v>42568</v>
      </c>
      <c r="E780" s="63" t="s">
        <v>138</v>
      </c>
      <c r="F780" s="65">
        <v>20194</v>
      </c>
      <c r="G780" s="66">
        <v>3.9556962025316502E-3</v>
      </c>
      <c r="H780" s="65">
        <v>327</v>
      </c>
      <c r="I780" s="67">
        <v>0.77384613763827503</v>
      </c>
      <c r="J780" s="67">
        <v>3.0611002279995101</v>
      </c>
      <c r="K780" s="65">
        <v>40</v>
      </c>
      <c r="L780" s="65">
        <v>12</v>
      </c>
      <c r="M780" s="66">
        <v>6.9230769230769207E-2</v>
      </c>
      <c r="N780" s="67">
        <v>1461.4054742272799</v>
      </c>
      <c r="O780" s="67">
        <v>162.378386025254</v>
      </c>
      <c r="P780" s="67">
        <v>100.59999789297601</v>
      </c>
      <c r="Q780" s="77">
        <v>6.8837841151626902E-2</v>
      </c>
    </row>
    <row r="781" spans="1:17" x14ac:dyDescent="0.35">
      <c r="A781" s="76" t="s">
        <v>136</v>
      </c>
      <c r="B781" s="63">
        <v>987456</v>
      </c>
      <c r="C781" s="63" t="s">
        <v>144</v>
      </c>
      <c r="D781" s="64">
        <v>42569</v>
      </c>
      <c r="E781" s="63" t="s">
        <v>138</v>
      </c>
      <c r="F781" s="65">
        <v>37053</v>
      </c>
      <c r="G781" s="66">
        <v>3.1723543180978198E-3</v>
      </c>
      <c r="H781" s="65">
        <v>576</v>
      </c>
      <c r="I781" s="67">
        <v>0.78708737148243202</v>
      </c>
      <c r="J781" s="67">
        <v>2.49692002164256</v>
      </c>
      <c r="K781" s="65">
        <v>72</v>
      </c>
      <c r="L781" s="65">
        <v>10</v>
      </c>
      <c r="M781" s="66">
        <v>5.8252427184466E-2</v>
      </c>
      <c r="N781" s="67">
        <v>401.02860500781799</v>
      </c>
      <c r="O781" s="67">
        <v>66.838100834636407</v>
      </c>
      <c r="P781" s="67">
        <v>81.069999262690501</v>
      </c>
      <c r="Q781" s="77">
        <v>0.202155153648229</v>
      </c>
    </row>
    <row r="782" spans="1:17" x14ac:dyDescent="0.35">
      <c r="A782" s="76" t="s">
        <v>136</v>
      </c>
      <c r="B782" s="63">
        <v>987456</v>
      </c>
      <c r="C782" s="63" t="s">
        <v>144</v>
      </c>
      <c r="D782" s="64">
        <v>42570</v>
      </c>
      <c r="E782" s="63" t="s">
        <v>138</v>
      </c>
      <c r="F782" s="65">
        <v>37259</v>
      </c>
      <c r="G782" s="66">
        <v>3.7290868776456401E-3</v>
      </c>
      <c r="H782" s="65">
        <v>165</v>
      </c>
      <c r="I782" s="67">
        <v>0.78171170120303701</v>
      </c>
      <c r="J782" s="67">
        <v>2.9150708470582898</v>
      </c>
      <c r="K782" s="65">
        <v>21</v>
      </c>
      <c r="L782" s="65">
        <v>17</v>
      </c>
      <c r="M782" s="66">
        <v>9.00900900900901E-2</v>
      </c>
      <c r="N782" s="67">
        <v>1146.9012092354899</v>
      </c>
      <c r="O782" s="67">
        <v>114.690120923549</v>
      </c>
      <c r="P782" s="67">
        <v>86.769998833537102</v>
      </c>
      <c r="Q782" s="77">
        <v>7.5656035702828195E-2</v>
      </c>
    </row>
    <row r="783" spans="1:17" x14ac:dyDescent="0.35">
      <c r="A783" s="76" t="s">
        <v>136</v>
      </c>
      <c r="B783" s="63">
        <v>987456</v>
      </c>
      <c r="C783" s="63" t="s">
        <v>144</v>
      </c>
      <c r="D783" s="64">
        <v>42571</v>
      </c>
      <c r="E783" s="63" t="s">
        <v>138</v>
      </c>
      <c r="F783" s="65">
        <v>15810</v>
      </c>
      <c r="G783" s="66">
        <v>4.46443334766361E-3</v>
      </c>
      <c r="H783" s="65">
        <v>155</v>
      </c>
      <c r="I783" s="67">
        <v>0.73318517583387899</v>
      </c>
      <c r="J783" s="67">
        <v>3.2732563490053801</v>
      </c>
      <c r="K783" s="65">
        <v>68</v>
      </c>
      <c r="L783" s="65">
        <v>15</v>
      </c>
      <c r="M783" s="66">
        <v>5.9259259259259303E-2</v>
      </c>
      <c r="N783" s="67">
        <v>1085.05488657912</v>
      </c>
      <c r="O783" s="67">
        <v>135.63186082239</v>
      </c>
      <c r="P783" s="67">
        <v>98.979998737573595</v>
      </c>
      <c r="Q783" s="77">
        <v>9.1221190708269298E-2</v>
      </c>
    </row>
    <row r="784" spans="1:17" x14ac:dyDescent="0.35">
      <c r="A784" s="76" t="s">
        <v>136</v>
      </c>
      <c r="B784" s="63">
        <v>987456</v>
      </c>
      <c r="C784" s="63" t="s">
        <v>144</v>
      </c>
      <c r="D784" s="64">
        <v>42572</v>
      </c>
      <c r="E784" s="63" t="s">
        <v>138</v>
      </c>
      <c r="F784" s="65">
        <v>15319</v>
      </c>
      <c r="G784" s="66">
        <v>4.5201668984701003E-3</v>
      </c>
      <c r="H784" s="65">
        <v>441</v>
      </c>
      <c r="I784" s="67">
        <v>0.76384614236079695</v>
      </c>
      <c r="J784" s="67">
        <v>3.4527120482233502</v>
      </c>
      <c r="K784" s="65">
        <v>12</v>
      </c>
      <c r="L784" s="65">
        <v>13</v>
      </c>
      <c r="M784" s="66">
        <v>7.69230769230769E-2</v>
      </c>
      <c r="N784" s="67">
        <v>1061.3276731979299</v>
      </c>
      <c r="O784" s="67">
        <v>106.132767319793</v>
      </c>
      <c r="P784" s="67">
        <v>99.299998506903606</v>
      </c>
      <c r="Q784" s="77">
        <v>9.3562055352518103E-2</v>
      </c>
    </row>
    <row r="785" spans="1:17" x14ac:dyDescent="0.35">
      <c r="A785" s="76" t="s">
        <v>136</v>
      </c>
      <c r="B785" s="63">
        <v>987456</v>
      </c>
      <c r="C785" s="63" t="s">
        <v>144</v>
      </c>
      <c r="D785" s="64">
        <v>42573</v>
      </c>
      <c r="E785" s="63" t="s">
        <v>138</v>
      </c>
      <c r="F785" s="65">
        <v>42334</v>
      </c>
      <c r="G785" s="66">
        <v>4.0425399589526703E-3</v>
      </c>
      <c r="H785" s="65">
        <v>292</v>
      </c>
      <c r="I785" s="67">
        <v>0.79461537267153104</v>
      </c>
      <c r="J785" s="67">
        <v>3.21226439602273</v>
      </c>
      <c r="K785" s="65">
        <v>67</v>
      </c>
      <c r="L785" s="65">
        <v>12</v>
      </c>
      <c r="M785" s="66">
        <v>3.8461538461538498E-2</v>
      </c>
      <c r="N785" s="67">
        <v>620.06223726235498</v>
      </c>
      <c r="O785" s="67">
        <v>124.01244745247099</v>
      </c>
      <c r="P785" s="67">
        <v>103.299998447299</v>
      </c>
      <c r="Q785" s="77">
        <v>0.16659617735048701</v>
      </c>
    </row>
    <row r="786" spans="1:17" x14ac:dyDescent="0.35">
      <c r="A786" s="76" t="s">
        <v>136</v>
      </c>
      <c r="B786" s="63">
        <v>987456</v>
      </c>
      <c r="C786" s="63" t="s">
        <v>144</v>
      </c>
      <c r="D786" s="64">
        <v>42574</v>
      </c>
      <c r="E786" s="63" t="s">
        <v>138</v>
      </c>
      <c r="F786" s="65">
        <v>58657</v>
      </c>
      <c r="G786" s="66">
        <v>4.6167030658225703E-3</v>
      </c>
      <c r="H786" s="65">
        <v>242</v>
      </c>
      <c r="I786" s="67">
        <v>0.83257483231450302</v>
      </c>
      <c r="J786" s="67">
        <v>3.84375078087308</v>
      </c>
      <c r="K786" s="65">
        <v>81</v>
      </c>
      <c r="L786" s="65">
        <v>14</v>
      </c>
      <c r="M786" s="66">
        <v>5.9880239520958098E-2</v>
      </c>
      <c r="N786" s="67">
        <v>895.539800693546</v>
      </c>
      <c r="O786" s="67">
        <v>89.553980069354594</v>
      </c>
      <c r="P786" s="67">
        <v>139.03999699652201</v>
      </c>
      <c r="Q786" s="77">
        <v>0.15525831112011201</v>
      </c>
    </row>
    <row r="787" spans="1:17" x14ac:dyDescent="0.35">
      <c r="A787" s="76" t="s">
        <v>136</v>
      </c>
      <c r="B787" s="63">
        <v>987456</v>
      </c>
      <c r="C787" s="63" t="s">
        <v>144</v>
      </c>
      <c r="D787" s="64">
        <v>42575</v>
      </c>
      <c r="E787" s="63" t="s">
        <v>138</v>
      </c>
      <c r="F787" s="65">
        <v>27835</v>
      </c>
      <c r="G787" s="66">
        <v>4.9555273189326602E-3</v>
      </c>
      <c r="H787" s="65">
        <v>576</v>
      </c>
      <c r="I787" s="67">
        <v>0.70564101372773802</v>
      </c>
      <c r="J787" s="67">
        <v>3.49682332088714</v>
      </c>
      <c r="K787" s="65">
        <v>61</v>
      </c>
      <c r="L787" s="65">
        <v>14</v>
      </c>
      <c r="M787" s="66">
        <v>4.1025641025640998E-2</v>
      </c>
      <c r="N787" s="67">
        <v>673.43764528097597</v>
      </c>
      <c r="O787" s="67">
        <v>84.179705660121996</v>
      </c>
      <c r="P787" s="67">
        <v>137.599997676909</v>
      </c>
      <c r="Q787" s="77">
        <v>0.20432477845740099</v>
      </c>
    </row>
    <row r="788" spans="1:17" x14ac:dyDescent="0.35">
      <c r="A788" s="76" t="s">
        <v>136</v>
      </c>
      <c r="B788" s="63">
        <v>987456</v>
      </c>
      <c r="C788" s="63" t="s">
        <v>144</v>
      </c>
      <c r="D788" s="64">
        <v>42576</v>
      </c>
      <c r="E788" s="63" t="s">
        <v>138</v>
      </c>
      <c r="F788" s="65">
        <v>676</v>
      </c>
      <c r="G788" s="66">
        <v>4.4423214712204402E-3</v>
      </c>
      <c r="H788" s="65">
        <v>541</v>
      </c>
      <c r="I788" s="67">
        <v>0.75387095884289801</v>
      </c>
      <c r="J788" s="67">
        <v>3.3489371469973501</v>
      </c>
      <c r="K788" s="65">
        <v>33</v>
      </c>
      <c r="L788" s="65">
        <v>15</v>
      </c>
      <c r="M788" s="66">
        <v>4.8387096774193498E-2</v>
      </c>
      <c r="N788" s="67">
        <v>1433.5292565893701</v>
      </c>
      <c r="O788" s="67">
        <v>159.28102850993</v>
      </c>
      <c r="P788" s="67">
        <v>140.21999834477899</v>
      </c>
      <c r="Q788" s="77">
        <v>9.7814535490114901E-2</v>
      </c>
    </row>
    <row r="789" spans="1:17" x14ac:dyDescent="0.35">
      <c r="A789" s="76" t="s">
        <v>136</v>
      </c>
      <c r="B789" s="63">
        <v>987456</v>
      </c>
      <c r="C789" s="63" t="s">
        <v>144</v>
      </c>
      <c r="D789" s="64">
        <v>42577</v>
      </c>
      <c r="E789" s="63" t="s">
        <v>138</v>
      </c>
      <c r="F789" s="65">
        <v>40806</v>
      </c>
      <c r="G789" s="66">
        <v>3.4939882848628099E-3</v>
      </c>
      <c r="H789" s="65">
        <v>386</v>
      </c>
      <c r="I789" s="67">
        <v>0.73670589301515998</v>
      </c>
      <c r="J789" s="67">
        <v>2.5740417595843601</v>
      </c>
      <c r="K789" s="65">
        <v>36</v>
      </c>
      <c r="L789" s="65">
        <v>7</v>
      </c>
      <c r="M789" s="66">
        <v>1.1764705882352899E-2</v>
      </c>
      <c r="N789" s="67">
        <v>220.243760797351</v>
      </c>
      <c r="O789" s="67">
        <v>110.121880398675</v>
      </c>
      <c r="P789" s="67">
        <v>125.24000181257701</v>
      </c>
      <c r="Q789" s="77">
        <v>0.568642677364251</v>
      </c>
    </row>
    <row r="790" spans="1:17" x14ac:dyDescent="0.35">
      <c r="A790" s="76" t="s">
        <v>136</v>
      </c>
      <c r="B790" s="63">
        <v>987456</v>
      </c>
      <c r="C790" s="63" t="s">
        <v>144</v>
      </c>
      <c r="D790" s="64">
        <v>42578</v>
      </c>
      <c r="E790" s="63" t="s">
        <v>138</v>
      </c>
      <c r="F790" s="65">
        <v>64849</v>
      </c>
      <c r="G790" s="66">
        <v>4.2805601418699898E-3</v>
      </c>
      <c r="H790" s="65">
        <v>454</v>
      </c>
      <c r="I790" s="67">
        <v>0.75190477108671605</v>
      </c>
      <c r="J790" s="67">
        <v>3.2185735935956798</v>
      </c>
      <c r="K790" s="65">
        <v>63</v>
      </c>
      <c r="L790" s="65">
        <v>5</v>
      </c>
      <c r="M790" s="66">
        <v>9.5238095238095195E-3</v>
      </c>
      <c r="N790" s="67">
        <v>184.761005816747</v>
      </c>
      <c r="O790" s="67">
        <v>92.380502908373501</v>
      </c>
      <c r="P790" s="67">
        <v>157.90000192821</v>
      </c>
      <c r="Q790" s="77">
        <v>0.85461757057558796</v>
      </c>
    </row>
    <row r="791" spans="1:17" x14ac:dyDescent="0.35">
      <c r="A791" s="76" t="s">
        <v>136</v>
      </c>
      <c r="B791" s="63">
        <v>987456</v>
      </c>
      <c r="C791" s="63" t="s">
        <v>144</v>
      </c>
      <c r="D791" s="64">
        <v>42579</v>
      </c>
      <c r="E791" s="63" t="s">
        <v>138</v>
      </c>
      <c r="F791" s="65">
        <v>51668</v>
      </c>
      <c r="G791" s="66">
        <v>4.5256022608248904E-3</v>
      </c>
      <c r="H791" s="65">
        <v>290</v>
      </c>
      <c r="I791" s="67">
        <v>0.78082970598118795</v>
      </c>
      <c r="J791" s="67">
        <v>3.5337246827076898</v>
      </c>
      <c r="K791" s="65">
        <v>31</v>
      </c>
      <c r="L791" s="65">
        <v>12</v>
      </c>
      <c r="M791" s="66">
        <v>3.9301310043668103E-2</v>
      </c>
      <c r="N791" s="67">
        <v>592.70466215846102</v>
      </c>
      <c r="O791" s="67">
        <v>65.856073573162305</v>
      </c>
      <c r="P791" s="67">
        <v>178.81000266969201</v>
      </c>
      <c r="Q791" s="77">
        <v>0.30168482565755</v>
      </c>
    </row>
    <row r="792" spans="1:17" x14ac:dyDescent="0.35">
      <c r="A792" s="76" t="s">
        <v>136</v>
      </c>
      <c r="B792" s="63">
        <v>987456</v>
      </c>
      <c r="C792" s="63" t="s">
        <v>144</v>
      </c>
      <c r="D792" s="64">
        <v>42580</v>
      </c>
      <c r="E792" s="63" t="s">
        <v>138</v>
      </c>
      <c r="F792" s="65">
        <v>50914</v>
      </c>
      <c r="G792" s="66">
        <v>5.66111170081025E-3</v>
      </c>
      <c r="H792" s="65">
        <v>369</v>
      </c>
      <c r="I792" s="67">
        <v>0.72200001347809994</v>
      </c>
      <c r="J792" s="67">
        <v>4.0873227242860297</v>
      </c>
      <c r="K792" s="65">
        <v>32</v>
      </c>
      <c r="L792" s="65">
        <v>13</v>
      </c>
      <c r="M792" s="66">
        <v>2.5000000000000001E-2</v>
      </c>
      <c r="N792" s="67">
        <v>883.91391313295503</v>
      </c>
      <c r="O792" s="67">
        <v>110.489239141619</v>
      </c>
      <c r="P792" s="67">
        <v>231.04000431299201</v>
      </c>
      <c r="Q792" s="77">
        <v>0.26138292528295098</v>
      </c>
    </row>
    <row r="793" spans="1:17" x14ac:dyDescent="0.35">
      <c r="A793" s="76" t="s">
        <v>136</v>
      </c>
      <c r="B793" s="63">
        <v>987456</v>
      </c>
      <c r="C793" s="63" t="s">
        <v>144</v>
      </c>
      <c r="D793" s="64">
        <v>42581</v>
      </c>
      <c r="E793" s="63" t="s">
        <v>138</v>
      </c>
      <c r="F793" s="65">
        <v>12719</v>
      </c>
      <c r="G793" s="66">
        <v>4.6086072517790601E-3</v>
      </c>
      <c r="H793" s="65">
        <v>483</v>
      </c>
      <c r="I793" s="67">
        <v>0.56003677193075396</v>
      </c>
      <c r="J793" s="67">
        <v>2.58098952838301</v>
      </c>
      <c r="K793" s="65">
        <v>34</v>
      </c>
      <c r="L793" s="65">
        <v>14</v>
      </c>
      <c r="M793" s="66">
        <v>2.2058823529411801E-2</v>
      </c>
      <c r="N793" s="67">
        <v>566.60040750634596</v>
      </c>
      <c r="O793" s="67">
        <v>94.433401251057703</v>
      </c>
      <c r="P793" s="67">
        <v>152.330001965165</v>
      </c>
      <c r="Q793" s="77">
        <v>0.26884908649392197</v>
      </c>
    </row>
    <row r="794" spans="1:17" x14ac:dyDescent="0.35">
      <c r="A794" s="76" t="s">
        <v>136</v>
      </c>
      <c r="B794" s="63">
        <v>987456</v>
      </c>
      <c r="C794" s="63" t="s">
        <v>144</v>
      </c>
      <c r="D794" s="64">
        <v>42582</v>
      </c>
      <c r="E794" s="63" t="s">
        <v>138</v>
      </c>
      <c r="F794" s="65">
        <v>34096</v>
      </c>
      <c r="G794" s="66">
        <v>4.3008865092600702E-3</v>
      </c>
      <c r="H794" s="65">
        <v>240</v>
      </c>
      <c r="I794" s="67">
        <v>0.52751020959445405</v>
      </c>
      <c r="J794" s="67">
        <v>2.2687615439417401</v>
      </c>
      <c r="K794" s="65">
        <v>17</v>
      </c>
      <c r="L794" s="65">
        <v>8</v>
      </c>
      <c r="M794" s="66">
        <v>2.04081632653061E-2</v>
      </c>
      <c r="N794" s="67">
        <v>465.16553318400599</v>
      </c>
      <c r="O794" s="67">
        <v>93.033106636801094</v>
      </c>
      <c r="P794" s="67">
        <v>129.24000135064099</v>
      </c>
      <c r="Q794" s="77">
        <v>0.27783658102527098</v>
      </c>
    </row>
    <row r="795" spans="1:17" x14ac:dyDescent="0.35">
      <c r="A795" s="76" t="s">
        <v>136</v>
      </c>
      <c r="B795" s="63">
        <v>987456</v>
      </c>
      <c r="C795" s="63" t="s">
        <v>144</v>
      </c>
      <c r="D795" s="64">
        <v>42583</v>
      </c>
      <c r="E795" s="63" t="s">
        <v>138</v>
      </c>
      <c r="F795" s="65">
        <v>48378</v>
      </c>
      <c r="G795" s="66">
        <v>5.7088645517792396E-3</v>
      </c>
      <c r="H795" s="65">
        <v>570</v>
      </c>
      <c r="I795" s="67">
        <v>0.51667639617495897</v>
      </c>
      <c r="J795" s="67">
        <v>2.9496355628642701</v>
      </c>
      <c r="K795" s="65">
        <v>74</v>
      </c>
      <c r="L795" s="65">
        <v>11</v>
      </c>
      <c r="M795" s="66">
        <v>2.6239067055393601E-2</v>
      </c>
      <c r="N795" s="67">
        <v>1003.75064468976</v>
      </c>
      <c r="O795" s="67">
        <v>111.527849409973</v>
      </c>
      <c r="P795" s="67">
        <v>177.22000388801101</v>
      </c>
      <c r="Q795" s="77">
        <v>0.17655779831930901</v>
      </c>
    </row>
    <row r="796" spans="1:17" x14ac:dyDescent="0.35">
      <c r="A796" s="76" t="s">
        <v>136</v>
      </c>
      <c r="B796" s="63">
        <v>987456</v>
      </c>
      <c r="C796" s="63" t="s">
        <v>144</v>
      </c>
      <c r="D796" s="64">
        <v>42584</v>
      </c>
      <c r="E796" s="63" t="s">
        <v>138</v>
      </c>
      <c r="F796" s="65">
        <v>11949</v>
      </c>
      <c r="G796" s="66">
        <v>4.4817470664928298E-3</v>
      </c>
      <c r="H796" s="65">
        <v>275</v>
      </c>
      <c r="I796" s="67">
        <v>0.49648485725576202</v>
      </c>
      <c r="J796" s="67">
        <v>2.2251195525641201</v>
      </c>
      <c r="K796" s="65">
        <v>70</v>
      </c>
      <c r="L796" s="65">
        <v>14</v>
      </c>
      <c r="M796" s="66">
        <v>1.8181818181818198E-2</v>
      </c>
      <c r="N796" s="67">
        <v>540.56733985423296</v>
      </c>
      <c r="O796" s="67">
        <v>90.094556642372197</v>
      </c>
      <c r="P796" s="67">
        <v>163.84000289440201</v>
      </c>
      <c r="Q796" s="77">
        <v>0.30308897858790701</v>
      </c>
    </row>
    <row r="797" spans="1:17" x14ac:dyDescent="0.35">
      <c r="A797" s="76" t="s">
        <v>136</v>
      </c>
      <c r="B797" s="63">
        <v>987456</v>
      </c>
      <c r="C797" s="63" t="s">
        <v>144</v>
      </c>
      <c r="D797" s="64">
        <v>42585</v>
      </c>
      <c r="E797" s="63" t="s">
        <v>138</v>
      </c>
      <c r="F797" s="65">
        <v>18737</v>
      </c>
      <c r="G797" s="66">
        <v>4.6078389800562596E-3</v>
      </c>
      <c r="H797" s="65">
        <v>220</v>
      </c>
      <c r="I797" s="67">
        <v>0.50886504082409101</v>
      </c>
      <c r="J797" s="67">
        <v>2.3447681706971699</v>
      </c>
      <c r="K797" s="65">
        <v>77</v>
      </c>
      <c r="L797" s="65">
        <v>12</v>
      </c>
      <c r="M797" s="66">
        <v>1.84049079754601E-2</v>
      </c>
      <c r="N797" s="67">
        <v>349.41369366041403</v>
      </c>
      <c r="O797" s="67">
        <v>58.235615610069097</v>
      </c>
      <c r="P797" s="67">
        <v>165.890003308654</v>
      </c>
      <c r="Q797" s="77">
        <v>0.47476674875220498</v>
      </c>
    </row>
    <row r="798" spans="1:17" x14ac:dyDescent="0.35">
      <c r="A798" s="76" t="s">
        <v>136</v>
      </c>
      <c r="B798" s="63">
        <v>987456</v>
      </c>
      <c r="C798" s="63" t="s">
        <v>144</v>
      </c>
      <c r="D798" s="64">
        <v>42586</v>
      </c>
      <c r="E798" s="63" t="s">
        <v>138</v>
      </c>
      <c r="F798" s="65">
        <v>15622</v>
      </c>
      <c r="G798" s="66">
        <v>5.1819201541937199E-3</v>
      </c>
      <c r="H798" s="65">
        <v>252</v>
      </c>
      <c r="I798" s="67">
        <v>0.51417683764565303</v>
      </c>
      <c r="J798" s="67">
        <v>2.6644233178155998</v>
      </c>
      <c r="K798" s="65">
        <v>44</v>
      </c>
      <c r="L798" s="65">
        <v>12</v>
      </c>
      <c r="M798" s="66">
        <v>1.52439024390244E-2</v>
      </c>
      <c r="N798" s="67">
        <v>544.01620706004701</v>
      </c>
      <c r="O798" s="67">
        <v>108.803241412009</v>
      </c>
      <c r="P798" s="67">
        <v>168.65000274777401</v>
      </c>
      <c r="Q798" s="77">
        <v>0.310009151490516</v>
      </c>
    </row>
    <row r="799" spans="1:17" x14ac:dyDescent="0.35">
      <c r="A799" s="76" t="s">
        <v>136</v>
      </c>
      <c r="B799" s="63">
        <v>987456</v>
      </c>
      <c r="C799" s="63" t="s">
        <v>144</v>
      </c>
      <c r="D799" s="64">
        <v>42587</v>
      </c>
      <c r="E799" s="63" t="s">
        <v>138</v>
      </c>
      <c r="F799" s="65">
        <v>40249</v>
      </c>
      <c r="G799" s="66">
        <v>4.58700404053786E-3</v>
      </c>
      <c r="H799" s="65">
        <v>152</v>
      </c>
      <c r="I799" s="67">
        <v>0.51245488269449602</v>
      </c>
      <c r="J799" s="67">
        <v>2.3506326175129999</v>
      </c>
      <c r="K799" s="65">
        <v>24</v>
      </c>
      <c r="L799" s="65">
        <v>14</v>
      </c>
      <c r="M799" s="66">
        <v>1.4440433212996401E-2</v>
      </c>
      <c r="N799" s="67">
        <v>310.74323619639301</v>
      </c>
      <c r="O799" s="67">
        <v>77.685809049098197</v>
      </c>
      <c r="P799" s="67">
        <v>141.950002506375</v>
      </c>
      <c r="Q799" s="77">
        <v>0.45680802016447303</v>
      </c>
    </row>
    <row r="800" spans="1:17" x14ac:dyDescent="0.35">
      <c r="A800" s="76" t="s">
        <v>136</v>
      </c>
      <c r="B800" s="63">
        <v>987456</v>
      </c>
      <c r="C800" s="63" t="s">
        <v>144</v>
      </c>
      <c r="D800" s="64">
        <v>42588</v>
      </c>
      <c r="E800" s="63" t="s">
        <v>138</v>
      </c>
      <c r="F800" s="65">
        <v>40441</v>
      </c>
      <c r="G800" s="66">
        <v>4.0064620355411999E-3</v>
      </c>
      <c r="H800" s="65">
        <v>359</v>
      </c>
      <c r="I800" s="67">
        <v>0.49568548804569601</v>
      </c>
      <c r="J800" s="67">
        <v>1.98594508942379</v>
      </c>
      <c r="K800" s="65">
        <v>96</v>
      </c>
      <c r="L800" s="65">
        <v>18</v>
      </c>
      <c r="M800" s="66">
        <v>4.8387096774193498E-2</v>
      </c>
      <c r="N800" s="67">
        <v>1121.0122448059001</v>
      </c>
      <c r="O800" s="67">
        <v>93.417687067158099</v>
      </c>
      <c r="P800" s="67">
        <v>122.93000103533301</v>
      </c>
      <c r="Q800" s="77">
        <v>0.10965982004649601</v>
      </c>
    </row>
    <row r="801" spans="1:17" x14ac:dyDescent="0.35">
      <c r="A801" s="76" t="s">
        <v>136</v>
      </c>
      <c r="B801" s="63">
        <v>987456</v>
      </c>
      <c r="C801" s="63" t="s">
        <v>144</v>
      </c>
      <c r="D801" s="64">
        <v>42589</v>
      </c>
      <c r="E801" s="63" t="s">
        <v>138</v>
      </c>
      <c r="F801" s="65">
        <v>32536</v>
      </c>
      <c r="G801" s="66">
        <v>3.8954034239597301E-3</v>
      </c>
      <c r="H801" s="65">
        <v>161</v>
      </c>
      <c r="I801" s="67">
        <v>0.49948718509612899</v>
      </c>
      <c r="J801" s="67">
        <v>1.9457040910474701</v>
      </c>
      <c r="K801" s="65">
        <v>19</v>
      </c>
      <c r="L801" s="65">
        <v>13</v>
      </c>
      <c r="M801" s="66">
        <v>4.6153846153846198E-2</v>
      </c>
      <c r="N801" s="67">
        <v>1317.0805173118399</v>
      </c>
      <c r="O801" s="67">
        <v>146.34227970131599</v>
      </c>
      <c r="P801" s="67">
        <v>97.400001093745203</v>
      </c>
      <c r="Q801" s="77">
        <v>7.3951440184187506E-2</v>
      </c>
    </row>
    <row r="802" spans="1:17" x14ac:dyDescent="0.35">
      <c r="A802" s="76" t="s">
        <v>136</v>
      </c>
      <c r="B802" s="63">
        <v>987456</v>
      </c>
      <c r="C802" s="63" t="s">
        <v>144</v>
      </c>
      <c r="D802" s="64">
        <v>42590</v>
      </c>
      <c r="E802" s="63" t="s">
        <v>138</v>
      </c>
      <c r="F802" s="65">
        <v>68202</v>
      </c>
      <c r="G802" s="66">
        <v>3.89378752480719E-3</v>
      </c>
      <c r="H802" s="65">
        <v>375</v>
      </c>
      <c r="I802" s="67">
        <v>0.50683871911418099</v>
      </c>
      <c r="J802" s="67">
        <v>1.97352228157605</v>
      </c>
      <c r="K802" s="65">
        <v>87</v>
      </c>
      <c r="L802" s="65">
        <v>18</v>
      </c>
      <c r="M802" s="66">
        <v>5.8064516129032302E-2</v>
      </c>
      <c r="N802" s="67">
        <v>776.55631234921702</v>
      </c>
      <c r="O802" s="67">
        <v>86.284034705468599</v>
      </c>
      <c r="P802" s="67">
        <v>78.560001462697997</v>
      </c>
      <c r="Q802" s="77">
        <v>0.10116459065929199</v>
      </c>
    </row>
    <row r="803" spans="1:17" x14ac:dyDescent="0.35">
      <c r="A803" s="76" t="s">
        <v>136</v>
      </c>
      <c r="B803" s="63">
        <v>987456</v>
      </c>
      <c r="C803" s="63" t="s">
        <v>144</v>
      </c>
      <c r="D803" s="64">
        <v>42591</v>
      </c>
      <c r="E803" s="63" t="s">
        <v>138</v>
      </c>
      <c r="F803" s="65">
        <v>19358</v>
      </c>
      <c r="G803" s="66">
        <v>3.52038794208845E-3</v>
      </c>
      <c r="H803" s="65">
        <v>506</v>
      </c>
      <c r="I803" s="67">
        <v>0.50827815408343502</v>
      </c>
      <c r="J803" s="67">
        <v>1.7893362848623</v>
      </c>
      <c r="K803" s="65">
        <v>73</v>
      </c>
      <c r="L803" s="65">
        <v>10</v>
      </c>
      <c r="M803" s="66">
        <v>3.9735099337748297E-2</v>
      </c>
      <c r="N803" s="67">
        <v>686.41142919980803</v>
      </c>
      <c r="O803" s="67">
        <v>114.40190486663499</v>
      </c>
      <c r="P803" s="67">
        <v>76.750001266598701</v>
      </c>
      <c r="Q803" s="77">
        <v>0.111813408113077</v>
      </c>
    </row>
    <row r="804" spans="1:17" x14ac:dyDescent="0.35">
      <c r="A804" s="76" t="s">
        <v>136</v>
      </c>
      <c r="B804" s="63">
        <v>987456</v>
      </c>
      <c r="C804" s="63" t="s">
        <v>144</v>
      </c>
      <c r="D804" s="64">
        <v>42592</v>
      </c>
      <c r="E804" s="63" t="s">
        <v>138</v>
      </c>
      <c r="F804" s="65">
        <v>22056</v>
      </c>
      <c r="G804" s="66">
        <v>3.76414532459797E-3</v>
      </c>
      <c r="H804" s="65">
        <v>478</v>
      </c>
      <c r="I804" s="67">
        <v>0.51854430874691704</v>
      </c>
      <c r="J804" s="67">
        <v>1.9518761353666001</v>
      </c>
      <c r="K804" s="65">
        <v>78</v>
      </c>
      <c r="L804" s="65">
        <v>11</v>
      </c>
      <c r="M804" s="66">
        <v>3.1645569620253201E-2</v>
      </c>
      <c r="N804" s="67">
        <v>717.10640817988599</v>
      </c>
      <c r="O804" s="67">
        <v>143.42128163597701</v>
      </c>
      <c r="P804" s="67">
        <v>81.930000782012897</v>
      </c>
      <c r="Q804" s="77">
        <v>0.114250827837339</v>
      </c>
    </row>
    <row r="805" spans="1:17" x14ac:dyDescent="0.35">
      <c r="A805" s="76" t="s">
        <v>136</v>
      </c>
      <c r="B805" s="63">
        <v>987456</v>
      </c>
      <c r="C805" s="63" t="s">
        <v>144</v>
      </c>
      <c r="D805" s="64">
        <v>42593</v>
      </c>
      <c r="E805" s="63" t="s">
        <v>138</v>
      </c>
      <c r="F805" s="65">
        <v>340</v>
      </c>
      <c r="G805" s="66">
        <v>3.7603488592555098E-3</v>
      </c>
      <c r="H805" s="65">
        <v>313</v>
      </c>
      <c r="I805" s="67">
        <v>0.49714286963478899</v>
      </c>
      <c r="J805" s="67">
        <v>1.86943062271819</v>
      </c>
      <c r="K805" s="65">
        <v>61</v>
      </c>
      <c r="L805" s="65">
        <v>8</v>
      </c>
      <c r="M805" s="66">
        <v>2.5210084033613401E-2</v>
      </c>
      <c r="N805" s="67">
        <v>417.584483223468</v>
      </c>
      <c r="O805" s="67">
        <v>139.19482774115599</v>
      </c>
      <c r="P805" s="67">
        <v>59.160001486539798</v>
      </c>
      <c r="Q805" s="77">
        <v>0.14167193433497599</v>
      </c>
    </row>
    <row r="806" spans="1:17" x14ac:dyDescent="0.35">
      <c r="A806" s="76" t="s">
        <v>136</v>
      </c>
      <c r="B806" s="63">
        <v>987456</v>
      </c>
      <c r="C806" s="63" t="s">
        <v>144</v>
      </c>
      <c r="D806" s="64">
        <v>42594</v>
      </c>
      <c r="E806" s="63" t="s">
        <v>138</v>
      </c>
      <c r="F806" s="65">
        <v>56040</v>
      </c>
      <c r="G806" s="66">
        <v>4.2520715220235499E-3</v>
      </c>
      <c r="H806" s="65">
        <v>545</v>
      </c>
      <c r="I806" s="67">
        <v>0.51814103298462399</v>
      </c>
      <c r="J806" s="67">
        <v>2.2031727307457798</v>
      </c>
      <c r="K806" s="65">
        <v>49</v>
      </c>
      <c r="L806" s="65">
        <v>12</v>
      </c>
      <c r="M806" s="66">
        <v>2.5641025641025599E-2</v>
      </c>
      <c r="N806" s="67">
        <v>484.86808925522803</v>
      </c>
      <c r="O806" s="67">
        <v>121.21702231380701</v>
      </c>
      <c r="P806" s="67">
        <v>80.830001145601301</v>
      </c>
      <c r="Q806" s="77">
        <v>0.16670513679248</v>
      </c>
    </row>
    <row r="807" spans="1:17" x14ac:dyDescent="0.35">
      <c r="A807" s="76" t="s">
        <v>136</v>
      </c>
      <c r="B807" s="63">
        <v>987456</v>
      </c>
      <c r="C807" s="63" t="s">
        <v>144</v>
      </c>
      <c r="D807" s="64">
        <v>42595</v>
      </c>
      <c r="E807" s="63" t="s">
        <v>138</v>
      </c>
      <c r="F807" s="65">
        <v>36862</v>
      </c>
      <c r="G807" s="66">
        <v>3.8098790430010098E-3</v>
      </c>
      <c r="H807" s="65">
        <v>208</v>
      </c>
      <c r="I807" s="67">
        <v>0.52804196360227895</v>
      </c>
      <c r="J807" s="67">
        <v>2.0117760109534299</v>
      </c>
      <c r="K807" s="65">
        <v>64</v>
      </c>
      <c r="L807" s="65">
        <v>13</v>
      </c>
      <c r="M807" s="66">
        <v>3.4965034965035002E-2</v>
      </c>
      <c r="N807" s="67">
        <v>525.176743429927</v>
      </c>
      <c r="O807" s="67">
        <v>105.035348685985</v>
      </c>
      <c r="P807" s="67">
        <v>75.510000795126004</v>
      </c>
      <c r="Q807" s="77">
        <v>0.143780168752277</v>
      </c>
    </row>
    <row r="808" spans="1:17" x14ac:dyDescent="0.35">
      <c r="A808" s="76" t="s">
        <v>136</v>
      </c>
      <c r="B808" s="63">
        <v>987456</v>
      </c>
      <c r="C808" s="63" t="s">
        <v>144</v>
      </c>
      <c r="D808" s="64">
        <v>42596</v>
      </c>
      <c r="E808" s="63" t="s">
        <v>138</v>
      </c>
      <c r="F808" s="65">
        <v>47097</v>
      </c>
      <c r="G808" s="66">
        <v>3.0899961375048298E-3</v>
      </c>
      <c r="H808" s="65">
        <v>293</v>
      </c>
      <c r="I808" s="67">
        <v>0.474196438544563</v>
      </c>
      <c r="J808" s="67">
        <v>1.4652651635212399</v>
      </c>
      <c r="K808" s="65">
        <v>35</v>
      </c>
      <c r="L808" s="65">
        <v>17</v>
      </c>
      <c r="M808" s="66">
        <v>8.9285714285714302E-2</v>
      </c>
      <c r="N808" s="67">
        <v>800.91395199679198</v>
      </c>
      <c r="O808" s="67">
        <v>80.091395199679198</v>
      </c>
      <c r="P808" s="67">
        <v>53.110001116991</v>
      </c>
      <c r="Q808" s="77">
        <v>6.6311744207452394E-2</v>
      </c>
    </row>
    <row r="809" spans="1:17" x14ac:dyDescent="0.35">
      <c r="A809" s="76" t="s">
        <v>136</v>
      </c>
      <c r="B809" s="63">
        <v>987456</v>
      </c>
      <c r="C809" s="63" t="s">
        <v>144</v>
      </c>
      <c r="D809" s="64">
        <v>42597</v>
      </c>
      <c r="E809" s="63" t="s">
        <v>138</v>
      </c>
      <c r="F809" s="65">
        <v>42841</v>
      </c>
      <c r="G809" s="66">
        <v>3.6103716129973402E-3</v>
      </c>
      <c r="H809" s="65">
        <v>474</v>
      </c>
      <c r="I809" s="67">
        <v>0.56606060823406801</v>
      </c>
      <c r="J809" s="67">
        <v>2.0436891512042901</v>
      </c>
      <c r="K809" s="65">
        <v>51</v>
      </c>
      <c r="L809" s="65">
        <v>13</v>
      </c>
      <c r="M809" s="66">
        <v>7.0707070707070704E-2</v>
      </c>
      <c r="N809" s="67">
        <v>1052.1210816671701</v>
      </c>
      <c r="O809" s="67">
        <v>150.303011666738</v>
      </c>
      <c r="P809" s="67">
        <v>56.040000215172803</v>
      </c>
      <c r="Q809" s="77">
        <v>5.3263831693566299E-2</v>
      </c>
    </row>
    <row r="810" spans="1:17" x14ac:dyDescent="0.35">
      <c r="A810" s="76" t="s">
        <v>136</v>
      </c>
      <c r="B810" s="63">
        <v>987456</v>
      </c>
      <c r="C810" s="63" t="s">
        <v>144</v>
      </c>
      <c r="D810" s="64">
        <v>42598</v>
      </c>
      <c r="E810" s="63" t="s">
        <v>138</v>
      </c>
      <c r="F810" s="65">
        <v>61650</v>
      </c>
      <c r="G810" s="66">
        <v>4.6098123147843301E-3</v>
      </c>
      <c r="H810" s="65">
        <v>253</v>
      </c>
      <c r="I810" s="67">
        <v>0.51857143579697096</v>
      </c>
      <c r="J810" s="67">
        <v>2.3905169908322699</v>
      </c>
      <c r="K810" s="65">
        <v>48</v>
      </c>
      <c r="L810" s="65">
        <v>17</v>
      </c>
      <c r="M810" s="66">
        <v>7.1428571428571397E-2</v>
      </c>
      <c r="N810" s="67">
        <v>560.78632405388498</v>
      </c>
      <c r="O810" s="67">
        <v>80.112332007697802</v>
      </c>
      <c r="P810" s="67">
        <v>50.820000708103201</v>
      </c>
      <c r="Q810" s="77">
        <v>9.0622753316680404E-2</v>
      </c>
    </row>
    <row r="811" spans="1:17" x14ac:dyDescent="0.35">
      <c r="A811" s="76" t="s">
        <v>136</v>
      </c>
      <c r="B811" s="63">
        <v>987456</v>
      </c>
      <c r="C811" s="63" t="s">
        <v>144</v>
      </c>
      <c r="D811" s="64">
        <v>42599</v>
      </c>
      <c r="E811" s="63" t="s">
        <v>138</v>
      </c>
      <c r="F811" s="65">
        <v>58660</v>
      </c>
      <c r="G811" s="66">
        <v>3.8154525829609898E-3</v>
      </c>
      <c r="H811" s="65">
        <v>288</v>
      </c>
      <c r="I811" s="67">
        <v>0.502368417029318</v>
      </c>
      <c r="J811" s="67">
        <v>1.91676287435254</v>
      </c>
      <c r="K811" s="65">
        <v>58</v>
      </c>
      <c r="L811" s="65">
        <v>9</v>
      </c>
      <c r="M811" s="66">
        <v>5.2631578947368397E-2</v>
      </c>
      <c r="N811" s="67">
        <v>711.32955273218602</v>
      </c>
      <c r="O811" s="67">
        <v>177.83238818304599</v>
      </c>
      <c r="P811" s="67">
        <v>38.179999694228201</v>
      </c>
      <c r="Q811" s="77">
        <v>5.3674136759228497E-2</v>
      </c>
    </row>
    <row r="812" spans="1:17" x14ac:dyDescent="0.35">
      <c r="A812" s="76" t="s">
        <v>136</v>
      </c>
      <c r="B812" s="63">
        <v>987456</v>
      </c>
      <c r="C812" s="63" t="s">
        <v>144</v>
      </c>
      <c r="D812" s="64">
        <v>42600</v>
      </c>
      <c r="E812" s="63" t="s">
        <v>138</v>
      </c>
      <c r="F812" s="65">
        <v>43844</v>
      </c>
      <c r="G812" s="66">
        <v>4.6734668996626996E-3</v>
      </c>
      <c r="H812" s="65">
        <v>203</v>
      </c>
      <c r="I812" s="67">
        <v>0.48930434260679301</v>
      </c>
      <c r="J812" s="67">
        <v>2.2867476490340599</v>
      </c>
      <c r="K812" s="65">
        <v>14</v>
      </c>
      <c r="L812" s="65">
        <v>10</v>
      </c>
      <c r="M812" s="66">
        <v>5.21739130434783E-2</v>
      </c>
      <c r="N812" s="67">
        <v>683.13502920025405</v>
      </c>
      <c r="O812" s="67">
        <v>113.855838200042</v>
      </c>
      <c r="P812" s="67">
        <v>56.269999399781199</v>
      </c>
      <c r="Q812" s="77">
        <v>8.2370244526410105E-2</v>
      </c>
    </row>
    <row r="813" spans="1:17" x14ac:dyDescent="0.35">
      <c r="A813" s="76" t="s">
        <v>136</v>
      </c>
      <c r="B813" s="63">
        <v>987456</v>
      </c>
      <c r="C813" s="63" t="s">
        <v>144</v>
      </c>
      <c r="D813" s="64">
        <v>42601</v>
      </c>
      <c r="E813" s="63" t="s">
        <v>138</v>
      </c>
      <c r="F813" s="65">
        <v>35966</v>
      </c>
      <c r="G813" s="66">
        <v>4.7978257252204804E-3</v>
      </c>
      <c r="H813" s="65">
        <v>332</v>
      </c>
      <c r="I813" s="67">
        <v>0.47578034295856603</v>
      </c>
      <c r="J813" s="67">
        <v>2.2827111690008302</v>
      </c>
      <c r="K813" s="65">
        <v>76</v>
      </c>
      <c r="L813" s="65">
        <v>13</v>
      </c>
      <c r="M813" s="66">
        <v>4.0462427745664699E-2</v>
      </c>
      <c r="N813" s="67">
        <v>887.69616700797496</v>
      </c>
      <c r="O813" s="67">
        <v>126.81373814399601</v>
      </c>
      <c r="P813" s="67">
        <v>82.309999331831904</v>
      </c>
      <c r="Q813" s="77">
        <v>9.2723166316310598E-2</v>
      </c>
    </row>
    <row r="814" spans="1:17" x14ac:dyDescent="0.35">
      <c r="A814" s="76" t="s">
        <v>136</v>
      </c>
      <c r="B814" s="63">
        <v>987456</v>
      </c>
      <c r="C814" s="63" t="s">
        <v>144</v>
      </c>
      <c r="D814" s="64">
        <v>42602</v>
      </c>
      <c r="E814" s="63" t="s">
        <v>138</v>
      </c>
      <c r="F814" s="65">
        <v>13142</v>
      </c>
      <c r="G814" s="66">
        <v>4.3080497603949896E-3</v>
      </c>
      <c r="H814" s="65">
        <v>474</v>
      </c>
      <c r="I814" s="67">
        <v>0.54078651680035505</v>
      </c>
      <c r="J814" s="67">
        <v>2.32973522412661</v>
      </c>
      <c r="K814" s="65">
        <v>46</v>
      </c>
      <c r="L814" s="65">
        <v>20</v>
      </c>
      <c r="M814" s="66">
        <v>8.4269662921348298E-2</v>
      </c>
      <c r="N814" s="67">
        <v>1881.91929281241</v>
      </c>
      <c r="O814" s="67">
        <v>125.461286187494</v>
      </c>
      <c r="P814" s="67">
        <v>96.259999990463299</v>
      </c>
      <c r="Q814" s="77">
        <v>5.1149908690615899E-2</v>
      </c>
    </row>
    <row r="815" spans="1:17" x14ac:dyDescent="0.35">
      <c r="A815" s="76" t="s">
        <v>136</v>
      </c>
      <c r="B815" s="63">
        <v>987456</v>
      </c>
      <c r="C815" s="63" t="s">
        <v>144</v>
      </c>
      <c r="D815" s="64">
        <v>42603</v>
      </c>
      <c r="E815" s="63" t="s">
        <v>138</v>
      </c>
      <c r="F815" s="65">
        <v>63000</v>
      </c>
      <c r="G815" s="66">
        <v>3.9492160074888804E-3</v>
      </c>
      <c r="H815" s="65">
        <v>418</v>
      </c>
      <c r="I815" s="67">
        <v>0.50740740762816505</v>
      </c>
      <c r="J815" s="67">
        <v>2.0038614565235902</v>
      </c>
      <c r="K815" s="65">
        <v>13</v>
      </c>
      <c r="L815" s="65">
        <v>10</v>
      </c>
      <c r="M815" s="66">
        <v>5.9259259259259303E-2</v>
      </c>
      <c r="N815" s="67">
        <v>773.23678568080095</v>
      </c>
      <c r="O815" s="67">
        <v>96.654598210100104</v>
      </c>
      <c r="P815" s="67">
        <v>68.500000029802294</v>
      </c>
      <c r="Q815" s="77">
        <v>8.8588646192629197E-2</v>
      </c>
    </row>
    <row r="816" spans="1:17" x14ac:dyDescent="0.35">
      <c r="A816" s="76" t="s">
        <v>136</v>
      </c>
      <c r="B816" s="63">
        <v>987456</v>
      </c>
      <c r="C816" s="63" t="s">
        <v>144</v>
      </c>
      <c r="D816" s="64">
        <v>42604</v>
      </c>
      <c r="E816" s="63" t="s">
        <v>138</v>
      </c>
      <c r="F816" s="65">
        <v>17955</v>
      </c>
      <c r="G816" s="66">
        <v>4.3038200112789802E-3</v>
      </c>
      <c r="H816" s="65">
        <v>190</v>
      </c>
      <c r="I816" s="67">
        <v>0.49862068634608703</v>
      </c>
      <c r="J816" s="67">
        <v>2.1459736879339499</v>
      </c>
      <c r="K816" s="65">
        <v>22</v>
      </c>
      <c r="L816" s="65">
        <v>15</v>
      </c>
      <c r="M816" s="66">
        <v>6.8965517241379296E-2</v>
      </c>
      <c r="N816" s="67">
        <v>1146.1027615398</v>
      </c>
      <c r="O816" s="67">
        <v>114.61027615398</v>
      </c>
      <c r="P816" s="67">
        <v>72.299999520182595</v>
      </c>
      <c r="Q816" s="77">
        <v>6.3083348148508703E-2</v>
      </c>
    </row>
    <row r="817" spans="1:17" x14ac:dyDescent="0.35">
      <c r="A817" s="76" t="s">
        <v>136</v>
      </c>
      <c r="B817" s="63">
        <v>987456</v>
      </c>
      <c r="C817" s="63" t="s">
        <v>144</v>
      </c>
      <c r="D817" s="64">
        <v>42605</v>
      </c>
      <c r="E817" s="63" t="s">
        <v>138</v>
      </c>
      <c r="F817" s="65">
        <v>11777</v>
      </c>
      <c r="G817" s="66">
        <v>4.2035398230088504E-3</v>
      </c>
      <c r="H817" s="65">
        <v>586</v>
      </c>
      <c r="I817" s="67">
        <v>0.54353383317925896</v>
      </c>
      <c r="J817" s="67">
        <v>2.2847661129216599</v>
      </c>
      <c r="K817" s="65">
        <v>12</v>
      </c>
      <c r="L817" s="65">
        <v>13</v>
      </c>
      <c r="M817" s="66">
        <v>7.5187969924811998E-2</v>
      </c>
      <c r="N817" s="67">
        <v>859.11363666479804</v>
      </c>
      <c r="O817" s="67">
        <v>85.911363666479801</v>
      </c>
      <c r="P817" s="67">
        <v>72.289999812841401</v>
      </c>
      <c r="Q817" s="77">
        <v>8.4144863645141899E-2</v>
      </c>
    </row>
    <row r="818" spans="1:17" x14ac:dyDescent="0.35">
      <c r="A818" s="76" t="s">
        <v>136</v>
      </c>
      <c r="B818" s="63">
        <v>987456</v>
      </c>
      <c r="C818" s="63" t="s">
        <v>144</v>
      </c>
      <c r="D818" s="64">
        <v>42606</v>
      </c>
      <c r="E818" s="63" t="s">
        <v>138</v>
      </c>
      <c r="F818" s="65">
        <v>26785</v>
      </c>
      <c r="G818" s="66">
        <v>4.2750395171720097E-3</v>
      </c>
      <c r="H818" s="65">
        <v>323</v>
      </c>
      <c r="I818" s="67">
        <v>0.56302520131864497</v>
      </c>
      <c r="J818" s="67">
        <v>2.40695498480093</v>
      </c>
      <c r="K818" s="65">
        <v>79</v>
      </c>
      <c r="L818" s="65">
        <v>18</v>
      </c>
      <c r="M818" s="66">
        <v>7.5630252100840303E-2</v>
      </c>
      <c r="N818" s="67">
        <v>695.24916971031996</v>
      </c>
      <c r="O818" s="67">
        <v>77.249907745591102</v>
      </c>
      <c r="P818" s="67">
        <v>66.999998956918702</v>
      </c>
      <c r="Q818" s="77">
        <v>9.63683264588934E-2</v>
      </c>
    </row>
    <row r="819" spans="1:17" x14ac:dyDescent="0.35">
      <c r="A819" s="76" t="s">
        <v>136</v>
      </c>
      <c r="B819" s="63">
        <v>987456</v>
      </c>
      <c r="C819" s="63" t="s">
        <v>144</v>
      </c>
      <c r="D819" s="64">
        <v>42607</v>
      </c>
      <c r="E819" s="63" t="s">
        <v>138</v>
      </c>
      <c r="F819" s="65">
        <v>56908</v>
      </c>
      <c r="G819" s="66">
        <v>3.5682839797951701E-3</v>
      </c>
      <c r="H819" s="65">
        <v>585</v>
      </c>
      <c r="I819" s="67">
        <v>0.55233765964384196</v>
      </c>
      <c r="J819" s="67">
        <v>1.9708976223446799</v>
      </c>
      <c r="K819" s="65">
        <v>92</v>
      </c>
      <c r="L819" s="65">
        <v>9</v>
      </c>
      <c r="M819" s="66">
        <v>7.7922077922077906E-2</v>
      </c>
      <c r="N819" s="67">
        <v>1122.21936724025</v>
      </c>
      <c r="O819" s="67">
        <v>187.036561206709</v>
      </c>
      <c r="P819" s="67">
        <v>42.529999792575801</v>
      </c>
      <c r="Q819" s="77">
        <v>3.7898116031596499E-2</v>
      </c>
    </row>
    <row r="820" spans="1:17" x14ac:dyDescent="0.35">
      <c r="A820" s="76" t="s">
        <v>136</v>
      </c>
      <c r="B820" s="63">
        <v>987456</v>
      </c>
      <c r="C820" s="63" t="s">
        <v>144</v>
      </c>
      <c r="D820" s="64">
        <v>42608</v>
      </c>
      <c r="E820" s="63" t="s">
        <v>138</v>
      </c>
      <c r="F820" s="65">
        <v>21108</v>
      </c>
      <c r="G820" s="66">
        <v>4.6298244875626103E-3</v>
      </c>
      <c r="H820" s="65">
        <v>566</v>
      </c>
      <c r="I820" s="67">
        <v>0.56545454372059201</v>
      </c>
      <c r="J820" s="67">
        <v>2.6179552931211401</v>
      </c>
      <c r="K820" s="65">
        <v>85</v>
      </c>
      <c r="L820" s="65">
        <v>14</v>
      </c>
      <c r="M820" s="66">
        <v>5.4545454545454501E-2</v>
      </c>
      <c r="N820" s="67">
        <v>923.86619040299604</v>
      </c>
      <c r="O820" s="67">
        <v>153.97769840049901</v>
      </c>
      <c r="P820" s="67">
        <v>62.199999809265101</v>
      </c>
      <c r="Q820" s="77">
        <v>6.7325766929660205E-2</v>
      </c>
    </row>
    <row r="821" spans="1:17" x14ac:dyDescent="0.35">
      <c r="A821" s="76" t="s">
        <v>136</v>
      </c>
      <c r="B821" s="63">
        <v>987456</v>
      </c>
      <c r="C821" s="63" t="s">
        <v>144</v>
      </c>
      <c r="D821" s="64">
        <v>42609</v>
      </c>
      <c r="E821" s="63" t="s">
        <v>138</v>
      </c>
      <c r="F821" s="65">
        <v>60540</v>
      </c>
      <c r="G821" s="66">
        <v>3.7602639858798298E-3</v>
      </c>
      <c r="H821" s="65">
        <v>339</v>
      </c>
      <c r="I821" s="67">
        <v>0.52785714768937697</v>
      </c>
      <c r="J821" s="67">
        <v>1.9848822221456099</v>
      </c>
      <c r="K821" s="65">
        <v>63</v>
      </c>
      <c r="L821" s="65">
        <v>16</v>
      </c>
      <c r="M821" s="66">
        <v>9.1836734693877597E-2</v>
      </c>
      <c r="N821" s="67">
        <v>1261.25197880102</v>
      </c>
      <c r="O821" s="67">
        <v>140.13910875566901</v>
      </c>
      <c r="P821" s="67">
        <v>51.730000473558903</v>
      </c>
      <c r="Q821" s="77">
        <v>4.1014802230664997E-2</v>
      </c>
    </row>
    <row r="822" spans="1:17" x14ac:dyDescent="0.35">
      <c r="A822" s="76" t="s">
        <v>136</v>
      </c>
      <c r="B822" s="63">
        <v>987456</v>
      </c>
      <c r="C822" s="63" t="s">
        <v>144</v>
      </c>
      <c r="D822" s="64">
        <v>42610</v>
      </c>
      <c r="E822" s="63" t="s">
        <v>138</v>
      </c>
      <c r="F822" s="65">
        <v>32782</v>
      </c>
      <c r="G822" s="66">
        <v>2.6432776643037399E-3</v>
      </c>
      <c r="H822" s="65">
        <v>316</v>
      </c>
      <c r="I822" s="67">
        <v>0.555000008168546</v>
      </c>
      <c r="J822" s="67">
        <v>1.46701912528031</v>
      </c>
      <c r="K822" s="65">
        <v>62</v>
      </c>
      <c r="L822" s="65">
        <v>6</v>
      </c>
      <c r="M822" s="66">
        <v>1.5151515151515201E-2</v>
      </c>
      <c r="N822" s="67">
        <v>192.92119330919101</v>
      </c>
      <c r="O822" s="67">
        <v>192.92119330919101</v>
      </c>
      <c r="P822" s="67">
        <v>36.630000539123998</v>
      </c>
      <c r="Q822" s="77">
        <v>0.189870277654865</v>
      </c>
    </row>
    <row r="823" spans="1:17" x14ac:dyDescent="0.35">
      <c r="A823" s="76" t="s">
        <v>136</v>
      </c>
      <c r="B823" s="63">
        <v>987456</v>
      </c>
      <c r="C823" s="63" t="s">
        <v>144</v>
      </c>
      <c r="D823" s="64">
        <v>42611</v>
      </c>
      <c r="E823" s="63" t="s">
        <v>138</v>
      </c>
      <c r="F823" s="65">
        <v>47503</v>
      </c>
      <c r="G823" s="66">
        <v>4.0267306374228897E-3</v>
      </c>
      <c r="H823" s="65">
        <v>381</v>
      </c>
      <c r="I823" s="67">
        <v>0.49521277710161299</v>
      </c>
      <c r="J823" s="67">
        <v>1.9940884615983401</v>
      </c>
      <c r="K823" s="65">
        <v>28</v>
      </c>
      <c r="L823" s="65">
        <v>13</v>
      </c>
      <c r="M823" s="66">
        <v>6.3829787234042507E-2</v>
      </c>
      <c r="N823" s="67">
        <v>884.20416984420001</v>
      </c>
      <c r="O823" s="67">
        <v>147.36736164070001</v>
      </c>
      <c r="P823" s="67">
        <v>46.550001047551604</v>
      </c>
      <c r="Q823" s="77">
        <v>5.26462129846706E-2</v>
      </c>
    </row>
    <row r="824" spans="1:17" x14ac:dyDescent="0.35">
      <c r="A824" s="76" t="s">
        <v>136</v>
      </c>
      <c r="B824" s="63">
        <v>987456</v>
      </c>
      <c r="C824" s="63" t="s">
        <v>144</v>
      </c>
      <c r="D824" s="64">
        <v>42612</v>
      </c>
      <c r="E824" s="63" t="s">
        <v>138</v>
      </c>
      <c r="F824" s="65">
        <v>54628</v>
      </c>
      <c r="G824" s="66">
        <v>2.8686173264486502E-3</v>
      </c>
      <c r="H824" s="65">
        <v>560</v>
      </c>
      <c r="I824" s="67">
        <v>0.54088889741235302</v>
      </c>
      <c r="J824" s="67">
        <v>1.5516032628007801</v>
      </c>
      <c r="K824" s="65">
        <v>41</v>
      </c>
      <c r="L824" s="65">
        <v>12</v>
      </c>
      <c r="M824" s="66">
        <v>0.133333333333333</v>
      </c>
      <c r="N824" s="67">
        <v>1042.8091023868301</v>
      </c>
      <c r="O824" s="67">
        <v>173.801517064471</v>
      </c>
      <c r="P824" s="67">
        <v>24.3400003835559</v>
      </c>
      <c r="Q824" s="77">
        <v>2.3340801617329002E-2</v>
      </c>
    </row>
    <row r="825" spans="1:17" x14ac:dyDescent="0.35">
      <c r="A825" s="76" t="s">
        <v>136</v>
      </c>
      <c r="B825" s="63">
        <v>987456</v>
      </c>
      <c r="C825" s="63" t="s">
        <v>144</v>
      </c>
      <c r="D825" s="64">
        <v>42613</v>
      </c>
      <c r="E825" s="63" t="s">
        <v>138</v>
      </c>
      <c r="F825" s="65">
        <v>18391</v>
      </c>
      <c r="G825" s="66">
        <v>2.5112344699973598E-3</v>
      </c>
      <c r="H825" s="65">
        <v>255</v>
      </c>
      <c r="I825" s="67">
        <v>0.61184210643956505</v>
      </c>
      <c r="J825" s="67">
        <v>1.5364789878868299</v>
      </c>
      <c r="K825" s="65">
        <v>92</v>
      </c>
      <c r="L825" s="65">
        <v>14</v>
      </c>
      <c r="M825" s="66">
        <v>0.18421052631578899</v>
      </c>
      <c r="N825" s="67">
        <v>1071.4778317975899</v>
      </c>
      <c r="O825" s="67">
        <v>153.06826168537</v>
      </c>
      <c r="P825" s="67">
        <v>23.250000044703501</v>
      </c>
      <c r="Q825" s="77">
        <v>2.1699002400915299E-2</v>
      </c>
    </row>
    <row r="826" spans="1:17" x14ac:dyDescent="0.35">
      <c r="A826" s="76" t="s">
        <v>136</v>
      </c>
      <c r="B826" s="63">
        <v>987456</v>
      </c>
      <c r="C826" s="63" t="s">
        <v>144</v>
      </c>
      <c r="D826" s="64">
        <v>42614</v>
      </c>
      <c r="E826" s="63" t="s">
        <v>138</v>
      </c>
      <c r="F826" s="65">
        <v>6846</v>
      </c>
      <c r="G826" s="66">
        <v>4.1055718475073296E-3</v>
      </c>
      <c r="H826" s="65">
        <v>334</v>
      </c>
      <c r="I826" s="67">
        <v>0.58102040996356896</v>
      </c>
      <c r="J826" s="67">
        <v>2.3854210379735998</v>
      </c>
      <c r="K826" s="65">
        <v>78</v>
      </c>
      <c r="L826" s="65">
        <v>7</v>
      </c>
      <c r="M826" s="66">
        <v>6.1224489795918401E-2</v>
      </c>
      <c r="N826" s="67">
        <v>273.965966271517</v>
      </c>
      <c r="O826" s="67">
        <v>91.321988757172406</v>
      </c>
      <c r="P826" s="67">
        <v>28.470000088214899</v>
      </c>
      <c r="Q826" s="77">
        <v>0.103918017539446</v>
      </c>
    </row>
    <row r="827" spans="1:17" x14ac:dyDescent="0.35">
      <c r="A827" s="76" t="s">
        <v>136</v>
      </c>
      <c r="B827" s="63">
        <v>987456</v>
      </c>
      <c r="C827" s="63" t="s">
        <v>144</v>
      </c>
      <c r="D827" s="64">
        <v>42615</v>
      </c>
      <c r="E827" s="63" t="s">
        <v>138</v>
      </c>
      <c r="F827" s="65">
        <v>10741</v>
      </c>
      <c r="G827" s="66">
        <v>3.0391031268994402E-3</v>
      </c>
      <c r="H827" s="65">
        <v>419</v>
      </c>
      <c r="I827" s="67">
        <v>0.534666671024428</v>
      </c>
      <c r="J827" s="67">
        <v>1.6249071517592499</v>
      </c>
      <c r="K827" s="65">
        <v>82</v>
      </c>
      <c r="L827" s="65">
        <v>14</v>
      </c>
      <c r="M827" s="66">
        <v>0.17777777777777801</v>
      </c>
      <c r="N827" s="67">
        <v>1168.6656853332399</v>
      </c>
      <c r="O827" s="67">
        <v>146.08321066665599</v>
      </c>
      <c r="P827" s="67">
        <v>24.060000196099299</v>
      </c>
      <c r="Q827" s="77">
        <v>2.05875816309594E-2</v>
      </c>
    </row>
    <row r="828" spans="1:17" x14ac:dyDescent="0.35">
      <c r="A828" s="76" t="s">
        <v>136</v>
      </c>
      <c r="B828" s="63">
        <v>987456</v>
      </c>
      <c r="C828" s="63" t="s">
        <v>144</v>
      </c>
      <c r="D828" s="64">
        <v>42616</v>
      </c>
      <c r="E828" s="63" t="s">
        <v>138</v>
      </c>
      <c r="F828" s="65">
        <v>19137</v>
      </c>
      <c r="G828" s="66">
        <v>3.7925324501896299E-3</v>
      </c>
      <c r="H828" s="65">
        <v>301</v>
      </c>
      <c r="I828" s="67">
        <v>0.57267605198520999</v>
      </c>
      <c r="J828" s="67">
        <v>2.1718925106003901</v>
      </c>
      <c r="K828" s="65">
        <v>47</v>
      </c>
      <c r="L828" s="65">
        <v>18</v>
      </c>
      <c r="M828" s="66">
        <v>8.4507042253521097E-2</v>
      </c>
      <c r="N828" s="67">
        <v>838.65421644036405</v>
      </c>
      <c r="O828" s="67">
        <v>139.77570274006101</v>
      </c>
      <c r="P828" s="67">
        <v>40.659999690949903</v>
      </c>
      <c r="Q828" s="77">
        <v>4.8482436377092E-2</v>
      </c>
    </row>
    <row r="829" spans="1:17" x14ac:dyDescent="0.35">
      <c r="A829" s="76" t="s">
        <v>136</v>
      </c>
      <c r="B829" s="63">
        <v>987456</v>
      </c>
      <c r="C829" s="63" t="s">
        <v>144</v>
      </c>
      <c r="D829" s="64">
        <v>42617</v>
      </c>
      <c r="E829" s="63" t="s">
        <v>138</v>
      </c>
      <c r="F829" s="65">
        <v>42854</v>
      </c>
      <c r="G829" s="66">
        <v>3.5275146139891198E-3</v>
      </c>
      <c r="H829" s="65">
        <v>180</v>
      </c>
      <c r="I829" s="67">
        <v>0.49299999879939199</v>
      </c>
      <c r="J829" s="67">
        <v>1.7390647004614701</v>
      </c>
      <c r="K829" s="65">
        <v>49</v>
      </c>
      <c r="L829" s="65">
        <v>6</v>
      </c>
      <c r="M829" s="66">
        <v>7.1428571428571397E-2</v>
      </c>
      <c r="N829" s="67">
        <v>364.40603631505098</v>
      </c>
      <c r="O829" s="67">
        <v>72.881207263010296</v>
      </c>
      <c r="P829" s="67">
        <v>34.509999915957501</v>
      </c>
      <c r="Q829" s="77">
        <v>9.4702053415277196E-2</v>
      </c>
    </row>
    <row r="830" spans="1:17" x14ac:dyDescent="0.35">
      <c r="A830" s="76" t="s">
        <v>136</v>
      </c>
      <c r="B830" s="63">
        <v>987456</v>
      </c>
      <c r="C830" s="63" t="s">
        <v>144</v>
      </c>
      <c r="D830" s="64">
        <v>42618</v>
      </c>
      <c r="E830" s="63" t="s">
        <v>138</v>
      </c>
      <c r="F830" s="65">
        <v>60709</v>
      </c>
      <c r="G830" s="66">
        <v>4.2080226867310102E-3</v>
      </c>
      <c r="H830" s="65">
        <v>291</v>
      </c>
      <c r="I830" s="67">
        <v>0.54206521161224497</v>
      </c>
      <c r="J830" s="67">
        <v>2.2810227081519701</v>
      </c>
      <c r="K830" s="65">
        <v>75</v>
      </c>
      <c r="L830" s="65">
        <v>11</v>
      </c>
      <c r="M830" s="66">
        <v>6.5217391304347797E-2</v>
      </c>
      <c r="N830" s="67">
        <v>499.25038524169798</v>
      </c>
      <c r="O830" s="67">
        <v>83.208397540283002</v>
      </c>
      <c r="P830" s="67">
        <v>49.869999468326597</v>
      </c>
      <c r="Q830" s="77">
        <v>9.9889756608166499E-2</v>
      </c>
    </row>
    <row r="831" spans="1:17" x14ac:dyDescent="0.35">
      <c r="A831" s="76" t="s">
        <v>136</v>
      </c>
      <c r="B831" s="63">
        <v>987456</v>
      </c>
      <c r="C831" s="63" t="s">
        <v>144</v>
      </c>
      <c r="D831" s="64">
        <v>42619</v>
      </c>
      <c r="E831" s="63" t="s">
        <v>138</v>
      </c>
      <c r="F831" s="65">
        <v>63203</v>
      </c>
      <c r="G831" s="66">
        <v>3.8357225881441299E-3</v>
      </c>
      <c r="H831" s="65">
        <v>358</v>
      </c>
      <c r="I831" s="67">
        <v>0.61030302309628703</v>
      </c>
      <c r="J831" s="67">
        <v>2.34095309130308</v>
      </c>
      <c r="K831" s="65">
        <v>80</v>
      </c>
      <c r="L831" s="65">
        <v>6</v>
      </c>
      <c r="M831" s="66">
        <v>5.0505050505050497E-2</v>
      </c>
      <c r="N831" s="67">
        <v>610.98860920563698</v>
      </c>
      <c r="O831" s="67">
        <v>122.19772184112701</v>
      </c>
      <c r="P831" s="67">
        <v>60.419999286532402</v>
      </c>
      <c r="Q831" s="77">
        <v>9.8888912782001195E-2</v>
      </c>
    </row>
    <row r="832" spans="1:17" x14ac:dyDescent="0.35">
      <c r="A832" s="76" t="s">
        <v>136</v>
      </c>
      <c r="B832" s="63">
        <v>987456</v>
      </c>
      <c r="C832" s="63" t="s">
        <v>144</v>
      </c>
      <c r="D832" s="64">
        <v>42620</v>
      </c>
      <c r="E832" s="63" t="s">
        <v>138</v>
      </c>
      <c r="F832" s="65">
        <v>17002</v>
      </c>
      <c r="G832" s="66">
        <v>3.5160038797284201E-3</v>
      </c>
      <c r="H832" s="65">
        <v>397</v>
      </c>
      <c r="I832" s="67">
        <v>0.61873562925163395</v>
      </c>
      <c r="J832" s="67">
        <v>2.1754768729749498</v>
      </c>
      <c r="K832" s="65">
        <v>40</v>
      </c>
      <c r="L832" s="65">
        <v>8</v>
      </c>
      <c r="M832" s="66">
        <v>6.8965517241379296E-2</v>
      </c>
      <c r="N832" s="67">
        <v>443.734013326732</v>
      </c>
      <c r="O832" s="67">
        <v>73.955668887788704</v>
      </c>
      <c r="P832" s="67">
        <v>53.829999744892099</v>
      </c>
      <c r="Q832" s="77">
        <v>0.121311412080678</v>
      </c>
    </row>
    <row r="833" spans="1:17" x14ac:dyDescent="0.35">
      <c r="A833" s="76" t="s">
        <v>136</v>
      </c>
      <c r="B833" s="63">
        <v>987456</v>
      </c>
      <c r="C833" s="63" t="s">
        <v>144</v>
      </c>
      <c r="D833" s="64">
        <v>42621</v>
      </c>
      <c r="E833" s="63" t="s">
        <v>138</v>
      </c>
      <c r="F833" s="65">
        <v>33702</v>
      </c>
      <c r="G833" s="66">
        <v>4.23649030314442E-3</v>
      </c>
      <c r="H833" s="65">
        <v>525</v>
      </c>
      <c r="I833" s="67">
        <v>0.62477777269151502</v>
      </c>
      <c r="J833" s="67">
        <v>2.64686497562777</v>
      </c>
      <c r="K833" s="65">
        <v>77</v>
      </c>
      <c r="L833" s="65">
        <v>7</v>
      </c>
      <c r="M833" s="66">
        <v>3.3333333333333298E-2</v>
      </c>
      <c r="N833" s="67">
        <v>596.30479853833901</v>
      </c>
      <c r="O833" s="67">
        <v>198.76826617944599</v>
      </c>
      <c r="P833" s="67">
        <v>56.2299995422363</v>
      </c>
      <c r="Q833" s="77">
        <v>9.4297412464342395E-2</v>
      </c>
    </row>
    <row r="834" spans="1:17" x14ac:dyDescent="0.35">
      <c r="A834" s="76" t="s">
        <v>136</v>
      </c>
      <c r="B834" s="63">
        <v>987456</v>
      </c>
      <c r="C834" s="63" t="s">
        <v>144</v>
      </c>
      <c r="D834" s="64">
        <v>42622</v>
      </c>
      <c r="E834" s="63" t="s">
        <v>138</v>
      </c>
      <c r="F834" s="65">
        <v>21071</v>
      </c>
      <c r="G834" s="66">
        <v>4.5885829833566703E-3</v>
      </c>
      <c r="H834" s="65">
        <v>306</v>
      </c>
      <c r="I834" s="67">
        <v>0.65593219775769696</v>
      </c>
      <c r="J834" s="67">
        <v>3.0097993208667102</v>
      </c>
      <c r="K834" s="65">
        <v>17</v>
      </c>
      <c r="L834" s="65">
        <v>5</v>
      </c>
      <c r="M834" s="66">
        <v>1.6949152542372899E-2</v>
      </c>
      <c r="N834" s="67">
        <v>231.67828086276401</v>
      </c>
      <c r="O834" s="67">
        <v>115.83914043138201</v>
      </c>
      <c r="P834" s="67">
        <v>77.399999335408197</v>
      </c>
      <c r="Q834" s="77">
        <v>0.33408396785047201</v>
      </c>
    </row>
    <row r="835" spans="1:17" x14ac:dyDescent="0.35">
      <c r="A835" s="76" t="s">
        <v>136</v>
      </c>
      <c r="B835" s="63">
        <v>987456</v>
      </c>
      <c r="C835" s="63" t="s">
        <v>144</v>
      </c>
      <c r="D835" s="64">
        <v>42623</v>
      </c>
      <c r="E835" s="63" t="s">
        <v>138</v>
      </c>
      <c r="F835" s="65">
        <v>8850</v>
      </c>
      <c r="G835" s="66">
        <v>4.0230222587654902E-3</v>
      </c>
      <c r="H835" s="65">
        <v>336</v>
      </c>
      <c r="I835" s="67">
        <v>0.64218977898576801</v>
      </c>
      <c r="J835" s="67">
        <v>2.5835437752114401</v>
      </c>
      <c r="K835" s="65">
        <v>86</v>
      </c>
      <c r="L835" s="65">
        <v>17</v>
      </c>
      <c r="M835" s="66">
        <v>7.2992700729927001E-2</v>
      </c>
      <c r="N835" s="67">
        <v>1802.9367655649701</v>
      </c>
      <c r="O835" s="67">
        <v>180.29367655649699</v>
      </c>
      <c r="P835" s="67">
        <v>87.979999721050305</v>
      </c>
      <c r="Q835" s="77">
        <v>4.8798161644610302E-2</v>
      </c>
    </row>
    <row r="836" spans="1:17" x14ac:dyDescent="0.35">
      <c r="A836" s="76" t="s">
        <v>136</v>
      </c>
      <c r="B836" s="63">
        <v>987456</v>
      </c>
      <c r="C836" s="63" t="s">
        <v>144</v>
      </c>
      <c r="D836" s="64">
        <v>42624</v>
      </c>
      <c r="E836" s="63" t="s">
        <v>138</v>
      </c>
      <c r="F836" s="65">
        <v>58587</v>
      </c>
      <c r="G836" s="66">
        <v>4.3209376434686303E-3</v>
      </c>
      <c r="H836" s="65">
        <v>551</v>
      </c>
      <c r="I836" s="67">
        <v>0.65787499649450198</v>
      </c>
      <c r="J836" s="67">
        <v>2.84263683704989</v>
      </c>
      <c r="K836" s="65">
        <v>23</v>
      </c>
      <c r="L836" s="65">
        <v>6</v>
      </c>
      <c r="M836" s="66">
        <v>3.125E-2</v>
      </c>
      <c r="N836" s="67">
        <v>1408.6339183349501</v>
      </c>
      <c r="O836" s="67">
        <v>281.72678366699</v>
      </c>
      <c r="P836" s="67">
        <v>105.25999943911999</v>
      </c>
      <c r="Q836" s="77">
        <v>7.4724879238703107E-2</v>
      </c>
    </row>
    <row r="837" spans="1:17" x14ac:dyDescent="0.35">
      <c r="A837" s="76" t="s">
        <v>136</v>
      </c>
      <c r="B837" s="63">
        <v>987456</v>
      </c>
      <c r="C837" s="63" t="s">
        <v>144</v>
      </c>
      <c r="D837" s="64">
        <v>42625</v>
      </c>
      <c r="E837" s="63" t="s">
        <v>138</v>
      </c>
      <c r="F837" s="65">
        <v>26099</v>
      </c>
      <c r="G837" s="66">
        <v>3.1254002817983901E-3</v>
      </c>
      <c r="H837" s="65">
        <v>315</v>
      </c>
      <c r="I837" s="67">
        <v>0.65778688561232401</v>
      </c>
      <c r="J837" s="67">
        <v>2.0558473176560401</v>
      </c>
      <c r="K837" s="65">
        <v>84</v>
      </c>
      <c r="L837" s="65">
        <v>15</v>
      </c>
      <c r="M837" s="66">
        <v>9.0163934426229497E-2</v>
      </c>
      <c r="N837" s="67">
        <v>1317.09147344896</v>
      </c>
      <c r="O837" s="67">
        <v>119.73558849536001</v>
      </c>
      <c r="P837" s="67">
        <v>80.250000044703498</v>
      </c>
      <c r="Q837" s="77">
        <v>6.0929708879338101E-2</v>
      </c>
    </row>
    <row r="838" spans="1:17" x14ac:dyDescent="0.35">
      <c r="A838" s="76" t="s">
        <v>136</v>
      </c>
      <c r="B838" s="63">
        <v>987456</v>
      </c>
      <c r="C838" s="63" t="s">
        <v>144</v>
      </c>
      <c r="D838" s="64">
        <v>42626</v>
      </c>
      <c r="E838" s="63" t="s">
        <v>138</v>
      </c>
      <c r="F838" s="65">
        <v>58782</v>
      </c>
      <c r="G838" s="66">
        <v>3.31796693778078E-3</v>
      </c>
      <c r="H838" s="65">
        <v>450</v>
      </c>
      <c r="I838" s="67">
        <v>0.66017699900981597</v>
      </c>
      <c r="J838" s="67">
        <v>2.1904454557978998</v>
      </c>
      <c r="K838" s="65">
        <v>88</v>
      </c>
      <c r="L838" s="65">
        <v>13</v>
      </c>
      <c r="M838" s="66">
        <v>8.8495575221238895E-2</v>
      </c>
      <c r="N838" s="67">
        <v>1847.91430372317</v>
      </c>
      <c r="O838" s="67">
        <v>184.791430372317</v>
      </c>
      <c r="P838" s="67">
        <v>74.600000888109193</v>
      </c>
      <c r="Q838" s="77">
        <v>4.03698378965981E-2</v>
      </c>
    </row>
    <row r="839" spans="1:17" x14ac:dyDescent="0.35">
      <c r="A839" s="76" t="s">
        <v>136</v>
      </c>
      <c r="B839" s="63">
        <v>987456</v>
      </c>
      <c r="C839" s="63" t="s">
        <v>144</v>
      </c>
      <c r="D839" s="64">
        <v>42627</v>
      </c>
      <c r="E839" s="63" t="s">
        <v>138</v>
      </c>
      <c r="F839" s="65">
        <v>40216</v>
      </c>
      <c r="G839" s="66">
        <v>3.1646806016800201E-3</v>
      </c>
      <c r="H839" s="65">
        <v>397</v>
      </c>
      <c r="I839" s="67">
        <v>0.75024691757596595</v>
      </c>
      <c r="J839" s="67">
        <v>2.37429186652288</v>
      </c>
      <c r="K839" s="65">
        <v>26</v>
      </c>
      <c r="L839" s="65">
        <v>8</v>
      </c>
      <c r="M839" s="66">
        <v>4.9382716049382699E-2</v>
      </c>
      <c r="N839" s="67">
        <v>436.061391839696</v>
      </c>
      <c r="O839" s="67">
        <v>109.015347959924</v>
      </c>
      <c r="P839" s="67">
        <v>60.7700003236532</v>
      </c>
      <c r="Q839" s="77">
        <v>0.13936111167116</v>
      </c>
    </row>
    <row r="840" spans="1:17" x14ac:dyDescent="0.35">
      <c r="A840" s="76" t="s">
        <v>136</v>
      </c>
      <c r="B840" s="63">
        <v>987456</v>
      </c>
      <c r="C840" s="63" t="s">
        <v>144</v>
      </c>
      <c r="D840" s="64">
        <v>42628</v>
      </c>
      <c r="E840" s="63" t="s">
        <v>138</v>
      </c>
      <c r="F840" s="65">
        <v>18305</v>
      </c>
      <c r="G840" s="66">
        <v>3.5507944150216702E-3</v>
      </c>
      <c r="H840" s="65">
        <v>174</v>
      </c>
      <c r="I840" s="67">
        <v>0.68983051483914004</v>
      </c>
      <c r="J840" s="67">
        <v>2.44944633940234</v>
      </c>
      <c r="K840" s="65">
        <v>42</v>
      </c>
      <c r="L840" s="65">
        <v>8</v>
      </c>
      <c r="M840" s="66">
        <v>6.7796610169491497E-2</v>
      </c>
      <c r="N840" s="67">
        <v>296.76338301437499</v>
      </c>
      <c r="O840" s="67">
        <v>74.190845753593806</v>
      </c>
      <c r="P840" s="67">
        <v>40.700000375509298</v>
      </c>
      <c r="Q840" s="77">
        <v>0.13714630141393699</v>
      </c>
    </row>
    <row r="841" spans="1:17" x14ac:dyDescent="0.35">
      <c r="A841" s="76" t="s">
        <v>136</v>
      </c>
      <c r="B841" s="63">
        <v>987456</v>
      </c>
      <c r="C841" s="63" t="s">
        <v>144</v>
      </c>
      <c r="D841" s="64">
        <v>42629</v>
      </c>
      <c r="E841" s="63" t="s">
        <v>138</v>
      </c>
      <c r="F841" s="65">
        <v>5271</v>
      </c>
      <c r="G841" s="66">
        <v>3.43294501660195E-3</v>
      </c>
      <c r="H841" s="65">
        <v>318</v>
      </c>
      <c r="I841" s="67">
        <v>0.71491803302139501</v>
      </c>
      <c r="J841" s="67">
        <v>2.4542742987396702</v>
      </c>
      <c r="K841" s="65">
        <v>57</v>
      </c>
      <c r="L841" s="65">
        <v>14</v>
      </c>
      <c r="M841" s="66">
        <v>0.114754098360656</v>
      </c>
      <c r="N841" s="67">
        <v>1041.71442411513</v>
      </c>
      <c r="O841" s="67">
        <v>148.816346302162</v>
      </c>
      <c r="P841" s="67">
        <v>43.610000014305101</v>
      </c>
      <c r="Q841" s="77">
        <v>4.1863680683262898E-2</v>
      </c>
    </row>
    <row r="842" spans="1:17" x14ac:dyDescent="0.35">
      <c r="A842" s="76" t="s">
        <v>136</v>
      </c>
      <c r="B842" s="63">
        <v>987456</v>
      </c>
      <c r="C842" s="63" t="s">
        <v>144</v>
      </c>
      <c r="D842" s="64">
        <v>42630</v>
      </c>
      <c r="E842" s="63" t="s">
        <v>138</v>
      </c>
      <c r="F842" s="65">
        <v>25697</v>
      </c>
      <c r="G842" s="66">
        <v>3.75404922648421E-3</v>
      </c>
      <c r="H842" s="65">
        <v>157</v>
      </c>
      <c r="I842" s="67">
        <v>0.962741920544255</v>
      </c>
      <c r="J842" s="67">
        <v>3.61418056212309</v>
      </c>
      <c r="K842" s="65">
        <v>89</v>
      </c>
      <c r="L842" s="65">
        <v>7</v>
      </c>
      <c r="M842" s="66">
        <v>3.2258064516128997E-2</v>
      </c>
      <c r="N842" s="67">
        <v>251.69768696351099</v>
      </c>
      <c r="O842" s="67">
        <v>62.924421740877698</v>
      </c>
      <c r="P842" s="67">
        <v>119.379998147488</v>
      </c>
      <c r="Q842" s="77">
        <v>0.47429914667747602</v>
      </c>
    </row>
    <row r="843" spans="1:17" x14ac:dyDescent="0.35">
      <c r="A843" s="76" t="s">
        <v>136</v>
      </c>
      <c r="B843" s="63">
        <v>987456</v>
      </c>
      <c r="C843" s="63" t="s">
        <v>144</v>
      </c>
      <c r="D843" s="64">
        <v>42631</v>
      </c>
      <c r="E843" s="63" t="s">
        <v>138</v>
      </c>
      <c r="F843" s="65">
        <v>67593</v>
      </c>
      <c r="G843" s="66">
        <v>3.9160158410584296E-3</v>
      </c>
      <c r="H843" s="65">
        <v>200</v>
      </c>
      <c r="I843" s="67">
        <v>1.04999999070572</v>
      </c>
      <c r="J843" s="67">
        <v>4.1118165967147897</v>
      </c>
      <c r="K843" s="65">
        <v>46</v>
      </c>
      <c r="L843" s="65">
        <v>13</v>
      </c>
      <c r="M843" s="66">
        <v>5.0847457627118599E-2</v>
      </c>
      <c r="N843" s="67">
        <v>1130.3465920830199</v>
      </c>
      <c r="O843" s="67">
        <v>125.594065787003</v>
      </c>
      <c r="P843" s="67">
        <v>185.849998354912</v>
      </c>
      <c r="Q843" s="77">
        <v>0.16441859484215701</v>
      </c>
    </row>
    <row r="844" spans="1:17" x14ac:dyDescent="0.35">
      <c r="A844" s="76" t="s">
        <v>136</v>
      </c>
      <c r="B844" s="63">
        <v>987456</v>
      </c>
      <c r="C844" s="63" t="s">
        <v>144</v>
      </c>
      <c r="D844" s="64">
        <v>42632</v>
      </c>
      <c r="E844" s="63" t="s">
        <v>138</v>
      </c>
      <c r="F844" s="65">
        <v>57955</v>
      </c>
      <c r="G844" s="66">
        <v>2.9978933722249199E-3</v>
      </c>
      <c r="H844" s="65">
        <v>590</v>
      </c>
      <c r="I844" s="67">
        <v>0.99662161608402799</v>
      </c>
      <c r="J844" s="67">
        <v>2.9877653374744</v>
      </c>
      <c r="K844" s="65">
        <v>41</v>
      </c>
      <c r="L844" s="65">
        <v>14</v>
      </c>
      <c r="M844" s="66">
        <v>8.1081081081081099E-2</v>
      </c>
      <c r="N844" s="67">
        <v>966.22277635022101</v>
      </c>
      <c r="O844" s="67">
        <v>80.518564695851794</v>
      </c>
      <c r="P844" s="67">
        <v>147.49999918043599</v>
      </c>
      <c r="Q844" s="77">
        <v>0.15265630534771499</v>
      </c>
    </row>
    <row r="845" spans="1:17" x14ac:dyDescent="0.35">
      <c r="A845" s="76" t="s">
        <v>136</v>
      </c>
      <c r="B845" s="63">
        <v>987456</v>
      </c>
      <c r="C845" s="63" t="s">
        <v>144</v>
      </c>
      <c r="D845" s="64">
        <v>42633</v>
      </c>
      <c r="E845" s="63" t="s">
        <v>138</v>
      </c>
      <c r="F845" s="65">
        <v>20790</v>
      </c>
      <c r="G845" s="66">
        <v>3.4331319526495299E-3</v>
      </c>
      <c r="H845" s="65">
        <v>351</v>
      </c>
      <c r="I845" s="67">
        <v>1.0613636203207</v>
      </c>
      <c r="J845" s="67">
        <v>3.64380135830277</v>
      </c>
      <c r="K845" s="65">
        <v>96</v>
      </c>
      <c r="L845" s="65">
        <v>17</v>
      </c>
      <c r="M845" s="66">
        <v>7.1428571428571397E-2</v>
      </c>
      <c r="N845" s="67">
        <v>884.69001937558096</v>
      </c>
      <c r="O845" s="67">
        <v>80.426365397780003</v>
      </c>
      <c r="P845" s="67">
        <v>163.44999752938699</v>
      </c>
      <c r="Q845" s="77">
        <v>0.18475397478175601</v>
      </c>
    </row>
    <row r="846" spans="1:17" x14ac:dyDescent="0.35">
      <c r="A846" s="76" t="s">
        <v>136</v>
      </c>
      <c r="B846" s="63">
        <v>987456</v>
      </c>
      <c r="C846" s="63" t="s">
        <v>144</v>
      </c>
      <c r="D846" s="64">
        <v>42634</v>
      </c>
      <c r="E846" s="63" t="s">
        <v>138</v>
      </c>
      <c r="F846" s="65">
        <v>44411</v>
      </c>
      <c r="G846" s="66">
        <v>3.4146441204735501E-3</v>
      </c>
      <c r="H846" s="65">
        <v>546</v>
      </c>
      <c r="I846" s="67">
        <v>0.99838322882880703</v>
      </c>
      <c r="J846" s="67">
        <v>3.40912342229969</v>
      </c>
      <c r="K846" s="65">
        <v>61</v>
      </c>
      <c r="L846" s="65">
        <v>14</v>
      </c>
      <c r="M846" s="66">
        <v>4.1916167664670698E-2</v>
      </c>
      <c r="N846" s="67">
        <v>878.25207264926496</v>
      </c>
      <c r="O846" s="67">
        <v>125.464581807038</v>
      </c>
      <c r="P846" s="67">
        <v>166.72999921441101</v>
      </c>
      <c r="Q846" s="77">
        <v>0.18984298973695099</v>
      </c>
    </row>
    <row r="847" spans="1:17" x14ac:dyDescent="0.35">
      <c r="A847" s="76" t="s">
        <v>136</v>
      </c>
      <c r="B847" s="63">
        <v>987456</v>
      </c>
      <c r="C847" s="63" t="s">
        <v>144</v>
      </c>
      <c r="D847" s="64">
        <v>42635</v>
      </c>
      <c r="E847" s="63" t="s">
        <v>138</v>
      </c>
      <c r="F847" s="65">
        <v>28539</v>
      </c>
      <c r="G847" s="66">
        <v>2.9286117305677198E-3</v>
      </c>
      <c r="H847" s="65">
        <v>169</v>
      </c>
      <c r="I847" s="67">
        <v>1.1072476860306699</v>
      </c>
      <c r="J847" s="67">
        <v>3.2426985619533801</v>
      </c>
      <c r="K847" s="65">
        <v>52</v>
      </c>
      <c r="L847" s="65">
        <v>3</v>
      </c>
      <c r="M847" s="66">
        <v>9.1743119266055103E-3</v>
      </c>
      <c r="N847" s="67">
        <v>63.453564642598302</v>
      </c>
      <c r="O847" s="67">
        <v>63.453564642598302</v>
      </c>
      <c r="P847" s="67">
        <v>120.689997777343</v>
      </c>
      <c r="Q847" s="77">
        <v>1.9020207683702</v>
      </c>
    </row>
    <row r="848" spans="1:17" x14ac:dyDescent="0.35">
      <c r="A848" s="76" t="s">
        <v>136</v>
      </c>
      <c r="B848" s="63">
        <v>987456</v>
      </c>
      <c r="C848" s="63" t="s">
        <v>144</v>
      </c>
      <c r="D848" s="64">
        <v>42636</v>
      </c>
      <c r="E848" s="63" t="s">
        <v>138</v>
      </c>
      <c r="F848" s="65">
        <v>41372</v>
      </c>
      <c r="G848" s="66">
        <v>3.6997071065207302E-3</v>
      </c>
      <c r="H848" s="65">
        <v>294</v>
      </c>
      <c r="I848" s="67">
        <v>1.0272618874552699</v>
      </c>
      <c r="J848" s="67">
        <v>3.8005681052761702</v>
      </c>
      <c r="K848" s="65">
        <v>81</v>
      </c>
      <c r="L848" s="65">
        <v>11</v>
      </c>
      <c r="M848" s="66">
        <v>4.7619047619047603E-2</v>
      </c>
      <c r="N848" s="67">
        <v>1105.6971379673801</v>
      </c>
      <c r="O848" s="67">
        <v>138.212142245922</v>
      </c>
      <c r="P848" s="67">
        <v>172.579997092485</v>
      </c>
      <c r="Q848" s="77">
        <v>0.156082521303928</v>
      </c>
    </row>
    <row r="849" spans="1:17" x14ac:dyDescent="0.35">
      <c r="A849" s="76" t="s">
        <v>136</v>
      </c>
      <c r="B849" s="63">
        <v>987456</v>
      </c>
      <c r="C849" s="63" t="s">
        <v>144</v>
      </c>
      <c r="D849" s="64">
        <v>42637</v>
      </c>
      <c r="E849" s="63" t="s">
        <v>138</v>
      </c>
      <c r="F849" s="65">
        <v>50790</v>
      </c>
      <c r="G849" s="66">
        <v>3.0237832180031398E-3</v>
      </c>
      <c r="H849" s="65">
        <v>496</v>
      </c>
      <c r="I849" s="67">
        <v>1.0242307641758399</v>
      </c>
      <c r="J849" s="67">
        <v>3.0970517960774302</v>
      </c>
      <c r="K849" s="65">
        <v>36</v>
      </c>
      <c r="L849" s="65">
        <v>15</v>
      </c>
      <c r="M849" s="66">
        <v>7.0512820512820498E-2</v>
      </c>
      <c r="N849" s="67">
        <v>1030.7787040604801</v>
      </c>
      <c r="O849" s="67">
        <v>93.707154914589196</v>
      </c>
      <c r="P849" s="67">
        <v>159.779999211431</v>
      </c>
      <c r="Q849" s="77">
        <v>0.15500902238474601</v>
      </c>
    </row>
    <row r="850" spans="1:17" x14ac:dyDescent="0.35">
      <c r="A850" s="76" t="s">
        <v>136</v>
      </c>
      <c r="B850" s="63">
        <v>987456</v>
      </c>
      <c r="C850" s="63" t="s">
        <v>144</v>
      </c>
      <c r="D850" s="64">
        <v>42638</v>
      </c>
      <c r="E850" s="63" t="s">
        <v>138</v>
      </c>
      <c r="F850" s="65">
        <v>4077</v>
      </c>
      <c r="G850" s="66">
        <v>3.4841446172490399E-3</v>
      </c>
      <c r="H850" s="65">
        <v>234</v>
      </c>
      <c r="I850" s="67">
        <v>0.932391336322695</v>
      </c>
      <c r="J850" s="67">
        <v>3.2485862556183598</v>
      </c>
      <c r="K850" s="65">
        <v>51</v>
      </c>
      <c r="L850" s="65">
        <v>13</v>
      </c>
      <c r="M850" s="66">
        <v>5.7971014492753603E-2</v>
      </c>
      <c r="N850" s="67">
        <v>949.37827896426302</v>
      </c>
      <c r="O850" s="67">
        <v>118.67228487053301</v>
      </c>
      <c r="P850" s="67">
        <v>128.67000441253199</v>
      </c>
      <c r="Q850" s="77">
        <v>0.13553080712243201</v>
      </c>
    </row>
    <row r="851" spans="1:17" x14ac:dyDescent="0.35">
      <c r="A851" s="76" t="s">
        <v>136</v>
      </c>
      <c r="B851" s="63">
        <v>987456</v>
      </c>
      <c r="C851" s="63" t="s">
        <v>144</v>
      </c>
      <c r="D851" s="64">
        <v>42639</v>
      </c>
      <c r="E851" s="63" t="s">
        <v>138</v>
      </c>
      <c r="F851" s="65">
        <v>22735</v>
      </c>
      <c r="G851" s="66">
        <v>3.11594006557022E-3</v>
      </c>
      <c r="H851" s="65">
        <v>487</v>
      </c>
      <c r="I851" s="67">
        <v>0.88965219829393505</v>
      </c>
      <c r="J851" s="67">
        <v>2.7721029290866901</v>
      </c>
      <c r="K851" s="65">
        <v>91</v>
      </c>
      <c r="L851" s="65">
        <v>9</v>
      </c>
      <c r="M851" s="66">
        <v>4.3478260869565202E-2</v>
      </c>
      <c r="N851" s="67">
        <v>492.81242001213297</v>
      </c>
      <c r="O851" s="67">
        <v>98.562484002426601</v>
      </c>
      <c r="P851" s="67">
        <v>102.31000280380201</v>
      </c>
      <c r="Q851" s="77">
        <v>0.20760435137020999</v>
      </c>
    </row>
    <row r="852" spans="1:17" x14ac:dyDescent="0.35">
      <c r="A852" s="76" t="s">
        <v>136</v>
      </c>
      <c r="B852" s="63">
        <v>987456</v>
      </c>
      <c r="C852" s="63" t="s">
        <v>144</v>
      </c>
      <c r="D852" s="64">
        <v>42640</v>
      </c>
      <c r="E852" s="63" t="s">
        <v>138</v>
      </c>
      <c r="F852" s="65">
        <v>65196</v>
      </c>
      <c r="G852" s="66">
        <v>3.5289582159485199E-3</v>
      </c>
      <c r="H852" s="65">
        <v>152</v>
      </c>
      <c r="I852" s="67">
        <v>0.93478994209225397</v>
      </c>
      <c r="J852" s="67">
        <v>3.2988346463324998</v>
      </c>
      <c r="K852" s="65">
        <v>88</v>
      </c>
      <c r="L852" s="65">
        <v>11</v>
      </c>
      <c r="M852" s="66">
        <v>5.0420168067226899E-2</v>
      </c>
      <c r="N852" s="67">
        <v>433.28336437644901</v>
      </c>
      <c r="O852" s="67">
        <v>72.213894062741403</v>
      </c>
      <c r="P852" s="67">
        <v>111.240003108978</v>
      </c>
      <c r="Q852" s="77">
        <v>0.25673730462527</v>
      </c>
    </row>
    <row r="853" spans="1:17" x14ac:dyDescent="0.35">
      <c r="A853" s="76" t="s">
        <v>136</v>
      </c>
      <c r="B853" s="63">
        <v>987456</v>
      </c>
      <c r="C853" s="63" t="s">
        <v>144</v>
      </c>
      <c r="D853" s="64">
        <v>42641</v>
      </c>
      <c r="E853" s="63" t="s">
        <v>138</v>
      </c>
      <c r="F853" s="65">
        <v>2051</v>
      </c>
      <c r="G853" s="66">
        <v>3.4023731552758102E-3</v>
      </c>
      <c r="H853" s="65">
        <v>180</v>
      </c>
      <c r="I853" s="67">
        <v>1.0577500127255901</v>
      </c>
      <c r="J853" s="67">
        <v>3.5988602482901899</v>
      </c>
      <c r="K853" s="65">
        <v>86</v>
      </c>
      <c r="L853" s="65">
        <v>6</v>
      </c>
      <c r="M853" s="66">
        <v>0.05</v>
      </c>
      <c r="N853" s="67">
        <v>274.01005110524898</v>
      </c>
      <c r="O853" s="67">
        <v>68.502512776312301</v>
      </c>
      <c r="P853" s="67">
        <v>84.620001018047304</v>
      </c>
      <c r="Q853" s="77">
        <v>0.30882079207212798</v>
      </c>
    </row>
    <row r="854" spans="1:17" x14ac:dyDescent="0.35">
      <c r="A854" s="76" t="s">
        <v>136</v>
      </c>
      <c r="B854" s="63">
        <v>987456</v>
      </c>
      <c r="C854" s="63" t="s">
        <v>144</v>
      </c>
      <c r="D854" s="64">
        <v>42642</v>
      </c>
      <c r="E854" s="63" t="s">
        <v>138</v>
      </c>
      <c r="F854" s="65">
        <v>53097</v>
      </c>
      <c r="G854" s="66">
        <v>3.1617220846287598E-3</v>
      </c>
      <c r="H854" s="65">
        <v>197</v>
      </c>
      <c r="I854" s="67">
        <v>0.81849999949336105</v>
      </c>
      <c r="J854" s="67">
        <v>2.58786952466679</v>
      </c>
      <c r="K854" s="65">
        <v>42</v>
      </c>
      <c r="L854" s="65">
        <v>7</v>
      </c>
      <c r="M854" s="66">
        <v>6.6666666666666693E-2</v>
      </c>
      <c r="N854" s="67">
        <v>270.39422004014102</v>
      </c>
      <c r="O854" s="67">
        <v>67.598555010035199</v>
      </c>
      <c r="P854" s="67">
        <v>49.109999969601603</v>
      </c>
      <c r="Q854" s="77">
        <v>0.18162370468684999</v>
      </c>
    </row>
    <row r="855" spans="1:17" x14ac:dyDescent="0.35">
      <c r="A855" s="76" t="s">
        <v>136</v>
      </c>
      <c r="B855" s="63">
        <v>987456</v>
      </c>
      <c r="C855" s="63" t="s">
        <v>144</v>
      </c>
      <c r="D855" s="64">
        <v>42643</v>
      </c>
      <c r="E855" s="63" t="s">
        <v>138</v>
      </c>
      <c r="F855" s="65">
        <v>51689</v>
      </c>
      <c r="G855" s="66">
        <v>2.66883792463925E-3</v>
      </c>
      <c r="H855" s="65">
        <v>266</v>
      </c>
      <c r="I855" s="67">
        <v>0.782033907028578</v>
      </c>
      <c r="J855" s="67">
        <v>2.0871217494316801</v>
      </c>
      <c r="K855" s="65">
        <v>39</v>
      </c>
      <c r="L855" s="65">
        <v>8</v>
      </c>
      <c r="M855" s="66">
        <v>5.0847457627118599E-2</v>
      </c>
      <c r="N855" s="67">
        <v>532.05749662436097</v>
      </c>
      <c r="O855" s="67">
        <v>177.35249887478699</v>
      </c>
      <c r="P855" s="67">
        <v>46.140000514686101</v>
      </c>
      <c r="Q855" s="77">
        <v>8.6719951898847999E-2</v>
      </c>
    </row>
    <row r="856" spans="1:17" x14ac:dyDescent="0.35">
      <c r="A856" s="76" t="s">
        <v>136</v>
      </c>
      <c r="B856" s="63">
        <v>987456</v>
      </c>
      <c r="C856" s="63" t="s">
        <v>144</v>
      </c>
      <c r="D856" s="64">
        <v>42644</v>
      </c>
      <c r="E856" s="63" t="s">
        <v>138</v>
      </c>
      <c r="F856" s="65">
        <v>22618</v>
      </c>
      <c r="G856" s="66">
        <v>3.7785754770451501E-3</v>
      </c>
      <c r="H856" s="65">
        <v>407</v>
      </c>
      <c r="I856" s="67">
        <v>0.84940000496804702</v>
      </c>
      <c r="J856" s="67">
        <v>3.2095220289743001</v>
      </c>
      <c r="K856" s="65">
        <v>9</v>
      </c>
      <c r="L856" s="65">
        <v>15</v>
      </c>
      <c r="M856" s="66">
        <v>7.0000000000000007E-2</v>
      </c>
      <c r="N856" s="67">
        <v>1953.7822801597399</v>
      </c>
      <c r="O856" s="67">
        <v>279.11175430853399</v>
      </c>
      <c r="P856" s="67">
        <v>84.9400004968047</v>
      </c>
      <c r="Q856" s="77">
        <v>4.34746498416703E-2</v>
      </c>
    </row>
    <row r="857" spans="1:17" x14ac:dyDescent="0.35">
      <c r="A857" s="76" t="s">
        <v>136</v>
      </c>
      <c r="B857" s="63">
        <v>987456</v>
      </c>
      <c r="C857" s="63" t="s">
        <v>144</v>
      </c>
      <c r="D857" s="64">
        <v>42645</v>
      </c>
      <c r="E857" s="63" t="s">
        <v>138</v>
      </c>
      <c r="F857" s="65">
        <v>57701</v>
      </c>
      <c r="G857" s="66">
        <v>3.0621008999589202E-3</v>
      </c>
      <c r="H857" s="65">
        <v>278</v>
      </c>
      <c r="I857" s="67">
        <v>0.86329268864015296</v>
      </c>
      <c r="J857" s="67">
        <v>2.64348931881297</v>
      </c>
      <c r="K857" s="65">
        <v>37</v>
      </c>
      <c r="L857" s="65">
        <v>10</v>
      </c>
      <c r="M857" s="66">
        <v>8.5365853658536606E-2</v>
      </c>
      <c r="N857" s="67">
        <v>632.86496456034297</v>
      </c>
      <c r="O857" s="67">
        <v>90.409280651477602</v>
      </c>
      <c r="P857" s="67">
        <v>70.790000468492494</v>
      </c>
      <c r="Q857" s="77">
        <v>0.111856406078145</v>
      </c>
    </row>
    <row r="858" spans="1:17" x14ac:dyDescent="0.35">
      <c r="A858" s="76" t="s">
        <v>136</v>
      </c>
      <c r="B858" s="63">
        <v>987456</v>
      </c>
      <c r="C858" s="63" t="s">
        <v>144</v>
      </c>
      <c r="D858" s="64">
        <v>42646</v>
      </c>
      <c r="E858" s="63" t="s">
        <v>138</v>
      </c>
      <c r="F858" s="65">
        <v>39785</v>
      </c>
      <c r="G858" s="66">
        <v>2.6695354211491002E-3</v>
      </c>
      <c r="H858" s="65">
        <v>326</v>
      </c>
      <c r="I858" s="67">
        <v>0.91985076565795898</v>
      </c>
      <c r="J858" s="67">
        <v>2.4555742010950401</v>
      </c>
      <c r="K858" s="65">
        <v>91</v>
      </c>
      <c r="L858" s="65">
        <v>9</v>
      </c>
      <c r="M858" s="66">
        <v>4.47761194029851E-2</v>
      </c>
      <c r="N858" s="67">
        <v>394.61823561537898</v>
      </c>
      <c r="O858" s="67">
        <v>131.53941187179299</v>
      </c>
      <c r="P858" s="67">
        <v>61.630001299083197</v>
      </c>
      <c r="Q858" s="77">
        <v>0.15617626287081099</v>
      </c>
    </row>
    <row r="859" spans="1:17" x14ac:dyDescent="0.35">
      <c r="A859" s="76" t="s">
        <v>136</v>
      </c>
      <c r="B859" s="63">
        <v>987456</v>
      </c>
      <c r="C859" s="63" t="s">
        <v>144</v>
      </c>
      <c r="D859" s="64">
        <v>42647</v>
      </c>
      <c r="E859" s="63" t="s">
        <v>138</v>
      </c>
      <c r="F859" s="65">
        <v>20166</v>
      </c>
      <c r="G859" s="66">
        <v>4.1986004665111598E-3</v>
      </c>
      <c r="H859" s="65">
        <v>342</v>
      </c>
      <c r="I859" s="67">
        <v>0.93531745991536597</v>
      </c>
      <c r="J859" s="67">
        <v>3.9270243235366902</v>
      </c>
      <c r="K859" s="65">
        <v>26</v>
      </c>
      <c r="L859" s="65">
        <v>7</v>
      </c>
      <c r="M859" s="66">
        <v>4.7619047619047603E-2</v>
      </c>
      <c r="N859" s="67">
        <v>666.35738627655303</v>
      </c>
      <c r="O859" s="67">
        <v>111.059564379425</v>
      </c>
      <c r="P859" s="67">
        <v>117.849999949336</v>
      </c>
      <c r="Q859" s="77">
        <v>0.17685704754899501</v>
      </c>
    </row>
    <row r="860" spans="1:17" x14ac:dyDescent="0.35">
      <c r="A860" s="76" t="s">
        <v>136</v>
      </c>
      <c r="B860" s="63">
        <v>987456</v>
      </c>
      <c r="C860" s="63" t="s">
        <v>144</v>
      </c>
      <c r="D860" s="64">
        <v>42648</v>
      </c>
      <c r="E860" s="63" t="s">
        <v>138</v>
      </c>
      <c r="F860" s="65">
        <v>23393</v>
      </c>
      <c r="G860" s="66">
        <v>3.7096280161998401E-3</v>
      </c>
      <c r="H860" s="65">
        <v>324</v>
      </c>
      <c r="I860" s="67">
        <v>0.96000002160531706</v>
      </c>
      <c r="J860" s="67">
        <v>3.5612429756995398</v>
      </c>
      <c r="K860" s="65">
        <v>14</v>
      </c>
      <c r="L860" s="65">
        <v>14</v>
      </c>
      <c r="M860" s="66">
        <v>4.5871559633027498E-2</v>
      </c>
      <c r="N860" s="67">
        <v>625.79532864659302</v>
      </c>
      <c r="O860" s="67">
        <v>125.159065729319</v>
      </c>
      <c r="P860" s="67">
        <v>104.64000235498</v>
      </c>
      <c r="Q860" s="77">
        <v>0.16721122316666101</v>
      </c>
    </row>
    <row r="861" spans="1:17" x14ac:dyDescent="0.35">
      <c r="A861" s="76" t="s">
        <v>136</v>
      </c>
      <c r="B861" s="63">
        <v>987456</v>
      </c>
      <c r="C861" s="63" t="s">
        <v>144</v>
      </c>
      <c r="D861" s="64">
        <v>42649</v>
      </c>
      <c r="E861" s="63" t="s">
        <v>138</v>
      </c>
      <c r="F861" s="65">
        <v>32334</v>
      </c>
      <c r="G861" s="66">
        <v>4.6513151429788098E-3</v>
      </c>
      <c r="H861" s="65">
        <v>261</v>
      </c>
      <c r="I861" s="67">
        <v>1.0411267900760699</v>
      </c>
      <c r="J861" s="67">
        <v>4.8426088044417597</v>
      </c>
      <c r="K861" s="65">
        <v>63</v>
      </c>
      <c r="L861" s="65">
        <v>9</v>
      </c>
      <c r="M861" s="66">
        <v>3.5211267605633798E-2</v>
      </c>
      <c r="N861" s="67">
        <v>362.76068945325397</v>
      </c>
      <c r="O861" s="67">
        <v>72.552137890650897</v>
      </c>
      <c r="P861" s="67">
        <v>147.840004190803</v>
      </c>
      <c r="Q861" s="77">
        <v>0.40754141363449298</v>
      </c>
    </row>
    <row r="862" spans="1:17" x14ac:dyDescent="0.35">
      <c r="A862" s="76" t="s">
        <v>136</v>
      </c>
      <c r="B862" s="63">
        <v>987456</v>
      </c>
      <c r="C862" s="63" t="s">
        <v>144</v>
      </c>
      <c r="D862" s="64">
        <v>42650</v>
      </c>
      <c r="E862" s="63" t="s">
        <v>138</v>
      </c>
      <c r="F862" s="65">
        <v>64081</v>
      </c>
      <c r="G862" s="66">
        <v>4.2083712465878099E-3</v>
      </c>
      <c r="H862" s="65">
        <v>394</v>
      </c>
      <c r="I862" s="67">
        <v>0.98935136303708404</v>
      </c>
      <c r="J862" s="67">
        <v>4.1635578289777202</v>
      </c>
      <c r="K862" s="65">
        <v>24</v>
      </c>
      <c r="L862" s="65">
        <v>10</v>
      </c>
      <c r="M862" s="66">
        <v>3.24324324324324E-2</v>
      </c>
      <c r="N862" s="67">
        <v>978.61434596720096</v>
      </c>
      <c r="O862" s="67">
        <v>163.10239099453301</v>
      </c>
      <c r="P862" s="67">
        <v>183.03000216186001</v>
      </c>
      <c r="Q862" s="77">
        <v>0.18702975581352699</v>
      </c>
    </row>
    <row r="863" spans="1:17" x14ac:dyDescent="0.35">
      <c r="A863" s="76" t="s">
        <v>136</v>
      </c>
      <c r="B863" s="63">
        <v>987456</v>
      </c>
      <c r="C863" s="63" t="s">
        <v>144</v>
      </c>
      <c r="D863" s="64">
        <v>42651</v>
      </c>
      <c r="E863" s="63" t="s">
        <v>138</v>
      </c>
      <c r="F863" s="65">
        <v>41431</v>
      </c>
      <c r="G863" s="66">
        <v>2.9628518386558399E-3</v>
      </c>
      <c r="H863" s="65">
        <v>442</v>
      </c>
      <c r="I863" s="67">
        <v>1.03620254304967</v>
      </c>
      <c r="J863" s="67">
        <v>3.07011460989458</v>
      </c>
      <c r="K863" s="65">
        <v>75</v>
      </c>
      <c r="L863" s="65">
        <v>13</v>
      </c>
      <c r="M863" s="66">
        <v>3.1645569620253201E-2</v>
      </c>
      <c r="N863" s="67">
        <v>648.63909508660299</v>
      </c>
      <c r="O863" s="67">
        <v>129.727819017321</v>
      </c>
      <c r="P863" s="67">
        <v>163.72000180184801</v>
      </c>
      <c r="Q863" s="77">
        <v>0.252405386974076</v>
      </c>
    </row>
    <row r="864" spans="1:17" x14ac:dyDescent="0.35">
      <c r="A864" s="76" t="s">
        <v>136</v>
      </c>
      <c r="B864" s="63">
        <v>987456</v>
      </c>
      <c r="C864" s="63" t="s">
        <v>144</v>
      </c>
      <c r="D864" s="64">
        <v>42652</v>
      </c>
      <c r="E864" s="63" t="s">
        <v>138</v>
      </c>
      <c r="F864" s="65">
        <v>20858</v>
      </c>
      <c r="G864" s="66">
        <v>3.6424817442284002E-3</v>
      </c>
      <c r="H864" s="65">
        <v>405</v>
      </c>
      <c r="I864" s="67">
        <v>0.94661903956106697</v>
      </c>
      <c r="J864" s="67">
        <v>3.4480425703402098</v>
      </c>
      <c r="K864" s="65">
        <v>98</v>
      </c>
      <c r="L864" s="65">
        <v>9</v>
      </c>
      <c r="M864" s="66">
        <v>1.9047619047619001E-2</v>
      </c>
      <c r="N864" s="67">
        <v>711.33793938408598</v>
      </c>
      <c r="O864" s="67">
        <v>177.83448484602101</v>
      </c>
      <c r="P864" s="67">
        <v>198.78999830782399</v>
      </c>
      <c r="Q864" s="77">
        <v>0.27945929396082397</v>
      </c>
    </row>
    <row r="865" spans="1:17" x14ac:dyDescent="0.35">
      <c r="A865" s="76" t="s">
        <v>136</v>
      </c>
      <c r="B865" s="63">
        <v>987456</v>
      </c>
      <c r="C865" s="63" t="s">
        <v>144</v>
      </c>
      <c r="D865" s="64">
        <v>42653</v>
      </c>
      <c r="E865" s="63" t="s">
        <v>138</v>
      </c>
      <c r="F865" s="65">
        <v>31214</v>
      </c>
      <c r="G865" s="66">
        <v>3.9872729469571898E-3</v>
      </c>
      <c r="H865" s="65">
        <v>561</v>
      </c>
      <c r="I865" s="67">
        <v>0.80651515932998297</v>
      </c>
      <c r="J865" s="67">
        <v>3.2157960761073099</v>
      </c>
      <c r="K865" s="65">
        <v>84</v>
      </c>
      <c r="L865" s="65">
        <v>8</v>
      </c>
      <c r="M865" s="66">
        <v>2.5252525252525301E-2</v>
      </c>
      <c r="N865" s="67">
        <v>255.74407968558199</v>
      </c>
      <c r="O865" s="67">
        <v>51.148815937116403</v>
      </c>
      <c r="P865" s="67">
        <v>159.690001547337</v>
      </c>
      <c r="Q865" s="77">
        <v>0.62441328746950198</v>
      </c>
    </row>
    <row r="866" spans="1:17" x14ac:dyDescent="0.35">
      <c r="A866" s="76" t="s">
        <v>136</v>
      </c>
      <c r="B866" s="63">
        <v>987456</v>
      </c>
      <c r="C866" s="63" t="s">
        <v>144</v>
      </c>
      <c r="D866" s="64">
        <v>42654</v>
      </c>
      <c r="E866" s="63" t="s">
        <v>138</v>
      </c>
      <c r="F866" s="65">
        <v>20508</v>
      </c>
      <c r="G866" s="66">
        <v>3.6705562478758398E-3</v>
      </c>
      <c r="H866" s="65">
        <v>446</v>
      </c>
      <c r="I866" s="67">
        <v>0.70660494543887997</v>
      </c>
      <c r="J866" s="67">
        <v>2.5936331972606399</v>
      </c>
      <c r="K866" s="65">
        <v>43</v>
      </c>
      <c r="L866" s="65">
        <v>9</v>
      </c>
      <c r="M866" s="66">
        <v>2.4691358024691398E-2</v>
      </c>
      <c r="N866" s="67">
        <v>350.38883671738699</v>
      </c>
      <c r="O866" s="67">
        <v>87.597209179346606</v>
      </c>
      <c r="P866" s="67">
        <v>114.470001161098</v>
      </c>
      <c r="Q866" s="77">
        <v>0.326694201315057</v>
      </c>
    </row>
    <row r="867" spans="1:17" x14ac:dyDescent="0.35">
      <c r="A867" s="76" t="s">
        <v>136</v>
      </c>
      <c r="B867" s="63">
        <v>987456</v>
      </c>
      <c r="C867" s="63" t="s">
        <v>144</v>
      </c>
      <c r="D867" s="64">
        <v>42655</v>
      </c>
      <c r="E867" s="63" t="s">
        <v>138</v>
      </c>
      <c r="F867" s="65">
        <v>55091</v>
      </c>
      <c r="G867" s="66">
        <v>4.6535027040623799E-3</v>
      </c>
      <c r="H867" s="65">
        <v>577</v>
      </c>
      <c r="I867" s="67">
        <v>0.64391893027601999</v>
      </c>
      <c r="J867" s="67">
        <v>2.99647848323642</v>
      </c>
      <c r="K867" s="65">
        <v>18</v>
      </c>
      <c r="L867" s="65">
        <v>11</v>
      </c>
      <c r="M867" s="66">
        <v>4.72972972972973E-2</v>
      </c>
      <c r="N867" s="67">
        <v>1306.9105839383799</v>
      </c>
      <c r="O867" s="67">
        <v>186.70151199119701</v>
      </c>
      <c r="P867" s="67">
        <v>95.300001680850997</v>
      </c>
      <c r="Q867" s="77">
        <v>7.2920062666922705E-2</v>
      </c>
    </row>
    <row r="868" spans="1:17" x14ac:dyDescent="0.35">
      <c r="A868" s="76" t="s">
        <v>136</v>
      </c>
      <c r="B868" s="63">
        <v>987456</v>
      </c>
      <c r="C868" s="63" t="s">
        <v>144</v>
      </c>
      <c r="D868" s="64">
        <v>42656</v>
      </c>
      <c r="E868" s="63" t="s">
        <v>138</v>
      </c>
      <c r="F868" s="65">
        <v>34990</v>
      </c>
      <c r="G868" s="66">
        <v>4.5031522065445799E-3</v>
      </c>
      <c r="H868" s="65">
        <v>446</v>
      </c>
      <c r="I868" s="67">
        <v>0.96542859474817899</v>
      </c>
      <c r="J868" s="67">
        <v>4.3474719067015002</v>
      </c>
      <c r="K868" s="65">
        <v>87</v>
      </c>
      <c r="L868" s="65">
        <v>10</v>
      </c>
      <c r="M868" s="66">
        <v>4.7619047619047603E-2</v>
      </c>
      <c r="N868" s="67">
        <v>718.40756518464104</v>
      </c>
      <c r="O868" s="67">
        <v>143.68151303692801</v>
      </c>
      <c r="P868" s="67">
        <v>101.37000244855901</v>
      </c>
      <c r="Q868" s="77">
        <v>0.14110375135387901</v>
      </c>
    </row>
    <row r="869" spans="1:17" x14ac:dyDescent="0.35">
      <c r="A869" s="76" t="s">
        <v>136</v>
      </c>
      <c r="B869" s="63">
        <v>987456</v>
      </c>
      <c r="C869" s="63" t="s">
        <v>144</v>
      </c>
      <c r="D869" s="64">
        <v>42657</v>
      </c>
      <c r="E869" s="63" t="s">
        <v>138</v>
      </c>
      <c r="F869" s="65">
        <v>27709</v>
      </c>
      <c r="G869" s="66">
        <v>4.1347317466720497E-3</v>
      </c>
      <c r="H869" s="65">
        <v>534</v>
      </c>
      <c r="I869" s="67">
        <v>0.65861790936167697</v>
      </c>
      <c r="J869" s="67">
        <v>2.7232083787644998</v>
      </c>
      <c r="K869" s="65">
        <v>50</v>
      </c>
      <c r="L869" s="65">
        <v>11</v>
      </c>
      <c r="M869" s="66">
        <v>4.8780487804878099E-2</v>
      </c>
      <c r="N869" s="67">
        <v>528.05762528614696</v>
      </c>
      <c r="O869" s="67">
        <v>88.009604214357793</v>
      </c>
      <c r="P869" s="67">
        <v>81.010002851486206</v>
      </c>
      <c r="Q869" s="77">
        <v>0.153411292579267</v>
      </c>
    </row>
    <row r="870" spans="1:17" x14ac:dyDescent="0.35">
      <c r="A870" s="76" t="s">
        <v>136</v>
      </c>
      <c r="B870" s="63">
        <v>987456</v>
      </c>
      <c r="C870" s="63" t="s">
        <v>144</v>
      </c>
      <c r="D870" s="64">
        <v>42658</v>
      </c>
      <c r="E870" s="63" t="s">
        <v>138</v>
      </c>
      <c r="F870" s="65">
        <v>14717</v>
      </c>
      <c r="G870" s="66">
        <v>4.4218761388760703E-3</v>
      </c>
      <c r="H870" s="65">
        <v>331</v>
      </c>
      <c r="I870" s="67">
        <v>0.64719780583630504</v>
      </c>
      <c r="J870" s="67">
        <v>2.8618285347604999</v>
      </c>
      <c r="K870" s="65">
        <v>66</v>
      </c>
      <c r="L870" s="65">
        <v>13</v>
      </c>
      <c r="M870" s="66">
        <v>3.2967032967033003E-2</v>
      </c>
      <c r="N870" s="67">
        <v>878.84409430171104</v>
      </c>
      <c r="O870" s="67">
        <v>146.47401571695201</v>
      </c>
      <c r="P870" s="67">
        <v>117.790000662208</v>
      </c>
      <c r="Q870" s="77">
        <v>0.134028323596801</v>
      </c>
    </row>
    <row r="871" spans="1:17" x14ac:dyDescent="0.35">
      <c r="A871" s="76" t="s">
        <v>136</v>
      </c>
      <c r="B871" s="63">
        <v>987456</v>
      </c>
      <c r="C871" s="63" t="s">
        <v>144</v>
      </c>
      <c r="D871" s="64">
        <v>42659</v>
      </c>
      <c r="E871" s="63" t="s">
        <v>138</v>
      </c>
      <c r="F871" s="65">
        <v>13681</v>
      </c>
      <c r="G871" s="66">
        <v>2.8459622909996398E-3</v>
      </c>
      <c r="H871" s="65">
        <v>423</v>
      </c>
      <c r="I871" s="67">
        <v>0.59817308029876304</v>
      </c>
      <c r="J871" s="67">
        <v>1.70237803002138</v>
      </c>
      <c r="K871" s="65">
        <v>88</v>
      </c>
      <c r="L871" s="65">
        <v>7</v>
      </c>
      <c r="M871" s="66">
        <v>2.8846153846153799E-2</v>
      </c>
      <c r="N871" s="67">
        <v>430.23152922774898</v>
      </c>
      <c r="O871" s="67">
        <v>143.410509742583</v>
      </c>
      <c r="P871" s="67">
        <v>62.2100003510714</v>
      </c>
      <c r="Q871" s="77">
        <v>0.14459656283847</v>
      </c>
    </row>
    <row r="872" spans="1:17" x14ac:dyDescent="0.35">
      <c r="A872" s="76" t="s">
        <v>136</v>
      </c>
      <c r="B872" s="63">
        <v>987456</v>
      </c>
      <c r="C872" s="63" t="s">
        <v>144</v>
      </c>
      <c r="D872" s="64">
        <v>42660</v>
      </c>
      <c r="E872" s="63" t="s">
        <v>138</v>
      </c>
      <c r="F872" s="65">
        <v>9080</v>
      </c>
      <c r="G872" s="66">
        <v>3.5357737104825299E-3</v>
      </c>
      <c r="H872" s="65">
        <v>553</v>
      </c>
      <c r="I872" s="67">
        <v>0.74904411494293599</v>
      </c>
      <c r="J872" s="67">
        <v>2.6484504896068901</v>
      </c>
      <c r="K872" s="65">
        <v>45</v>
      </c>
      <c r="L872" s="65">
        <v>11</v>
      </c>
      <c r="M872" s="66">
        <v>4.4117647058823498E-2</v>
      </c>
      <c r="N872" s="67">
        <v>608.07706442516405</v>
      </c>
      <c r="O872" s="67">
        <v>101.34617740419399</v>
      </c>
      <c r="P872" s="67">
        <v>101.869999632239</v>
      </c>
      <c r="Q872" s="77">
        <v>0.167528107195657</v>
      </c>
    </row>
    <row r="873" spans="1:17" x14ac:dyDescent="0.35">
      <c r="A873" s="76" t="s">
        <v>136</v>
      </c>
      <c r="B873" s="63">
        <v>987456</v>
      </c>
      <c r="C873" s="63" t="s">
        <v>144</v>
      </c>
      <c r="D873" s="64">
        <v>42661</v>
      </c>
      <c r="E873" s="63" t="s">
        <v>138</v>
      </c>
      <c r="F873" s="65">
        <v>36670</v>
      </c>
      <c r="G873" s="66">
        <v>3.39456235525523E-3</v>
      </c>
      <c r="H873" s="65">
        <v>515</v>
      </c>
      <c r="I873" s="67">
        <v>0.77785045827660604</v>
      </c>
      <c r="J873" s="67">
        <v>2.6404618836837899</v>
      </c>
      <c r="K873" s="65">
        <v>45</v>
      </c>
      <c r="L873" s="65">
        <v>6</v>
      </c>
      <c r="M873" s="66">
        <v>3.7383177570093497E-2</v>
      </c>
      <c r="N873" s="67">
        <v>303.46411957509901</v>
      </c>
      <c r="O873" s="67">
        <v>75.866029893774694</v>
      </c>
      <c r="P873" s="67">
        <v>83.229999035596805</v>
      </c>
      <c r="Q873" s="77">
        <v>0.27426635858016102</v>
      </c>
    </row>
    <row r="874" spans="1:17" x14ac:dyDescent="0.35">
      <c r="A874" s="76" t="s">
        <v>136</v>
      </c>
      <c r="B874" s="63">
        <v>987456</v>
      </c>
      <c r="C874" s="63" t="s">
        <v>144</v>
      </c>
      <c r="D874" s="64">
        <v>42662</v>
      </c>
      <c r="E874" s="63" t="s">
        <v>138</v>
      </c>
      <c r="F874" s="65">
        <v>53769</v>
      </c>
      <c r="G874" s="66">
        <v>2.98943022883377E-3</v>
      </c>
      <c r="H874" s="65">
        <v>350</v>
      </c>
      <c r="I874" s="67">
        <v>0.85107141910564299</v>
      </c>
      <c r="J874" s="67">
        <v>2.54421862717086</v>
      </c>
      <c r="K874" s="65">
        <v>40</v>
      </c>
      <c r="L874" s="65">
        <v>10</v>
      </c>
      <c r="M874" s="66">
        <v>2.3809523809523801E-2</v>
      </c>
      <c r="N874" s="67">
        <v>307.26406168878702</v>
      </c>
      <c r="O874" s="67">
        <v>153.632030844393</v>
      </c>
      <c r="P874" s="67">
        <v>71.489999204873996</v>
      </c>
      <c r="Q874" s="77">
        <v>0.23266632228953199</v>
      </c>
    </row>
    <row r="875" spans="1:17" x14ac:dyDescent="0.35">
      <c r="A875" s="76" t="s">
        <v>136</v>
      </c>
      <c r="B875" s="63">
        <v>987456</v>
      </c>
      <c r="C875" s="63" t="s">
        <v>144</v>
      </c>
      <c r="D875" s="64">
        <v>42663</v>
      </c>
      <c r="E875" s="63" t="s">
        <v>138</v>
      </c>
      <c r="F875" s="65">
        <v>20487</v>
      </c>
      <c r="G875" s="66">
        <v>4.0654120226566804E-3</v>
      </c>
      <c r="H875" s="65">
        <v>311</v>
      </c>
      <c r="I875" s="67">
        <v>0.72089886397458203</v>
      </c>
      <c r="J875" s="67">
        <v>2.93075090872181</v>
      </c>
      <c r="K875" s="65">
        <v>17</v>
      </c>
      <c r="L875" s="65">
        <v>9</v>
      </c>
      <c r="M875" s="66">
        <v>6.7415730337078705E-2</v>
      </c>
      <c r="N875" s="67">
        <v>1032.8437861472601</v>
      </c>
      <c r="O875" s="67">
        <v>172.14063102454301</v>
      </c>
      <c r="P875" s="67">
        <v>64.159998893737793</v>
      </c>
      <c r="Q875" s="77">
        <v>6.2119751073944303E-2</v>
      </c>
    </row>
    <row r="876" spans="1:17" x14ac:dyDescent="0.35">
      <c r="A876" s="76" t="s">
        <v>136</v>
      </c>
      <c r="B876" s="63">
        <v>987456</v>
      </c>
      <c r="C876" s="63" t="s">
        <v>144</v>
      </c>
      <c r="D876" s="64">
        <v>42664</v>
      </c>
      <c r="E876" s="63" t="s">
        <v>138</v>
      </c>
      <c r="F876" s="65">
        <v>32635</v>
      </c>
      <c r="G876" s="66">
        <v>4.43417436922308E-3</v>
      </c>
      <c r="H876" s="65">
        <v>282</v>
      </c>
      <c r="I876" s="67">
        <v>0.73732393182499301</v>
      </c>
      <c r="J876" s="67">
        <v>3.26942288031317</v>
      </c>
      <c r="K876" s="65">
        <v>91</v>
      </c>
      <c r="L876" s="65">
        <v>15</v>
      </c>
      <c r="M876" s="66">
        <v>3.5211267605633798E-2</v>
      </c>
      <c r="N876" s="67">
        <v>560.18025683783605</v>
      </c>
      <c r="O876" s="67">
        <v>112.036051367567</v>
      </c>
      <c r="P876" s="67">
        <v>104.699998319149</v>
      </c>
      <c r="Q876" s="77">
        <v>0.186904120666748</v>
      </c>
    </row>
    <row r="877" spans="1:17" x14ac:dyDescent="0.35">
      <c r="A877" s="76" t="s">
        <v>136</v>
      </c>
      <c r="B877" s="63">
        <v>987456</v>
      </c>
      <c r="C877" s="63" t="s">
        <v>144</v>
      </c>
      <c r="D877" s="64">
        <v>42665</v>
      </c>
      <c r="E877" s="63" t="s">
        <v>138</v>
      </c>
      <c r="F877" s="65">
        <v>26061</v>
      </c>
      <c r="G877" s="66">
        <v>3.3868317957791E-3</v>
      </c>
      <c r="H877" s="65">
        <v>286</v>
      </c>
      <c r="I877" s="67">
        <v>0.78708954600255898</v>
      </c>
      <c r="J877" s="67">
        <v>2.6657399005268001</v>
      </c>
      <c r="K877" s="65">
        <v>68</v>
      </c>
      <c r="L877" s="65">
        <v>8</v>
      </c>
      <c r="M877" s="66">
        <v>5.22388059701493E-2</v>
      </c>
      <c r="N877" s="67">
        <v>702.37957491559496</v>
      </c>
      <c r="O877" s="67">
        <v>100.339939273656</v>
      </c>
      <c r="P877" s="67">
        <v>105.46999916434299</v>
      </c>
      <c r="Q877" s="77">
        <v>0.150160971262607</v>
      </c>
    </row>
    <row r="878" spans="1:17" x14ac:dyDescent="0.35">
      <c r="A878" s="76" t="s">
        <v>136</v>
      </c>
      <c r="B878" s="63">
        <v>987456</v>
      </c>
      <c r="C878" s="63" t="s">
        <v>144</v>
      </c>
      <c r="D878" s="64">
        <v>42666</v>
      </c>
      <c r="E878" s="63" t="s">
        <v>138</v>
      </c>
      <c r="F878" s="65">
        <v>5651</v>
      </c>
      <c r="G878" s="66">
        <v>3.1965609413320802E-3</v>
      </c>
      <c r="H878" s="65">
        <v>349</v>
      </c>
      <c r="I878" s="67">
        <v>0.70310344213041798</v>
      </c>
      <c r="J878" s="67">
        <v>2.24751300083024</v>
      </c>
      <c r="K878" s="65">
        <v>72</v>
      </c>
      <c r="L878" s="65">
        <v>12</v>
      </c>
      <c r="M878" s="66">
        <v>6.8965517241379296E-2</v>
      </c>
      <c r="N878" s="67">
        <v>757.99751214316996</v>
      </c>
      <c r="O878" s="67">
        <v>94.749689017896202</v>
      </c>
      <c r="P878" s="67">
        <v>81.559999287128406</v>
      </c>
      <c r="Q878" s="77">
        <v>0.10759929680577</v>
      </c>
    </row>
    <row r="879" spans="1:17" x14ac:dyDescent="0.35">
      <c r="A879" s="76" t="s">
        <v>136</v>
      </c>
      <c r="B879" s="63">
        <v>987456</v>
      </c>
      <c r="C879" s="63" t="s">
        <v>144</v>
      </c>
      <c r="D879" s="64">
        <v>42667</v>
      </c>
      <c r="E879" s="63" t="s">
        <v>138</v>
      </c>
      <c r="F879" s="65">
        <v>10578</v>
      </c>
      <c r="G879" s="66">
        <v>3.51095944349652E-3</v>
      </c>
      <c r="H879" s="65">
        <v>349</v>
      </c>
      <c r="I879" s="67">
        <v>0.67803737771845296</v>
      </c>
      <c r="J879" s="67">
        <v>2.3805617343442198</v>
      </c>
      <c r="K879" s="65">
        <v>17</v>
      </c>
      <c r="L879" s="65">
        <v>12</v>
      </c>
      <c r="M879" s="66">
        <v>5.60747663551402E-2</v>
      </c>
      <c r="N879" s="67">
        <v>1039.14814393147</v>
      </c>
      <c r="O879" s="67">
        <v>173.19135732191199</v>
      </c>
      <c r="P879" s="67">
        <v>72.549999415874495</v>
      </c>
      <c r="Q879" s="77">
        <v>6.9816801232393894E-2</v>
      </c>
    </row>
    <row r="880" spans="1:17" x14ac:dyDescent="0.35">
      <c r="A880" s="76" t="s">
        <v>136</v>
      </c>
      <c r="B880" s="63">
        <v>987456</v>
      </c>
      <c r="C880" s="63" t="s">
        <v>144</v>
      </c>
      <c r="D880" s="64">
        <v>42668</v>
      </c>
      <c r="E880" s="63" t="s">
        <v>138</v>
      </c>
      <c r="F880" s="65">
        <v>1914</v>
      </c>
      <c r="G880" s="66">
        <v>2.8716589352772298E-3</v>
      </c>
      <c r="H880" s="65">
        <v>525</v>
      </c>
      <c r="I880" s="67">
        <v>0.73269230184646805</v>
      </c>
      <c r="J880" s="67">
        <v>2.1040423954062502</v>
      </c>
      <c r="K880" s="65">
        <v>54</v>
      </c>
      <c r="L880" s="65">
        <v>14</v>
      </c>
      <c r="M880" s="66">
        <v>9.6153846153846201E-2</v>
      </c>
      <c r="N880" s="67">
        <v>331.03570031293799</v>
      </c>
      <c r="O880" s="67">
        <v>66.207140062587698</v>
      </c>
      <c r="P880" s="67">
        <v>38.099999696016297</v>
      </c>
      <c r="Q880" s="77">
        <v>0.115093325765164</v>
      </c>
    </row>
    <row r="881" spans="1:17" x14ac:dyDescent="0.35">
      <c r="A881" s="76" t="s">
        <v>136</v>
      </c>
      <c r="B881" s="63">
        <v>987456</v>
      </c>
      <c r="C881" s="63" t="s">
        <v>144</v>
      </c>
      <c r="D881" s="64">
        <v>42669</v>
      </c>
      <c r="E881" s="63" t="s">
        <v>138</v>
      </c>
      <c r="F881" s="65">
        <v>5387</v>
      </c>
      <c r="G881" s="66">
        <v>2.7758501040943801E-3</v>
      </c>
      <c r="H881" s="65">
        <v>184</v>
      </c>
      <c r="I881" s="67">
        <v>0.707045455547896</v>
      </c>
      <c r="J881" s="67">
        <v>1.96265220138209</v>
      </c>
      <c r="K881" s="65">
        <v>94</v>
      </c>
      <c r="L881" s="65">
        <v>12</v>
      </c>
      <c r="M881" s="66">
        <v>6.8181818181818205E-2</v>
      </c>
      <c r="N881" s="67">
        <v>166.71085323955401</v>
      </c>
      <c r="O881" s="67">
        <v>55.570284413184602</v>
      </c>
      <c r="P881" s="67">
        <v>31.110000044107402</v>
      </c>
      <c r="Q881" s="77">
        <v>0.18661052618694399</v>
      </c>
    </row>
    <row r="882" spans="1:17" x14ac:dyDescent="0.35">
      <c r="A882" s="76" t="s">
        <v>136</v>
      </c>
      <c r="B882" s="63">
        <v>987456</v>
      </c>
      <c r="C882" s="63" t="s">
        <v>144</v>
      </c>
      <c r="D882" s="64">
        <v>42670</v>
      </c>
      <c r="E882" s="63" t="s">
        <v>138</v>
      </c>
      <c r="F882" s="65">
        <v>53731</v>
      </c>
      <c r="G882" s="66">
        <v>1.91220485533755E-3</v>
      </c>
      <c r="H882" s="65">
        <v>173</v>
      </c>
      <c r="I882" s="67">
        <v>0.71130433678627003</v>
      </c>
      <c r="J882" s="67">
        <v>1.36015960642536</v>
      </c>
      <c r="K882" s="65">
        <v>65</v>
      </c>
      <c r="L882" s="65">
        <v>9</v>
      </c>
      <c r="M882" s="66">
        <v>0.173913043478261</v>
      </c>
      <c r="N882" s="67">
        <v>706.03570907770802</v>
      </c>
      <c r="O882" s="67">
        <v>176.50892726942701</v>
      </c>
      <c r="P882" s="67">
        <v>16.359999746084199</v>
      </c>
      <c r="Q882" s="77">
        <v>2.3171632164972599E-2</v>
      </c>
    </row>
    <row r="883" spans="1:17" x14ac:dyDescent="0.35">
      <c r="A883" s="76" t="s">
        <v>136</v>
      </c>
      <c r="B883" s="63">
        <v>987456</v>
      </c>
      <c r="C883" s="63" t="s">
        <v>144</v>
      </c>
      <c r="D883" s="64">
        <v>42671</v>
      </c>
      <c r="E883" s="63" t="s">
        <v>138</v>
      </c>
      <c r="F883" s="65">
        <v>9932</v>
      </c>
      <c r="G883" s="66">
        <v>3.1604654503663301E-3</v>
      </c>
      <c r="H883" s="65">
        <v>191</v>
      </c>
      <c r="I883" s="67">
        <v>0.82681818306446098</v>
      </c>
      <c r="J883" s="67">
        <v>2.6131303013098899</v>
      </c>
      <c r="K883" s="65">
        <v>51</v>
      </c>
      <c r="L883" s="65">
        <v>12</v>
      </c>
      <c r="M883" s="66">
        <v>0.11363636363636399</v>
      </c>
      <c r="N883" s="67">
        <v>567.96150099645502</v>
      </c>
      <c r="O883" s="67">
        <v>113.592300199291</v>
      </c>
      <c r="P883" s="67">
        <v>36.380000054836302</v>
      </c>
      <c r="Q883" s="77">
        <v>6.4053637422624099E-2</v>
      </c>
    </row>
    <row r="884" spans="1:17" x14ac:dyDescent="0.35">
      <c r="A884" s="76" t="s">
        <v>136</v>
      </c>
      <c r="B884" s="63">
        <v>987456</v>
      </c>
      <c r="C884" s="63" t="s">
        <v>144</v>
      </c>
      <c r="D884" s="64">
        <v>42672</v>
      </c>
      <c r="E884" s="63" t="s">
        <v>138</v>
      </c>
      <c r="F884" s="65">
        <v>31703</v>
      </c>
      <c r="G884" s="66">
        <v>2.9807165886002801E-3</v>
      </c>
      <c r="H884" s="65">
        <v>474</v>
      </c>
      <c r="I884" s="67">
        <v>0.80897957755594796</v>
      </c>
      <c r="J884" s="67">
        <v>2.4113388466598602</v>
      </c>
      <c r="K884" s="65">
        <v>82</v>
      </c>
      <c r="L884" s="65">
        <v>12</v>
      </c>
      <c r="M884" s="66">
        <v>0.102040816326531</v>
      </c>
      <c r="N884" s="67">
        <v>425.45952363754202</v>
      </c>
      <c r="O884" s="67">
        <v>85.091904727508407</v>
      </c>
      <c r="P884" s="67">
        <v>39.639999300241499</v>
      </c>
      <c r="Q884" s="77">
        <v>9.3169848359092505E-2</v>
      </c>
    </row>
    <row r="885" spans="1:17" x14ac:dyDescent="0.35">
      <c r="A885" s="76" t="s">
        <v>136</v>
      </c>
      <c r="B885" s="63">
        <v>987456</v>
      </c>
      <c r="C885" s="63" t="s">
        <v>144</v>
      </c>
      <c r="D885" s="64">
        <v>42673</v>
      </c>
      <c r="E885" s="63" t="s">
        <v>138</v>
      </c>
      <c r="F885" s="65">
        <v>18541</v>
      </c>
      <c r="G885" s="66">
        <v>1.8034972163412501E-3</v>
      </c>
      <c r="H885" s="65">
        <v>381</v>
      </c>
      <c r="I885" s="67">
        <v>0.78869564377743295</v>
      </c>
      <c r="J885" s="67">
        <v>1.42241039809307</v>
      </c>
      <c r="K885" s="65">
        <v>54</v>
      </c>
      <c r="L885" s="65">
        <v>5</v>
      </c>
      <c r="M885" s="66">
        <v>4.3478260869565202E-2</v>
      </c>
      <c r="N885" s="67">
        <v>162.42488781526899</v>
      </c>
      <c r="O885" s="67">
        <v>162.42488781526899</v>
      </c>
      <c r="P885" s="67">
        <v>18.139999806881001</v>
      </c>
      <c r="Q885" s="77">
        <v>0.111682390863106</v>
      </c>
    </row>
    <row r="886" spans="1:17" x14ac:dyDescent="0.35">
      <c r="A886" s="76" t="s">
        <v>136</v>
      </c>
      <c r="B886" s="63">
        <v>987456</v>
      </c>
      <c r="C886" s="63" t="s">
        <v>144</v>
      </c>
      <c r="D886" s="64">
        <v>42674</v>
      </c>
      <c r="E886" s="63" t="s">
        <v>138</v>
      </c>
      <c r="F886" s="65">
        <v>42028</v>
      </c>
      <c r="G886" s="66">
        <v>3.2310177705977398E-3</v>
      </c>
      <c r="H886" s="65">
        <v>214</v>
      </c>
      <c r="I886" s="67">
        <v>0.68911765077534803</v>
      </c>
      <c r="J886" s="67">
        <v>2.2265513756877202</v>
      </c>
      <c r="K886" s="65">
        <v>81</v>
      </c>
      <c r="L886" s="65">
        <v>5</v>
      </c>
      <c r="M886" s="66">
        <v>5.8823529411764698E-2</v>
      </c>
      <c r="N886" s="67">
        <v>133.30682422129601</v>
      </c>
      <c r="O886" s="67">
        <v>66.653412110647906</v>
      </c>
      <c r="P886" s="67">
        <v>23.430000126361801</v>
      </c>
      <c r="Q886" s="77">
        <v>0.17575994524831601</v>
      </c>
    </row>
    <row r="887" spans="1:17" x14ac:dyDescent="0.35">
      <c r="A887" s="76" t="s">
        <v>136</v>
      </c>
      <c r="B887" s="63">
        <v>987456</v>
      </c>
      <c r="C887" s="63" t="s">
        <v>144</v>
      </c>
      <c r="D887" s="64">
        <v>42675</v>
      </c>
      <c r="E887" s="63" t="s">
        <v>138</v>
      </c>
      <c r="F887" s="65">
        <v>57306</v>
      </c>
      <c r="G887" s="66">
        <v>3.0322521363594598E-3</v>
      </c>
      <c r="H887" s="65">
        <v>286</v>
      </c>
      <c r="I887" s="67">
        <v>0.72121211976716004</v>
      </c>
      <c r="J887" s="67">
        <v>2.1868969909323099</v>
      </c>
      <c r="K887" s="65">
        <v>28</v>
      </c>
      <c r="L887" s="65">
        <v>6</v>
      </c>
      <c r="M887" s="66">
        <v>3.03030303030303E-2</v>
      </c>
      <c r="N887" s="67">
        <v>39.678332914350399</v>
      </c>
      <c r="O887" s="67">
        <v>39.678332914350399</v>
      </c>
      <c r="P887" s="67">
        <v>23.799999952316298</v>
      </c>
      <c r="Q887" s="77">
        <v>0.59982358643169098</v>
      </c>
    </row>
    <row r="888" spans="1:17" x14ac:dyDescent="0.35">
      <c r="A888" s="76" t="s">
        <v>136</v>
      </c>
      <c r="B888" s="63">
        <v>987456</v>
      </c>
      <c r="C888" s="63" t="s">
        <v>144</v>
      </c>
      <c r="D888" s="64">
        <v>42676</v>
      </c>
      <c r="E888" s="63" t="s">
        <v>138</v>
      </c>
      <c r="F888" s="65">
        <v>14660</v>
      </c>
      <c r="G888" s="66">
        <v>2.5396825396825401E-3</v>
      </c>
      <c r="H888" s="65">
        <v>378</v>
      </c>
      <c r="I888" s="67">
        <v>0.79208332424362504</v>
      </c>
      <c r="J888" s="67">
        <v>2.0116401885552402</v>
      </c>
      <c r="K888" s="65">
        <v>84</v>
      </c>
      <c r="L888" s="65">
        <v>6</v>
      </c>
      <c r="M888" s="66">
        <v>0.16666666666666699</v>
      </c>
      <c r="N888" s="67">
        <v>435.18027976107902</v>
      </c>
      <c r="O888" s="67">
        <v>108.79506994027</v>
      </c>
      <c r="P888" s="67">
        <v>19.009999781847</v>
      </c>
      <c r="Q888" s="77">
        <v>4.3683045087162101E-2</v>
      </c>
    </row>
    <row r="889" spans="1:17" x14ac:dyDescent="0.35">
      <c r="A889" s="76" t="s">
        <v>136</v>
      </c>
      <c r="B889" s="63">
        <v>987456</v>
      </c>
      <c r="C889" s="63" t="s">
        <v>144</v>
      </c>
      <c r="D889" s="64">
        <v>42677</v>
      </c>
      <c r="E889" s="63" t="s">
        <v>138</v>
      </c>
      <c r="F889" s="65">
        <v>32574</v>
      </c>
      <c r="G889" s="66">
        <v>3.5117461855170701E-3</v>
      </c>
      <c r="H889" s="65">
        <v>298</v>
      </c>
      <c r="I889" s="67">
        <v>0.66620689938808297</v>
      </c>
      <c r="J889" s="67">
        <v>2.3395495376912598</v>
      </c>
      <c r="K889" s="65">
        <v>72</v>
      </c>
      <c r="L889" s="65">
        <v>4</v>
      </c>
      <c r="M889" s="66">
        <v>6.8965517241379296E-2</v>
      </c>
      <c r="N889" s="67">
        <v>406.23896448129301</v>
      </c>
      <c r="O889" s="67">
        <v>203.11948224064699</v>
      </c>
      <c r="P889" s="67">
        <v>19.320000082254399</v>
      </c>
      <c r="Q889" s="77">
        <v>4.7558215167575503E-2</v>
      </c>
    </row>
    <row r="890" spans="1:17" x14ac:dyDescent="0.35">
      <c r="A890" s="76" t="s">
        <v>136</v>
      </c>
      <c r="B890" s="63">
        <v>987456</v>
      </c>
      <c r="C890" s="63" t="s">
        <v>144</v>
      </c>
      <c r="D890" s="64">
        <v>42678</v>
      </c>
      <c r="E890" s="63" t="s">
        <v>138</v>
      </c>
      <c r="F890" s="65">
        <v>20151</v>
      </c>
      <c r="G890" s="66">
        <v>2.58030073849987E-3</v>
      </c>
      <c r="H890" s="65">
        <v>382</v>
      </c>
      <c r="I890" s="67">
        <v>0.71793102807012099</v>
      </c>
      <c r="J890" s="67">
        <v>1.8524779619213001</v>
      </c>
      <c r="K890" s="65">
        <v>77</v>
      </c>
      <c r="L890" s="65">
        <v>7</v>
      </c>
      <c r="M890" s="66">
        <v>3.4482758620689703E-2</v>
      </c>
      <c r="N890" s="67">
        <v>316.72289279629001</v>
      </c>
      <c r="O890" s="67">
        <v>316.72289279629001</v>
      </c>
      <c r="P890" s="67">
        <v>20.819999814033501</v>
      </c>
      <c r="Q890" s="77">
        <v>6.5735696053472695E-2</v>
      </c>
    </row>
    <row r="891" spans="1:17" x14ac:dyDescent="0.35">
      <c r="A891" s="76" t="s">
        <v>136</v>
      </c>
      <c r="B891" s="63">
        <v>894875</v>
      </c>
      <c r="C891" s="63" t="s">
        <v>145</v>
      </c>
      <c r="D891" s="64">
        <v>42552</v>
      </c>
      <c r="E891" s="63" t="s">
        <v>138</v>
      </c>
      <c r="F891" s="65">
        <v>5330</v>
      </c>
      <c r="G891" s="66">
        <v>1.45586275246916E-2</v>
      </c>
      <c r="H891" s="65">
        <v>445</v>
      </c>
      <c r="I891" s="67">
        <v>0.64187793083873701</v>
      </c>
      <c r="J891" s="67">
        <v>9.3448617114009096</v>
      </c>
      <c r="K891" s="65">
        <v>97</v>
      </c>
      <c r="L891" s="65">
        <v>43</v>
      </c>
      <c r="M891" s="66">
        <v>8.2159624413145504E-2</v>
      </c>
      <c r="N891" s="67">
        <v>4832.0512139340699</v>
      </c>
      <c r="O891" s="67">
        <v>138.058606112402</v>
      </c>
      <c r="P891" s="67">
        <v>273.43999853730202</v>
      </c>
      <c r="Q891" s="77">
        <v>5.6588803891148599E-2</v>
      </c>
    </row>
    <row r="892" spans="1:17" x14ac:dyDescent="0.35">
      <c r="A892" s="76" t="s">
        <v>136</v>
      </c>
      <c r="B892" s="63">
        <v>894875</v>
      </c>
      <c r="C892" s="63" t="s">
        <v>145</v>
      </c>
      <c r="D892" s="64">
        <v>42553</v>
      </c>
      <c r="E892" s="63" t="s">
        <v>138</v>
      </c>
      <c r="F892" s="65">
        <v>65165</v>
      </c>
      <c r="G892" s="66">
        <v>1.50232677439449E-2</v>
      </c>
      <c r="H892" s="65">
        <v>262</v>
      </c>
      <c r="I892" s="67">
        <v>0.71387806505691698</v>
      </c>
      <c r="J892" s="67">
        <v>10.7247813078794</v>
      </c>
      <c r="K892" s="65">
        <v>45</v>
      </c>
      <c r="L892" s="65">
        <v>32</v>
      </c>
      <c r="M892" s="66">
        <v>5.12195121951219E-2</v>
      </c>
      <c r="N892" s="67">
        <v>1732.8204559634801</v>
      </c>
      <c r="O892" s="67">
        <v>82.515259807784801</v>
      </c>
      <c r="P892" s="67">
        <v>292.69000667333597</v>
      </c>
      <c r="Q892" s="77">
        <v>0.16890959802906699</v>
      </c>
    </row>
    <row r="893" spans="1:17" x14ac:dyDescent="0.35">
      <c r="A893" s="76" t="s">
        <v>136</v>
      </c>
      <c r="B893" s="63">
        <v>894875</v>
      </c>
      <c r="C893" s="63" t="s">
        <v>145</v>
      </c>
      <c r="D893" s="64">
        <v>42554</v>
      </c>
      <c r="E893" s="63" t="s">
        <v>138</v>
      </c>
      <c r="F893" s="65">
        <v>54600</v>
      </c>
      <c r="G893" s="66">
        <v>1.2998613891883601E-2</v>
      </c>
      <c r="H893" s="65">
        <v>462</v>
      </c>
      <c r="I893" s="67">
        <v>0.73748818004583305</v>
      </c>
      <c r="J893" s="67">
        <v>9.5863241022436902</v>
      </c>
      <c r="K893" s="65">
        <v>77</v>
      </c>
      <c r="L893" s="65">
        <v>24</v>
      </c>
      <c r="M893" s="66">
        <v>3.5545023696682498E-2</v>
      </c>
      <c r="N893" s="67">
        <v>1264.06777439848</v>
      </c>
      <c r="O893" s="67">
        <v>84.271184959898505</v>
      </c>
      <c r="P893" s="67">
        <v>311.22001197934202</v>
      </c>
      <c r="Q893" s="77">
        <v>0.24620516263650399</v>
      </c>
    </row>
    <row r="894" spans="1:17" x14ac:dyDescent="0.35">
      <c r="A894" s="76" t="s">
        <v>136</v>
      </c>
      <c r="B894" s="63">
        <v>894875</v>
      </c>
      <c r="C894" s="63" t="s">
        <v>145</v>
      </c>
      <c r="D894" s="64">
        <v>42555</v>
      </c>
      <c r="E894" s="63" t="s">
        <v>138</v>
      </c>
      <c r="F894" s="65">
        <v>38179</v>
      </c>
      <c r="G894" s="66">
        <v>1.47406791584063E-2</v>
      </c>
      <c r="H894" s="65">
        <v>171</v>
      </c>
      <c r="I894" s="67">
        <v>0.73095447912715295</v>
      </c>
      <c r="J894" s="67">
        <v>10.7747654562134</v>
      </c>
      <c r="K894" s="65">
        <v>40</v>
      </c>
      <c r="L894" s="65">
        <v>28</v>
      </c>
      <c r="M894" s="66">
        <v>4.7722342733188698E-2</v>
      </c>
      <c r="N894" s="67">
        <v>1966.5917650358499</v>
      </c>
      <c r="O894" s="67">
        <v>89.390534774356695</v>
      </c>
      <c r="P894" s="67">
        <v>336.97001487761702</v>
      </c>
      <c r="Q894" s="77">
        <v>0.171347211388061</v>
      </c>
    </row>
    <row r="895" spans="1:17" x14ac:dyDescent="0.35">
      <c r="A895" s="76" t="s">
        <v>136</v>
      </c>
      <c r="B895" s="63">
        <v>894875</v>
      </c>
      <c r="C895" s="63" t="s">
        <v>145</v>
      </c>
      <c r="D895" s="64">
        <v>42556</v>
      </c>
      <c r="E895" s="63" t="s">
        <v>138</v>
      </c>
      <c r="F895" s="65">
        <v>2987</v>
      </c>
      <c r="G895" s="66">
        <v>1.51304922365378E-2</v>
      </c>
      <c r="H895" s="65">
        <v>298</v>
      </c>
      <c r="I895" s="67">
        <v>0.81978165872362496</v>
      </c>
      <c r="J895" s="67">
        <v>12.403700022973901</v>
      </c>
      <c r="K895" s="65">
        <v>23</v>
      </c>
      <c r="L895" s="65">
        <v>20</v>
      </c>
      <c r="M895" s="66">
        <v>2.8384279475982498E-2</v>
      </c>
      <c r="N895" s="67">
        <v>1241.16173898435</v>
      </c>
      <c r="O895" s="67">
        <v>95.473979921872996</v>
      </c>
      <c r="P895" s="67">
        <v>375.45999969541998</v>
      </c>
      <c r="Q895" s="77">
        <v>0.30250690776422201</v>
      </c>
    </row>
    <row r="896" spans="1:17" x14ac:dyDescent="0.35">
      <c r="A896" s="76" t="s">
        <v>136</v>
      </c>
      <c r="B896" s="63">
        <v>894875</v>
      </c>
      <c r="C896" s="63" t="s">
        <v>145</v>
      </c>
      <c r="D896" s="64">
        <v>42557</v>
      </c>
      <c r="E896" s="63" t="s">
        <v>138</v>
      </c>
      <c r="F896" s="65">
        <v>12958</v>
      </c>
      <c r="G896" s="66">
        <v>1.3259696630357301E-2</v>
      </c>
      <c r="H896" s="65">
        <v>299</v>
      </c>
      <c r="I896" s="67">
        <v>0.90076776935706404</v>
      </c>
      <c r="J896" s="67">
        <v>11.9439073560784</v>
      </c>
      <c r="K896" s="65">
        <v>49</v>
      </c>
      <c r="L896" s="65">
        <v>17</v>
      </c>
      <c r="M896" s="66">
        <v>2.4952015355086399E-2</v>
      </c>
      <c r="N896" s="67">
        <v>771.19889343008504</v>
      </c>
      <c r="O896" s="67">
        <v>59.322991802314199</v>
      </c>
      <c r="P896" s="67">
        <v>469.30000783503101</v>
      </c>
      <c r="Q896" s="77">
        <v>0.60853304100024097</v>
      </c>
    </row>
    <row r="897" spans="1:17" x14ac:dyDescent="0.35">
      <c r="A897" s="76" t="s">
        <v>136</v>
      </c>
      <c r="B897" s="63">
        <v>894875</v>
      </c>
      <c r="C897" s="63" t="s">
        <v>145</v>
      </c>
      <c r="D897" s="64">
        <v>42558</v>
      </c>
      <c r="E897" s="63" t="s">
        <v>138</v>
      </c>
      <c r="F897" s="65">
        <v>48957</v>
      </c>
      <c r="G897" s="66">
        <v>1.4167470674859101E-2</v>
      </c>
      <c r="H897" s="65">
        <v>304</v>
      </c>
      <c r="I897" s="67">
        <v>0.86087815008229696</v>
      </c>
      <c r="J897" s="67">
        <v>12.1964659459179</v>
      </c>
      <c r="K897" s="65">
        <v>46</v>
      </c>
      <c r="L897" s="65">
        <v>19</v>
      </c>
      <c r="M897" s="66">
        <v>2.1505376344085999E-2</v>
      </c>
      <c r="N897" s="67">
        <v>864.63828642867702</v>
      </c>
      <c r="O897" s="67">
        <v>72.053190535723004</v>
      </c>
      <c r="P897" s="67">
        <v>480.37000774592201</v>
      </c>
      <c r="Q897" s="77">
        <v>0.55557337129963802</v>
      </c>
    </row>
    <row r="898" spans="1:17" x14ac:dyDescent="0.35">
      <c r="A898" s="76" t="s">
        <v>136</v>
      </c>
      <c r="B898" s="63">
        <v>894875</v>
      </c>
      <c r="C898" s="63" t="s">
        <v>145</v>
      </c>
      <c r="D898" s="64">
        <v>42559</v>
      </c>
      <c r="E898" s="63" t="s">
        <v>138</v>
      </c>
      <c r="F898" s="65">
        <v>13688</v>
      </c>
      <c r="G898" s="66">
        <v>1.2525365614722599E-2</v>
      </c>
      <c r="H898" s="65">
        <v>156</v>
      </c>
      <c r="I898" s="67">
        <v>0.87152702651321301</v>
      </c>
      <c r="J898" s="67">
        <v>10.91619465019</v>
      </c>
      <c r="K898" s="65">
        <v>69</v>
      </c>
      <c r="L898" s="65">
        <v>48</v>
      </c>
      <c r="M898" s="66">
        <v>7.6350093109869593E-2</v>
      </c>
      <c r="N898" s="67">
        <v>3437.9201797207102</v>
      </c>
      <c r="O898" s="67">
        <v>83.851711700505007</v>
      </c>
      <c r="P898" s="67">
        <v>468.01001323759601</v>
      </c>
      <c r="Q898" s="77">
        <v>0.13613172754802499</v>
      </c>
    </row>
    <row r="899" spans="1:17" x14ac:dyDescent="0.35">
      <c r="A899" s="76" t="s">
        <v>136</v>
      </c>
      <c r="B899" s="63">
        <v>894875</v>
      </c>
      <c r="C899" s="63" t="s">
        <v>145</v>
      </c>
      <c r="D899" s="64">
        <v>42560</v>
      </c>
      <c r="E899" s="63" t="s">
        <v>138</v>
      </c>
      <c r="F899" s="65">
        <v>33035</v>
      </c>
      <c r="G899" s="66">
        <v>1.3191588422441201E-2</v>
      </c>
      <c r="H899" s="65">
        <v>326</v>
      </c>
      <c r="I899" s="67">
        <v>0.85339217901814202</v>
      </c>
      <c r="J899" s="67">
        <v>11.2575983885376</v>
      </c>
      <c r="K899" s="65">
        <v>73</v>
      </c>
      <c r="L899" s="65">
        <v>22</v>
      </c>
      <c r="M899" s="66">
        <v>3.9215686274509803E-2</v>
      </c>
      <c r="N899" s="67">
        <v>2698.1156265347199</v>
      </c>
      <c r="O899" s="67">
        <v>134.90578132673599</v>
      </c>
      <c r="P899" s="67">
        <v>435.23001129925302</v>
      </c>
      <c r="Q899" s="77">
        <v>0.16130888054572901</v>
      </c>
    </row>
    <row r="900" spans="1:17" x14ac:dyDescent="0.35">
      <c r="A900" s="76" t="s">
        <v>136</v>
      </c>
      <c r="B900" s="63">
        <v>894875</v>
      </c>
      <c r="C900" s="63" t="s">
        <v>145</v>
      </c>
      <c r="D900" s="64">
        <v>42561</v>
      </c>
      <c r="E900" s="63" t="s">
        <v>138</v>
      </c>
      <c r="F900" s="65">
        <v>24688</v>
      </c>
      <c r="G900" s="66">
        <v>1.34763476347635E-2</v>
      </c>
      <c r="H900" s="65">
        <v>442</v>
      </c>
      <c r="I900" s="67">
        <v>0.65394559485706905</v>
      </c>
      <c r="J900" s="67">
        <v>8.8127981705160607</v>
      </c>
      <c r="K900" s="65">
        <v>75</v>
      </c>
      <c r="L900" s="65">
        <v>15</v>
      </c>
      <c r="M900" s="66">
        <v>2.4943310657596401E-2</v>
      </c>
      <c r="N900" s="67">
        <v>752.22578237479001</v>
      </c>
      <c r="O900" s="67">
        <v>68.384162034071807</v>
      </c>
      <c r="P900" s="67">
        <v>288.39000733196701</v>
      </c>
      <c r="Q900" s="77">
        <v>0.38338224252499697</v>
      </c>
    </row>
    <row r="901" spans="1:17" x14ac:dyDescent="0.35">
      <c r="A901" s="76" t="s">
        <v>136</v>
      </c>
      <c r="B901" s="63">
        <v>894875</v>
      </c>
      <c r="C901" s="63" t="s">
        <v>145</v>
      </c>
      <c r="D901" s="64">
        <v>42562</v>
      </c>
      <c r="E901" s="63" t="s">
        <v>138</v>
      </c>
      <c r="F901" s="65">
        <v>55212</v>
      </c>
      <c r="G901" s="66">
        <v>1.43424464209524E-2</v>
      </c>
      <c r="H901" s="65">
        <v>577</v>
      </c>
      <c r="I901" s="67">
        <v>0.55132723236520498</v>
      </c>
      <c r="J901" s="67">
        <v>7.9073812906099397</v>
      </c>
      <c r="K901" s="65">
        <v>39</v>
      </c>
      <c r="L901" s="65">
        <v>30</v>
      </c>
      <c r="M901" s="66">
        <v>5.0343249427917597E-2</v>
      </c>
      <c r="N901" s="67">
        <v>2351.7590144478299</v>
      </c>
      <c r="O901" s="67">
        <v>106.898137020356</v>
      </c>
      <c r="P901" s="67">
        <v>240.93000054359399</v>
      </c>
      <c r="Q901" s="77">
        <v>0.102446721395968</v>
      </c>
    </row>
    <row r="902" spans="1:17" x14ac:dyDescent="0.35">
      <c r="A902" s="76" t="s">
        <v>136</v>
      </c>
      <c r="B902" s="63">
        <v>894875</v>
      </c>
      <c r="C902" s="63" t="s">
        <v>145</v>
      </c>
      <c r="D902" s="64">
        <v>42563</v>
      </c>
      <c r="E902" s="63" t="s">
        <v>138</v>
      </c>
      <c r="F902" s="65">
        <v>30517</v>
      </c>
      <c r="G902" s="66">
        <v>1.5089913995308801E-2</v>
      </c>
      <c r="H902" s="65">
        <v>314</v>
      </c>
      <c r="I902" s="67">
        <v>0.537668403334568</v>
      </c>
      <c r="J902" s="67">
        <v>8.1133699643136605</v>
      </c>
      <c r="K902" s="65">
        <v>42</v>
      </c>
      <c r="L902" s="65">
        <v>27</v>
      </c>
      <c r="M902" s="66">
        <v>5.9585492227979299E-2</v>
      </c>
      <c r="N902" s="67">
        <v>2471.4755179383501</v>
      </c>
      <c r="O902" s="67">
        <v>107.45545730166801</v>
      </c>
      <c r="P902" s="67">
        <v>207.54000368714301</v>
      </c>
      <c r="Q902" s="77">
        <v>8.3974128888101796E-2</v>
      </c>
    </row>
    <row r="903" spans="1:17" x14ac:dyDescent="0.35">
      <c r="A903" s="76" t="s">
        <v>136</v>
      </c>
      <c r="B903" s="63">
        <v>894875</v>
      </c>
      <c r="C903" s="63" t="s">
        <v>145</v>
      </c>
      <c r="D903" s="64">
        <v>42564</v>
      </c>
      <c r="E903" s="63" t="s">
        <v>138</v>
      </c>
      <c r="F903" s="65">
        <v>5453</v>
      </c>
      <c r="G903" s="66">
        <v>1.37635045138375E-2</v>
      </c>
      <c r="H903" s="65">
        <v>289</v>
      </c>
      <c r="I903" s="67">
        <v>0.56306452364210202</v>
      </c>
      <c r="J903" s="67">
        <v>7.7497411127298301</v>
      </c>
      <c r="K903" s="65">
        <v>27</v>
      </c>
      <c r="L903" s="65">
        <v>19</v>
      </c>
      <c r="M903" s="66">
        <v>3.7634408602150497E-2</v>
      </c>
      <c r="N903" s="67">
        <v>2059.5125245681102</v>
      </c>
      <c r="O903" s="67">
        <v>147.10803746915099</v>
      </c>
      <c r="P903" s="67">
        <v>209.46000279486199</v>
      </c>
      <c r="Q903" s="77">
        <v>0.101703680019516</v>
      </c>
    </row>
    <row r="904" spans="1:17" x14ac:dyDescent="0.35">
      <c r="A904" s="76" t="s">
        <v>136</v>
      </c>
      <c r="B904" s="63">
        <v>894875</v>
      </c>
      <c r="C904" s="63" t="s">
        <v>145</v>
      </c>
      <c r="D904" s="64">
        <v>42565</v>
      </c>
      <c r="E904" s="63" t="s">
        <v>138</v>
      </c>
      <c r="F904" s="65">
        <v>11816</v>
      </c>
      <c r="G904" s="66">
        <v>1.5927594656548898E-2</v>
      </c>
      <c r="H904" s="65">
        <v>302</v>
      </c>
      <c r="I904" s="67">
        <v>0.57972704393618202</v>
      </c>
      <c r="J904" s="67">
        <v>9.2336573672548106</v>
      </c>
      <c r="K904" s="65">
        <v>87</v>
      </c>
      <c r="L904" s="65">
        <v>9</v>
      </c>
      <c r="M904" s="66">
        <v>1.7369727047146399E-2</v>
      </c>
      <c r="N904" s="67">
        <v>426.13880606898698</v>
      </c>
      <c r="O904" s="67">
        <v>60.876972295569601</v>
      </c>
      <c r="P904" s="67">
        <v>233.62999870628099</v>
      </c>
      <c r="Q904" s="77">
        <v>0.54824858796938403</v>
      </c>
    </row>
    <row r="905" spans="1:17" x14ac:dyDescent="0.35">
      <c r="A905" s="76" t="s">
        <v>136</v>
      </c>
      <c r="B905" s="63">
        <v>894875</v>
      </c>
      <c r="C905" s="63" t="s">
        <v>145</v>
      </c>
      <c r="D905" s="64">
        <v>42566</v>
      </c>
      <c r="E905" s="63" t="s">
        <v>138</v>
      </c>
      <c r="F905" s="65">
        <v>18119</v>
      </c>
      <c r="G905" s="66">
        <v>1.50720063128822E-2</v>
      </c>
      <c r="H905" s="65">
        <v>568</v>
      </c>
      <c r="I905" s="67">
        <v>0.57086388249905995</v>
      </c>
      <c r="J905" s="67">
        <v>8.6040640408222799</v>
      </c>
      <c r="K905" s="65">
        <v>53</v>
      </c>
      <c r="L905" s="65">
        <v>46</v>
      </c>
      <c r="M905" s="66">
        <v>9.1623036649214701E-2</v>
      </c>
      <c r="N905" s="67">
        <v>3853.9199654342301</v>
      </c>
      <c r="O905" s="67">
        <v>110.111999012407</v>
      </c>
      <c r="P905" s="67">
        <v>218.070003114641</v>
      </c>
      <c r="Q905" s="77">
        <v>5.6583947012524401E-2</v>
      </c>
    </row>
    <row r="906" spans="1:17" x14ac:dyDescent="0.35">
      <c r="A906" s="76" t="s">
        <v>136</v>
      </c>
      <c r="B906" s="63">
        <v>894875</v>
      </c>
      <c r="C906" s="63" t="s">
        <v>145</v>
      </c>
      <c r="D906" s="64">
        <v>42567</v>
      </c>
      <c r="E906" s="63" t="s">
        <v>138</v>
      </c>
      <c r="F906" s="65">
        <v>52440</v>
      </c>
      <c r="G906" s="66">
        <v>1.5424739195231E-2</v>
      </c>
      <c r="H906" s="65">
        <v>509</v>
      </c>
      <c r="I906" s="67">
        <v>0.589661835778307</v>
      </c>
      <c r="J906" s="67">
        <v>9.0953800302615093</v>
      </c>
      <c r="K906" s="65">
        <v>58</v>
      </c>
      <c r="L906" s="65">
        <v>16</v>
      </c>
      <c r="M906" s="66">
        <v>3.3816425120772903E-2</v>
      </c>
      <c r="N906" s="67">
        <v>1429.7692012597299</v>
      </c>
      <c r="O906" s="67">
        <v>102.12637151855201</v>
      </c>
      <c r="P906" s="67">
        <v>244.12000001221901</v>
      </c>
      <c r="Q906" s="77">
        <v>0.17074084390482899</v>
      </c>
    </row>
    <row r="907" spans="1:17" x14ac:dyDescent="0.35">
      <c r="A907" s="76" t="s">
        <v>136</v>
      </c>
      <c r="B907" s="63">
        <v>894875</v>
      </c>
      <c r="C907" s="63" t="s">
        <v>145</v>
      </c>
      <c r="D907" s="64">
        <v>42568</v>
      </c>
      <c r="E907" s="63" t="s">
        <v>138</v>
      </c>
      <c r="F907" s="65">
        <v>6228</v>
      </c>
      <c r="G907" s="66">
        <v>1.70419522100149E-2</v>
      </c>
      <c r="H907" s="65">
        <v>462</v>
      </c>
      <c r="I907" s="67">
        <v>0.56646809381373397</v>
      </c>
      <c r="J907" s="67">
        <v>9.6537221832718707</v>
      </c>
      <c r="K907" s="65">
        <v>62</v>
      </c>
      <c r="L907" s="65">
        <v>23</v>
      </c>
      <c r="M907" s="66">
        <v>4.2553191489361701E-2</v>
      </c>
      <c r="N907" s="67">
        <v>2525.6720635315801</v>
      </c>
      <c r="O907" s="67">
        <v>126.28360317657901</v>
      </c>
      <c r="P907" s="67">
        <v>266.24000409245502</v>
      </c>
      <c r="Q907" s="77">
        <v>0.105413528516516</v>
      </c>
    </row>
    <row r="908" spans="1:17" x14ac:dyDescent="0.35">
      <c r="A908" s="76" t="s">
        <v>136</v>
      </c>
      <c r="B908" s="63">
        <v>894875</v>
      </c>
      <c r="C908" s="63" t="s">
        <v>145</v>
      </c>
      <c r="D908" s="64">
        <v>42569</v>
      </c>
      <c r="E908" s="63" t="s">
        <v>138</v>
      </c>
      <c r="F908" s="65">
        <v>56275</v>
      </c>
      <c r="G908" s="66">
        <v>1.4795008912656E-2</v>
      </c>
      <c r="H908" s="65">
        <v>489</v>
      </c>
      <c r="I908" s="67">
        <v>0.57465060906237897</v>
      </c>
      <c r="J908" s="67">
        <v>8.50196088274107</v>
      </c>
      <c r="K908" s="65">
        <v>28</v>
      </c>
      <c r="L908" s="65">
        <v>7</v>
      </c>
      <c r="M908" s="66">
        <v>1.68674698795181E-2</v>
      </c>
      <c r="N908" s="67">
        <v>579.00423084054296</v>
      </c>
      <c r="O908" s="67">
        <v>82.714890120077499</v>
      </c>
      <c r="P908" s="67">
        <v>238.480002760887</v>
      </c>
      <c r="Q908" s="77">
        <v>0.41187955123347703</v>
      </c>
    </row>
    <row r="909" spans="1:17" x14ac:dyDescent="0.35">
      <c r="A909" s="76" t="s">
        <v>136</v>
      </c>
      <c r="B909" s="63">
        <v>894875</v>
      </c>
      <c r="C909" s="63" t="s">
        <v>145</v>
      </c>
      <c r="D909" s="64">
        <v>42570</v>
      </c>
      <c r="E909" s="63" t="s">
        <v>138</v>
      </c>
      <c r="F909" s="65">
        <v>38027</v>
      </c>
      <c r="G909" s="66">
        <v>1.55729781978305E-2</v>
      </c>
      <c r="H909" s="65">
        <v>510</v>
      </c>
      <c r="I909" s="67">
        <v>0.535195402664015</v>
      </c>
      <c r="J909" s="67">
        <v>8.3345863372658293</v>
      </c>
      <c r="K909" s="65">
        <v>89</v>
      </c>
      <c r="L909" s="65">
        <v>11</v>
      </c>
      <c r="M909" s="66">
        <v>2.2988505747126398E-2</v>
      </c>
      <c r="N909" s="67">
        <v>1090.71656223073</v>
      </c>
      <c r="O909" s="67">
        <v>109.07165622307301</v>
      </c>
      <c r="P909" s="67">
        <v>232.81000015884601</v>
      </c>
      <c r="Q909" s="77">
        <v>0.21344683689656699</v>
      </c>
    </row>
    <row r="910" spans="1:17" x14ac:dyDescent="0.35">
      <c r="A910" s="76" t="s">
        <v>136</v>
      </c>
      <c r="B910" s="63">
        <v>894875</v>
      </c>
      <c r="C910" s="63" t="s">
        <v>145</v>
      </c>
      <c r="D910" s="64">
        <v>42571</v>
      </c>
      <c r="E910" s="63" t="s">
        <v>138</v>
      </c>
      <c r="F910" s="65">
        <v>52524</v>
      </c>
      <c r="G910" s="66">
        <v>1.4847087686646099E-2</v>
      </c>
      <c r="H910" s="65">
        <v>464</v>
      </c>
      <c r="I910" s="67">
        <v>0.42886040512567902</v>
      </c>
      <c r="J910" s="67">
        <v>6.36732804023152</v>
      </c>
      <c r="K910" s="65">
        <v>86</v>
      </c>
      <c r="L910" s="65">
        <v>22</v>
      </c>
      <c r="M910" s="66">
        <v>6.2678062678062696E-2</v>
      </c>
      <c r="N910" s="67">
        <v>2579.8182224112402</v>
      </c>
      <c r="O910" s="67">
        <v>117.264464655057</v>
      </c>
      <c r="P910" s="67">
        <v>150.530002199113</v>
      </c>
      <c r="Q910" s="77">
        <v>5.8349073160053701E-2</v>
      </c>
    </row>
    <row r="911" spans="1:17" x14ac:dyDescent="0.35">
      <c r="A911" s="76" t="s">
        <v>136</v>
      </c>
      <c r="B911" s="63">
        <v>894875</v>
      </c>
      <c r="C911" s="63" t="s">
        <v>145</v>
      </c>
      <c r="D911" s="64">
        <v>42572</v>
      </c>
      <c r="E911" s="63" t="s">
        <v>138</v>
      </c>
      <c r="F911" s="65">
        <v>27079</v>
      </c>
      <c r="G911" s="66">
        <v>1.3102772083073399E-2</v>
      </c>
      <c r="H911" s="65">
        <v>278</v>
      </c>
      <c r="I911" s="67">
        <v>0.44180272927596498</v>
      </c>
      <c r="J911" s="67">
        <v>5.7888404673827196</v>
      </c>
      <c r="K911" s="65">
        <v>37</v>
      </c>
      <c r="L911" s="65">
        <v>25</v>
      </c>
      <c r="M911" s="66">
        <v>8.5034013605442202E-2</v>
      </c>
      <c r="N911" s="67">
        <v>2870.34321515498</v>
      </c>
      <c r="O911" s="67">
        <v>114.81372860619901</v>
      </c>
      <c r="P911" s="67">
        <v>129.89000240713401</v>
      </c>
      <c r="Q911" s="77">
        <v>4.52524289504245E-2</v>
      </c>
    </row>
    <row r="912" spans="1:17" x14ac:dyDescent="0.35">
      <c r="A912" s="76" t="s">
        <v>136</v>
      </c>
      <c r="B912" s="63">
        <v>894875</v>
      </c>
      <c r="C912" s="63" t="s">
        <v>145</v>
      </c>
      <c r="D912" s="64">
        <v>42573</v>
      </c>
      <c r="E912" s="63" t="s">
        <v>138</v>
      </c>
      <c r="F912" s="65">
        <v>24389</v>
      </c>
      <c r="G912" s="66">
        <v>1.2730969852356101E-2</v>
      </c>
      <c r="H912" s="65">
        <v>168</v>
      </c>
      <c r="I912" s="67">
        <v>0.416736125609734</v>
      </c>
      <c r="J912" s="67">
        <v>5.3054550515252101</v>
      </c>
      <c r="K912" s="65">
        <v>53</v>
      </c>
      <c r="L912" s="65">
        <v>23</v>
      </c>
      <c r="M912" s="66">
        <v>6.5972222222222196E-2</v>
      </c>
      <c r="N912" s="67">
        <v>2555.2770522463302</v>
      </c>
      <c r="O912" s="67">
        <v>134.48826590770099</v>
      </c>
      <c r="P912" s="67">
        <v>120.02000417560301</v>
      </c>
      <c r="Q912" s="77">
        <v>4.6969468171795599E-2</v>
      </c>
    </row>
    <row r="913" spans="1:17" x14ac:dyDescent="0.35">
      <c r="A913" s="76" t="s">
        <v>136</v>
      </c>
      <c r="B913" s="63">
        <v>894875</v>
      </c>
      <c r="C913" s="63" t="s">
        <v>145</v>
      </c>
      <c r="D913" s="64">
        <v>42574</v>
      </c>
      <c r="E913" s="63" t="s">
        <v>138</v>
      </c>
      <c r="F913" s="65">
        <v>32429</v>
      </c>
      <c r="G913" s="66">
        <v>1.4848120457991301E-2</v>
      </c>
      <c r="H913" s="65">
        <v>334</v>
      </c>
      <c r="I913" s="67">
        <v>0.43056338692320101</v>
      </c>
      <c r="J913" s="67">
        <v>6.3930570338364099</v>
      </c>
      <c r="K913" s="65">
        <v>13</v>
      </c>
      <c r="L913" s="65">
        <v>18</v>
      </c>
      <c r="M913" s="66">
        <v>5.63380281690141E-2</v>
      </c>
      <c r="N913" s="67">
        <v>1760.22126584181</v>
      </c>
      <c r="O913" s="67">
        <v>110.013829115113</v>
      </c>
      <c r="P913" s="67">
        <v>122.280001886189</v>
      </c>
      <c r="Q913" s="77">
        <v>6.9468540267697304E-2</v>
      </c>
    </row>
    <row r="914" spans="1:17" x14ac:dyDescent="0.35">
      <c r="A914" s="76" t="s">
        <v>136</v>
      </c>
      <c r="B914" s="63">
        <v>894875</v>
      </c>
      <c r="C914" s="63" t="s">
        <v>145</v>
      </c>
      <c r="D914" s="64">
        <v>42575</v>
      </c>
      <c r="E914" s="63" t="s">
        <v>138</v>
      </c>
      <c r="F914" s="65">
        <v>36120</v>
      </c>
      <c r="G914" s="66">
        <v>1.5200969877832701E-2</v>
      </c>
      <c r="H914" s="65">
        <v>318</v>
      </c>
      <c r="I914" s="67">
        <v>0.520490817245713</v>
      </c>
      <c r="J914" s="67">
        <v>7.9119652346406104</v>
      </c>
      <c r="K914" s="65">
        <v>89</v>
      </c>
      <c r="L914" s="65">
        <v>17</v>
      </c>
      <c r="M914" s="66">
        <v>3.9877300613496897E-2</v>
      </c>
      <c r="N914" s="67">
        <v>1327.8157091334499</v>
      </c>
      <c r="O914" s="67">
        <v>102.13966993334201</v>
      </c>
      <c r="P914" s="67">
        <v>169.680006422102</v>
      </c>
      <c r="Q914" s="77">
        <v>0.12778882284262</v>
      </c>
    </row>
    <row r="915" spans="1:17" x14ac:dyDescent="0.35">
      <c r="A915" s="76" t="s">
        <v>136</v>
      </c>
      <c r="B915" s="63">
        <v>894875</v>
      </c>
      <c r="C915" s="63" t="s">
        <v>145</v>
      </c>
      <c r="D915" s="64">
        <v>42576</v>
      </c>
      <c r="E915" s="63" t="s">
        <v>138</v>
      </c>
      <c r="F915" s="65">
        <v>37287</v>
      </c>
      <c r="G915" s="66">
        <v>1.6006237387635298E-2</v>
      </c>
      <c r="H915" s="65">
        <v>159</v>
      </c>
      <c r="I915" s="67">
        <v>0.48727795947076302</v>
      </c>
      <c r="J915" s="67">
        <v>7.7994866930515601</v>
      </c>
      <c r="K915" s="65">
        <v>42</v>
      </c>
      <c r="L915" s="65">
        <v>20</v>
      </c>
      <c r="M915" s="66">
        <v>4.5845272206303703E-2</v>
      </c>
      <c r="N915" s="67">
        <v>1757.84426001734</v>
      </c>
      <c r="O915" s="67">
        <v>109.86526625108399</v>
      </c>
      <c r="P915" s="67">
        <v>170.06000785529599</v>
      </c>
      <c r="Q915" s="77">
        <v>9.6743500959304798E-2</v>
      </c>
    </row>
    <row r="916" spans="1:17" x14ac:dyDescent="0.35">
      <c r="A916" s="76" t="s">
        <v>136</v>
      </c>
      <c r="B916" s="63">
        <v>894875</v>
      </c>
      <c r="C916" s="63" t="s">
        <v>145</v>
      </c>
      <c r="D916" s="64">
        <v>42577</v>
      </c>
      <c r="E916" s="63" t="s">
        <v>138</v>
      </c>
      <c r="F916" s="65">
        <v>5441</v>
      </c>
      <c r="G916" s="66">
        <v>1.4078805325656699E-2</v>
      </c>
      <c r="H916" s="65">
        <v>333</v>
      </c>
      <c r="I916" s="67">
        <v>0.55255590676785304</v>
      </c>
      <c r="J916" s="67">
        <v>7.7793270429263197</v>
      </c>
      <c r="K916" s="65">
        <v>30</v>
      </c>
      <c r="L916" s="65">
        <v>20</v>
      </c>
      <c r="M916" s="66">
        <v>5.1118210862619799E-2</v>
      </c>
      <c r="N916" s="67">
        <v>2209.5813103292598</v>
      </c>
      <c r="O916" s="67">
        <v>138.098831895579</v>
      </c>
      <c r="P916" s="67">
        <v>172.949998818338</v>
      </c>
      <c r="Q916" s="77">
        <v>7.8272746972396195E-2</v>
      </c>
    </row>
    <row r="917" spans="1:17" x14ac:dyDescent="0.35">
      <c r="A917" s="76" t="s">
        <v>136</v>
      </c>
      <c r="B917" s="63">
        <v>894875</v>
      </c>
      <c r="C917" s="63" t="s">
        <v>145</v>
      </c>
      <c r="D917" s="64">
        <v>42578</v>
      </c>
      <c r="E917" s="63" t="s">
        <v>138</v>
      </c>
      <c r="F917" s="65">
        <v>24002</v>
      </c>
      <c r="G917" s="66">
        <v>1.5647677793904202E-2</v>
      </c>
      <c r="H917" s="65">
        <v>205</v>
      </c>
      <c r="I917" s="67">
        <v>0.55562318788058496</v>
      </c>
      <c r="J917" s="67">
        <v>8.6942126187772999</v>
      </c>
      <c r="K917" s="65">
        <v>25</v>
      </c>
      <c r="L917" s="65">
        <v>12</v>
      </c>
      <c r="M917" s="66">
        <v>2.8985507246376802E-2</v>
      </c>
      <c r="N917" s="67">
        <v>1573.8611685414601</v>
      </c>
      <c r="O917" s="67">
        <v>157.386116854146</v>
      </c>
      <c r="P917" s="67">
        <v>191.68999981880199</v>
      </c>
      <c r="Q917" s="77">
        <v>0.12179600313567999</v>
      </c>
    </row>
    <row r="918" spans="1:17" x14ac:dyDescent="0.35">
      <c r="A918" s="76" t="s">
        <v>136</v>
      </c>
      <c r="B918" s="63">
        <v>894875</v>
      </c>
      <c r="C918" s="63" t="s">
        <v>145</v>
      </c>
      <c r="D918" s="64">
        <v>42579</v>
      </c>
      <c r="E918" s="63" t="s">
        <v>138</v>
      </c>
      <c r="F918" s="65">
        <v>68961</v>
      </c>
      <c r="G918" s="66">
        <v>1.5283010880149E-2</v>
      </c>
      <c r="H918" s="65">
        <v>437</v>
      </c>
      <c r="I918" s="67">
        <v>0.55091414200219402</v>
      </c>
      <c r="J918" s="67">
        <v>8.4196268262474998</v>
      </c>
      <c r="K918" s="65">
        <v>82</v>
      </c>
      <c r="L918" s="65">
        <v>18</v>
      </c>
      <c r="M918" s="66">
        <v>4.7091412742382301E-2</v>
      </c>
      <c r="N918" s="67">
        <v>1679.9637053169299</v>
      </c>
      <c r="O918" s="67">
        <v>98.821394430407395</v>
      </c>
      <c r="P918" s="67">
        <v>198.880005262792</v>
      </c>
      <c r="Q918" s="77">
        <v>0.118383513068381</v>
      </c>
    </row>
    <row r="919" spans="1:17" x14ac:dyDescent="0.35">
      <c r="A919" s="76" t="s">
        <v>136</v>
      </c>
      <c r="B919" s="63">
        <v>894875</v>
      </c>
      <c r="C919" s="63" t="s">
        <v>145</v>
      </c>
      <c r="D919" s="64">
        <v>42580</v>
      </c>
      <c r="E919" s="63" t="s">
        <v>138</v>
      </c>
      <c r="F919" s="65">
        <v>44559</v>
      </c>
      <c r="G919" s="66">
        <v>1.55456710248461E-2</v>
      </c>
      <c r="H919" s="65">
        <v>550</v>
      </c>
      <c r="I919" s="67">
        <v>0.52208092832410302</v>
      </c>
      <c r="J919" s="67">
        <v>8.1160983600727707</v>
      </c>
      <c r="K919" s="65">
        <v>18</v>
      </c>
      <c r="L919" s="65">
        <v>23</v>
      </c>
      <c r="M919" s="66">
        <v>5.4913294797687903E-2</v>
      </c>
      <c r="N919" s="67">
        <v>2072.5645974879999</v>
      </c>
      <c r="O919" s="67">
        <v>109.08234723621</v>
      </c>
      <c r="P919" s="67">
        <v>180.64000120014001</v>
      </c>
      <c r="Q919" s="77">
        <v>8.7157718229424599E-2</v>
      </c>
    </row>
    <row r="920" spans="1:17" x14ac:dyDescent="0.35">
      <c r="A920" s="76" t="s">
        <v>136</v>
      </c>
      <c r="B920" s="63">
        <v>894875</v>
      </c>
      <c r="C920" s="63" t="s">
        <v>145</v>
      </c>
      <c r="D920" s="64">
        <v>42581</v>
      </c>
      <c r="E920" s="63" t="s">
        <v>138</v>
      </c>
      <c r="F920" s="65">
        <v>15567</v>
      </c>
      <c r="G920" s="66">
        <v>1.52558804020613E-2</v>
      </c>
      <c r="H920" s="65">
        <v>264</v>
      </c>
      <c r="I920" s="67">
        <v>0.46347826868794001</v>
      </c>
      <c r="J920" s="67">
        <v>7.0707690360576603</v>
      </c>
      <c r="K920" s="65">
        <v>87</v>
      </c>
      <c r="L920" s="65">
        <v>18</v>
      </c>
      <c r="M920" s="66">
        <v>6.02006688963211E-2</v>
      </c>
      <c r="N920" s="67">
        <v>2141.6285143303298</v>
      </c>
      <c r="O920" s="67">
        <v>118.979361907241</v>
      </c>
      <c r="P920" s="67">
        <v>138.580002337694</v>
      </c>
      <c r="Q920" s="77">
        <v>6.47077686024492E-2</v>
      </c>
    </row>
    <row r="921" spans="1:17" x14ac:dyDescent="0.35">
      <c r="A921" s="76" t="s">
        <v>136</v>
      </c>
      <c r="B921" s="63">
        <v>894875</v>
      </c>
      <c r="C921" s="63" t="s">
        <v>145</v>
      </c>
      <c r="D921" s="64">
        <v>42582</v>
      </c>
      <c r="E921" s="63" t="s">
        <v>138</v>
      </c>
      <c r="F921" s="65">
        <v>56329</v>
      </c>
      <c r="G921" s="66">
        <v>1.38622207652321E-2</v>
      </c>
      <c r="H921" s="65">
        <v>187</v>
      </c>
      <c r="I921" s="67">
        <v>0.47347974223462302</v>
      </c>
      <c r="J921" s="67">
        <v>6.5634807147215097</v>
      </c>
      <c r="K921" s="65">
        <v>20</v>
      </c>
      <c r="L921" s="65">
        <v>12</v>
      </c>
      <c r="M921" s="66">
        <v>3.7162162162162199E-2</v>
      </c>
      <c r="N921" s="67">
        <v>1102.9475321981199</v>
      </c>
      <c r="O921" s="67">
        <v>100.26795747255601</v>
      </c>
      <c r="P921" s="67">
        <v>140.15000370144799</v>
      </c>
      <c r="Q921" s="77">
        <v>0.127068604453139</v>
      </c>
    </row>
    <row r="922" spans="1:17" x14ac:dyDescent="0.35">
      <c r="A922" s="76" t="s">
        <v>136</v>
      </c>
      <c r="B922" s="63">
        <v>894875</v>
      </c>
      <c r="C922" s="63" t="s">
        <v>145</v>
      </c>
      <c r="D922" s="64">
        <v>42583</v>
      </c>
      <c r="E922" s="63" t="s">
        <v>138</v>
      </c>
      <c r="F922" s="65">
        <v>47833</v>
      </c>
      <c r="G922" s="66">
        <v>1.5470442079602501E-2</v>
      </c>
      <c r="H922" s="65">
        <v>231</v>
      </c>
      <c r="I922" s="67">
        <v>0.46863637943610997</v>
      </c>
      <c r="J922" s="67">
        <v>7.2500119644609402</v>
      </c>
      <c r="K922" s="65">
        <v>83</v>
      </c>
      <c r="L922" s="65">
        <v>13</v>
      </c>
      <c r="M922" s="66">
        <v>3.3333333333333298E-2</v>
      </c>
      <c r="N922" s="67">
        <v>1435.7216717107799</v>
      </c>
      <c r="O922" s="67">
        <v>130.52015197370699</v>
      </c>
      <c r="P922" s="67">
        <v>154.65000521391599</v>
      </c>
      <c r="Q922" s="77">
        <v>0.107715867400426</v>
      </c>
    </row>
    <row r="923" spans="1:17" x14ac:dyDescent="0.35">
      <c r="A923" s="76" t="s">
        <v>136</v>
      </c>
      <c r="B923" s="63">
        <v>894875</v>
      </c>
      <c r="C923" s="63" t="s">
        <v>145</v>
      </c>
      <c r="D923" s="64">
        <v>42584</v>
      </c>
      <c r="E923" s="63" t="s">
        <v>138</v>
      </c>
      <c r="F923" s="65">
        <v>23407</v>
      </c>
      <c r="G923" s="66">
        <v>1.5482564028360599E-2</v>
      </c>
      <c r="H923" s="65">
        <v>596</v>
      </c>
      <c r="I923" s="67">
        <v>0.45501558814557502</v>
      </c>
      <c r="J923" s="67">
        <v>7.0448079773660197</v>
      </c>
      <c r="K923" s="65">
        <v>73</v>
      </c>
      <c r="L923" s="65">
        <v>12</v>
      </c>
      <c r="M923" s="66">
        <v>3.4267912772585701E-2</v>
      </c>
      <c r="N923" s="67">
        <v>1863.8989513836</v>
      </c>
      <c r="O923" s="67">
        <v>169.445359216691</v>
      </c>
      <c r="P923" s="67">
        <v>146.06000379472999</v>
      </c>
      <c r="Q923" s="77">
        <v>7.8362619221555602E-2</v>
      </c>
    </row>
    <row r="924" spans="1:17" x14ac:dyDescent="0.35">
      <c r="A924" s="76" t="s">
        <v>136</v>
      </c>
      <c r="B924" s="63">
        <v>894875</v>
      </c>
      <c r="C924" s="63" t="s">
        <v>145</v>
      </c>
      <c r="D924" s="64">
        <v>42585</v>
      </c>
      <c r="E924" s="63" t="s">
        <v>138</v>
      </c>
      <c r="F924" s="65">
        <v>57508</v>
      </c>
      <c r="G924" s="66">
        <v>1.55679883240088E-2</v>
      </c>
      <c r="H924" s="65">
        <v>160</v>
      </c>
      <c r="I924" s="67">
        <v>0.45484376065433002</v>
      </c>
      <c r="J924" s="67">
        <v>7.0810023551148502</v>
      </c>
      <c r="K924" s="65">
        <v>52</v>
      </c>
      <c r="L924" s="65">
        <v>18</v>
      </c>
      <c r="M924" s="66">
        <v>5.6250000000000001E-2</v>
      </c>
      <c r="N924" s="67">
        <v>1761.94171079954</v>
      </c>
      <c r="O924" s="67">
        <v>97.885650599974298</v>
      </c>
      <c r="P924" s="67">
        <v>145.55000340938599</v>
      </c>
      <c r="Q924" s="77">
        <v>8.2607729028299007E-2</v>
      </c>
    </row>
    <row r="925" spans="1:17" x14ac:dyDescent="0.35">
      <c r="A925" s="76" t="s">
        <v>136</v>
      </c>
      <c r="B925" s="63">
        <v>894875</v>
      </c>
      <c r="C925" s="63" t="s">
        <v>145</v>
      </c>
      <c r="D925" s="64">
        <v>42586</v>
      </c>
      <c r="E925" s="63" t="s">
        <v>138</v>
      </c>
      <c r="F925" s="65">
        <v>56513</v>
      </c>
      <c r="G925" s="66">
        <v>1.71433895462592E-2</v>
      </c>
      <c r="H925" s="65">
        <v>336</v>
      </c>
      <c r="I925" s="67">
        <v>0.46508154038177901</v>
      </c>
      <c r="J925" s="67">
        <v>7.9730740175391102</v>
      </c>
      <c r="K925" s="65">
        <v>91</v>
      </c>
      <c r="L925" s="65">
        <v>19</v>
      </c>
      <c r="M925" s="66">
        <v>4.6195652173912999E-2</v>
      </c>
      <c r="N925" s="67">
        <v>1801.3881695519301</v>
      </c>
      <c r="O925" s="67">
        <v>105.964009973643</v>
      </c>
      <c r="P925" s="67">
        <v>171.15000686049501</v>
      </c>
      <c r="Q925" s="77">
        <v>9.5010064878501999E-2</v>
      </c>
    </row>
    <row r="926" spans="1:17" x14ac:dyDescent="0.35">
      <c r="A926" s="76" t="s">
        <v>136</v>
      </c>
      <c r="B926" s="63">
        <v>894875</v>
      </c>
      <c r="C926" s="63" t="s">
        <v>145</v>
      </c>
      <c r="D926" s="64">
        <v>42587</v>
      </c>
      <c r="E926" s="63" t="s">
        <v>138</v>
      </c>
      <c r="F926" s="65">
        <v>57651</v>
      </c>
      <c r="G926" s="66">
        <v>1.55710062866897E-2</v>
      </c>
      <c r="H926" s="65">
        <v>508</v>
      </c>
      <c r="I926" s="67">
        <v>0.45834226452093102</v>
      </c>
      <c r="J926" s="67">
        <v>7.13685028231101</v>
      </c>
      <c r="K926" s="65">
        <v>64</v>
      </c>
      <c r="L926" s="65">
        <v>25</v>
      </c>
      <c r="M926" s="66">
        <v>6.4171122994652399E-2</v>
      </c>
      <c r="N926" s="67">
        <v>2526.0389860508099</v>
      </c>
      <c r="O926" s="67">
        <v>105.251624418784</v>
      </c>
      <c r="P926" s="67">
        <v>171.42000693082801</v>
      </c>
      <c r="Q926" s="77">
        <v>6.7861188159579797E-2</v>
      </c>
    </row>
    <row r="927" spans="1:17" x14ac:dyDescent="0.35">
      <c r="A927" s="76" t="s">
        <v>136</v>
      </c>
      <c r="B927" s="63">
        <v>894875</v>
      </c>
      <c r="C927" s="63" t="s">
        <v>145</v>
      </c>
      <c r="D927" s="64">
        <v>42588</v>
      </c>
      <c r="E927" s="63" t="s">
        <v>138</v>
      </c>
      <c r="F927" s="65">
        <v>40886</v>
      </c>
      <c r="G927" s="66">
        <v>1.64438559774484E-2</v>
      </c>
      <c r="H927" s="65">
        <v>397</v>
      </c>
      <c r="I927" s="67">
        <v>0.465142876432314</v>
      </c>
      <c r="J927" s="67">
        <v>7.6487424689890497</v>
      </c>
      <c r="K927" s="65">
        <v>85</v>
      </c>
      <c r="L927" s="65">
        <v>14</v>
      </c>
      <c r="M927" s="66">
        <v>3.11688311688312E-2</v>
      </c>
      <c r="N927" s="67">
        <v>2264.6145591202999</v>
      </c>
      <c r="O927" s="67">
        <v>188.71787992669201</v>
      </c>
      <c r="P927" s="67">
        <v>179.080007426441</v>
      </c>
      <c r="Q927" s="77">
        <v>7.9077477756746894E-2</v>
      </c>
    </row>
    <row r="928" spans="1:17" x14ac:dyDescent="0.35">
      <c r="A928" s="76" t="s">
        <v>136</v>
      </c>
      <c r="B928" s="63">
        <v>894875</v>
      </c>
      <c r="C928" s="63" t="s">
        <v>145</v>
      </c>
      <c r="D928" s="64">
        <v>42589</v>
      </c>
      <c r="E928" s="63" t="s">
        <v>138</v>
      </c>
      <c r="F928" s="65">
        <v>32197</v>
      </c>
      <c r="G928" s="66">
        <v>1.6617234794620701E-2</v>
      </c>
      <c r="H928" s="65">
        <v>354</v>
      </c>
      <c r="I928" s="67">
        <v>0.44916872124581603</v>
      </c>
      <c r="J928" s="67">
        <v>7.4639421033412701</v>
      </c>
      <c r="K928" s="65">
        <v>42</v>
      </c>
      <c r="L928" s="65">
        <v>24</v>
      </c>
      <c r="M928" s="66">
        <v>5.1344743276283598E-2</v>
      </c>
      <c r="N928" s="67">
        <v>2191.1536572123</v>
      </c>
      <c r="O928" s="67">
        <v>104.340650343443</v>
      </c>
      <c r="P928" s="67">
        <v>183.71000698953901</v>
      </c>
      <c r="Q928" s="77">
        <v>8.38416814744357E-2</v>
      </c>
    </row>
    <row r="929" spans="1:17" x14ac:dyDescent="0.35">
      <c r="A929" s="76" t="s">
        <v>136</v>
      </c>
      <c r="B929" s="63">
        <v>894875</v>
      </c>
      <c r="C929" s="63" t="s">
        <v>145</v>
      </c>
      <c r="D929" s="64">
        <v>42590</v>
      </c>
      <c r="E929" s="63" t="s">
        <v>138</v>
      </c>
      <c r="F929" s="65">
        <v>14583</v>
      </c>
      <c r="G929" s="66">
        <v>1.5786475709984499E-2</v>
      </c>
      <c r="H929" s="65">
        <v>319</v>
      </c>
      <c r="I929" s="67">
        <v>0.462396927677172</v>
      </c>
      <c r="J929" s="67">
        <v>7.2996178671471501</v>
      </c>
      <c r="K929" s="65">
        <v>36</v>
      </c>
      <c r="L929" s="65">
        <v>18</v>
      </c>
      <c r="M929" s="66">
        <v>3.60824742268041E-2</v>
      </c>
      <c r="N929" s="67">
        <v>1165.6319969665401</v>
      </c>
      <c r="O929" s="67">
        <v>83.259428354752501</v>
      </c>
      <c r="P929" s="67">
        <v>179.41000793874301</v>
      </c>
      <c r="Q929" s="77">
        <v>0.15391650916038899</v>
      </c>
    </row>
    <row r="930" spans="1:17" x14ac:dyDescent="0.35">
      <c r="A930" s="76" t="s">
        <v>136</v>
      </c>
      <c r="B930" s="63">
        <v>894875</v>
      </c>
      <c r="C930" s="63" t="s">
        <v>145</v>
      </c>
      <c r="D930" s="64">
        <v>42591</v>
      </c>
      <c r="E930" s="63" t="s">
        <v>138</v>
      </c>
      <c r="F930" s="65">
        <v>30452</v>
      </c>
      <c r="G930" s="66">
        <v>1.7688679245283001E-2</v>
      </c>
      <c r="H930" s="65">
        <v>405</v>
      </c>
      <c r="I930" s="67">
        <v>0.455270849432175</v>
      </c>
      <c r="J930" s="67">
        <v>8.0531400253332901</v>
      </c>
      <c r="K930" s="65">
        <v>53</v>
      </c>
      <c r="L930" s="65">
        <v>21</v>
      </c>
      <c r="M930" s="66">
        <v>3.9583333333333297E-2</v>
      </c>
      <c r="N930" s="67">
        <v>2010.82078809059</v>
      </c>
      <c r="O930" s="67">
        <v>105.83267305739901</v>
      </c>
      <c r="P930" s="67">
        <v>218.530007727444</v>
      </c>
      <c r="Q930" s="77">
        <v>0.108677018370669</v>
      </c>
    </row>
    <row r="931" spans="1:17" x14ac:dyDescent="0.35">
      <c r="A931" s="76" t="s">
        <v>136</v>
      </c>
      <c r="B931" s="63">
        <v>894875</v>
      </c>
      <c r="C931" s="63" t="s">
        <v>145</v>
      </c>
      <c r="D931" s="64">
        <v>42592</v>
      </c>
      <c r="E931" s="63" t="s">
        <v>138</v>
      </c>
      <c r="F931" s="65">
        <v>42148</v>
      </c>
      <c r="G931" s="66">
        <v>1.5748031496062999E-2</v>
      </c>
      <c r="H931" s="65">
        <v>419</v>
      </c>
      <c r="I931" s="67">
        <v>0.46211455450577898</v>
      </c>
      <c r="J931" s="67">
        <v>7.2773945591461198</v>
      </c>
      <c r="K931" s="65">
        <v>24</v>
      </c>
      <c r="L931" s="65">
        <v>11</v>
      </c>
      <c r="M931" s="66">
        <v>1.9823788546255501E-2</v>
      </c>
      <c r="N931" s="67">
        <v>733.35918933692801</v>
      </c>
      <c r="O931" s="67">
        <v>81.484354370769694</v>
      </c>
      <c r="P931" s="67">
        <v>209.80000774562399</v>
      </c>
      <c r="Q931" s="77">
        <v>0.28608083296169801</v>
      </c>
    </row>
    <row r="932" spans="1:17" x14ac:dyDescent="0.35">
      <c r="A932" s="76" t="s">
        <v>136</v>
      </c>
      <c r="B932" s="63">
        <v>894875</v>
      </c>
      <c r="C932" s="63" t="s">
        <v>145</v>
      </c>
      <c r="D932" s="64">
        <v>42593</v>
      </c>
      <c r="E932" s="63" t="s">
        <v>138</v>
      </c>
      <c r="F932" s="65">
        <v>42030</v>
      </c>
      <c r="G932" s="66">
        <v>1.48846960167715E-2</v>
      </c>
      <c r="H932" s="65">
        <v>191</v>
      </c>
      <c r="I932" s="67">
        <v>0.45187794964568201</v>
      </c>
      <c r="J932" s="67">
        <v>6.72606591715794</v>
      </c>
      <c r="K932" s="65">
        <v>37</v>
      </c>
      <c r="L932" s="65">
        <v>19</v>
      </c>
      <c r="M932" s="66">
        <v>3.9906103286384997E-2</v>
      </c>
      <c r="N932" s="67">
        <v>2690.3345700399</v>
      </c>
      <c r="O932" s="67">
        <v>158.25497470822901</v>
      </c>
      <c r="P932" s="67">
        <v>192.50000654906</v>
      </c>
      <c r="Q932" s="77">
        <v>7.1552441355353602E-2</v>
      </c>
    </row>
    <row r="933" spans="1:17" x14ac:dyDescent="0.35">
      <c r="A933" s="76" t="s">
        <v>136</v>
      </c>
      <c r="B933" s="63">
        <v>894875</v>
      </c>
      <c r="C933" s="63" t="s">
        <v>145</v>
      </c>
      <c r="D933" s="64">
        <v>42594</v>
      </c>
      <c r="E933" s="63" t="s">
        <v>138</v>
      </c>
      <c r="F933" s="65">
        <v>52862</v>
      </c>
      <c r="G933" s="66">
        <v>1.47331415787792E-2</v>
      </c>
      <c r="H933" s="65">
        <v>522</v>
      </c>
      <c r="I933" s="67">
        <v>0.45815619747124098</v>
      </c>
      <c r="J933" s="67">
        <v>6.7500801225389004</v>
      </c>
      <c r="K933" s="65">
        <v>9</v>
      </c>
      <c r="L933" s="65">
        <v>21</v>
      </c>
      <c r="M933" s="66">
        <v>4.1214750542299401E-2</v>
      </c>
      <c r="N933" s="67">
        <v>2941.8434416719501</v>
      </c>
      <c r="O933" s="67">
        <v>154.833865351155</v>
      </c>
      <c r="P933" s="67">
        <v>211.21000703424201</v>
      </c>
      <c r="Q933" s="77">
        <v>7.1795121399867795E-2</v>
      </c>
    </row>
    <row r="934" spans="1:17" x14ac:dyDescent="0.35">
      <c r="A934" s="76" t="s">
        <v>136</v>
      </c>
      <c r="B934" s="63">
        <v>894875</v>
      </c>
      <c r="C934" s="63" t="s">
        <v>145</v>
      </c>
      <c r="D934" s="64">
        <v>42595</v>
      </c>
      <c r="E934" s="63" t="s">
        <v>138</v>
      </c>
      <c r="F934" s="65">
        <v>26139</v>
      </c>
      <c r="G934" s="66">
        <v>1.6004826289080499E-2</v>
      </c>
      <c r="H934" s="65">
        <v>180</v>
      </c>
      <c r="I934" s="67">
        <v>0.446984497280977</v>
      </c>
      <c r="J934" s="67">
        <v>7.1539092328940299</v>
      </c>
      <c r="K934" s="65">
        <v>64</v>
      </c>
      <c r="L934" s="65">
        <v>15</v>
      </c>
      <c r="M934" s="66">
        <v>3.3259423503325898E-2</v>
      </c>
      <c r="N934" s="67">
        <v>1442.6625336135401</v>
      </c>
      <c r="O934" s="67">
        <v>96.177502240902797</v>
      </c>
      <c r="P934" s="67">
        <v>201.590008273721</v>
      </c>
      <c r="Q934" s="77">
        <v>0.13973469441171599</v>
      </c>
    </row>
    <row r="935" spans="1:17" x14ac:dyDescent="0.35">
      <c r="A935" s="76" t="s">
        <v>136</v>
      </c>
      <c r="B935" s="63">
        <v>894875</v>
      </c>
      <c r="C935" s="63" t="s">
        <v>145</v>
      </c>
      <c r="D935" s="64">
        <v>42596</v>
      </c>
      <c r="E935" s="63" t="s">
        <v>138</v>
      </c>
      <c r="F935" s="65">
        <v>25626</v>
      </c>
      <c r="G935" s="66">
        <v>1.54572313900699E-2</v>
      </c>
      <c r="H935" s="65">
        <v>457</v>
      </c>
      <c r="I935" s="67">
        <v>0.45678323057495401</v>
      </c>
      <c r="J935" s="67">
        <v>7.0606040901007097</v>
      </c>
      <c r="K935" s="65">
        <v>73</v>
      </c>
      <c r="L935" s="65">
        <v>12</v>
      </c>
      <c r="M935" s="66">
        <v>2.7972027972028E-2</v>
      </c>
      <c r="N935" s="67">
        <v>1770.6069775255901</v>
      </c>
      <c r="O935" s="67">
        <v>147.55058146046599</v>
      </c>
      <c r="P935" s="67">
        <v>195.96000591665501</v>
      </c>
      <c r="Q935" s="77">
        <v>0.11067391488003001</v>
      </c>
    </row>
    <row r="936" spans="1:17" x14ac:dyDescent="0.35">
      <c r="A936" s="76" t="s">
        <v>136</v>
      </c>
      <c r="B936" s="63">
        <v>894875</v>
      </c>
      <c r="C936" s="63" t="s">
        <v>145</v>
      </c>
      <c r="D936" s="64">
        <v>42597</v>
      </c>
      <c r="E936" s="63" t="s">
        <v>138</v>
      </c>
      <c r="F936" s="65">
        <v>67543</v>
      </c>
      <c r="G936" s="66">
        <v>1.48931868724308E-2</v>
      </c>
      <c r="H936" s="65">
        <v>352</v>
      </c>
      <c r="I936" s="67">
        <v>0.45246607508527198</v>
      </c>
      <c r="J936" s="67">
        <v>6.7386618096802398</v>
      </c>
      <c r="K936" s="65">
        <v>21</v>
      </c>
      <c r="L936" s="65">
        <v>19</v>
      </c>
      <c r="M936" s="66">
        <v>3.3936651583710398E-2</v>
      </c>
      <c r="N936" s="67">
        <v>1673.2626319815499</v>
      </c>
      <c r="O936" s="67">
        <v>111.55084213210399</v>
      </c>
      <c r="P936" s="67">
        <v>199.99000518769</v>
      </c>
      <c r="Q936" s="77">
        <v>0.119520989332591</v>
      </c>
    </row>
    <row r="937" spans="1:17" x14ac:dyDescent="0.35">
      <c r="A937" s="76" t="s">
        <v>136</v>
      </c>
      <c r="B937" s="63">
        <v>894875</v>
      </c>
      <c r="C937" s="63" t="s">
        <v>145</v>
      </c>
      <c r="D937" s="64">
        <v>42598</v>
      </c>
      <c r="E937" s="63" t="s">
        <v>138</v>
      </c>
      <c r="F937" s="65">
        <v>56952</v>
      </c>
      <c r="G937" s="66">
        <v>1.6161033151762198E-2</v>
      </c>
      <c r="H937" s="65">
        <v>443</v>
      </c>
      <c r="I937" s="67">
        <v>0.444419661719751</v>
      </c>
      <c r="J937" s="67">
        <v>7.18228088634784</v>
      </c>
      <c r="K937" s="65">
        <v>21</v>
      </c>
      <c r="L937" s="65">
        <v>19</v>
      </c>
      <c r="M937" s="66">
        <v>3.7946428571428603E-2</v>
      </c>
      <c r="N937" s="67">
        <v>1427.4444109736901</v>
      </c>
      <c r="O937" s="67">
        <v>83.967318292570198</v>
      </c>
      <c r="P937" s="67">
        <v>199.100008450449</v>
      </c>
      <c r="Q937" s="77">
        <v>0.13948004343975701</v>
      </c>
    </row>
    <row r="938" spans="1:17" x14ac:dyDescent="0.35">
      <c r="A938" s="76" t="s">
        <v>136</v>
      </c>
      <c r="B938" s="63">
        <v>894875</v>
      </c>
      <c r="C938" s="63" t="s">
        <v>145</v>
      </c>
      <c r="D938" s="64">
        <v>42599</v>
      </c>
      <c r="E938" s="63" t="s">
        <v>138</v>
      </c>
      <c r="F938" s="65">
        <v>65136</v>
      </c>
      <c r="G938" s="66">
        <v>1.5827731749257501E-2</v>
      </c>
      <c r="H938" s="65">
        <v>279</v>
      </c>
      <c r="I938" s="67">
        <v>0.410345695508115</v>
      </c>
      <c r="J938" s="67">
        <v>6.4948415929649297</v>
      </c>
      <c r="K938" s="65">
        <v>97</v>
      </c>
      <c r="L938" s="65">
        <v>10</v>
      </c>
      <c r="M938" s="66">
        <v>2.4691358024691398E-2</v>
      </c>
      <c r="N938" s="67">
        <v>1135.1094934154701</v>
      </c>
      <c r="O938" s="67">
        <v>113.510949341547</v>
      </c>
      <c r="P938" s="67">
        <v>166.19000668078701</v>
      </c>
      <c r="Q938" s="77">
        <v>0.146408789323691</v>
      </c>
    </row>
    <row r="939" spans="1:17" x14ac:dyDescent="0.35">
      <c r="A939" s="76" t="s">
        <v>136</v>
      </c>
      <c r="B939" s="63">
        <v>894875</v>
      </c>
      <c r="C939" s="63" t="s">
        <v>145</v>
      </c>
      <c r="D939" s="64">
        <v>42600</v>
      </c>
      <c r="E939" s="63" t="s">
        <v>138</v>
      </c>
      <c r="F939" s="65">
        <v>8705</v>
      </c>
      <c r="G939" s="66">
        <v>1.4977692797960501E-2</v>
      </c>
      <c r="H939" s="65">
        <v>491</v>
      </c>
      <c r="I939" s="67">
        <v>0.39295212393428403</v>
      </c>
      <c r="J939" s="67">
        <v>5.8855161965937999</v>
      </c>
      <c r="K939" s="65">
        <v>45</v>
      </c>
      <c r="L939" s="65">
        <v>18</v>
      </c>
      <c r="M939" s="66">
        <v>4.2553191489361701E-2</v>
      </c>
      <c r="N939" s="67">
        <v>1631.2295220025301</v>
      </c>
      <c r="O939" s="67">
        <v>101.951845125158</v>
      </c>
      <c r="P939" s="67">
        <v>147.74999859929099</v>
      </c>
      <c r="Q939" s="77">
        <v>9.0575848834510003E-2</v>
      </c>
    </row>
    <row r="940" spans="1:17" x14ac:dyDescent="0.35">
      <c r="A940" s="76" t="s">
        <v>136</v>
      </c>
      <c r="B940" s="63">
        <v>894875</v>
      </c>
      <c r="C940" s="63" t="s">
        <v>145</v>
      </c>
      <c r="D940" s="64">
        <v>42601</v>
      </c>
      <c r="E940" s="63" t="s">
        <v>138</v>
      </c>
      <c r="F940" s="65">
        <v>19324</v>
      </c>
      <c r="G940" s="66">
        <v>1.6700884396715101E-2</v>
      </c>
      <c r="H940" s="65">
        <v>227</v>
      </c>
      <c r="I940" s="67">
        <v>0.417990552847126</v>
      </c>
      <c r="J940" s="67">
        <v>6.9808119020188899</v>
      </c>
      <c r="K940" s="65">
        <v>77</v>
      </c>
      <c r="L940" s="65">
        <v>25</v>
      </c>
      <c r="M940" s="66">
        <v>5.4373522458628802E-2</v>
      </c>
      <c r="N940" s="67">
        <v>2568.4169720608402</v>
      </c>
      <c r="O940" s="67">
        <v>111.67030313308</v>
      </c>
      <c r="P940" s="67">
        <v>176.81000385433401</v>
      </c>
      <c r="Q940" s="77">
        <v>6.8840069886497296E-2</v>
      </c>
    </row>
    <row r="941" spans="1:17" x14ac:dyDescent="0.35">
      <c r="A941" s="76" t="s">
        <v>136</v>
      </c>
      <c r="B941" s="63">
        <v>894875</v>
      </c>
      <c r="C941" s="63" t="s">
        <v>145</v>
      </c>
      <c r="D941" s="64">
        <v>42602</v>
      </c>
      <c r="E941" s="63" t="s">
        <v>138</v>
      </c>
      <c r="F941" s="65">
        <v>15989</v>
      </c>
      <c r="G941" s="66">
        <v>1.8108574717053499E-2</v>
      </c>
      <c r="H941" s="65">
        <v>275</v>
      </c>
      <c r="I941" s="67">
        <v>0.42398307178863998</v>
      </c>
      <c r="J941" s="67">
        <v>7.6777291342504599</v>
      </c>
      <c r="K941" s="65">
        <v>45</v>
      </c>
      <c r="L941" s="65">
        <v>18</v>
      </c>
      <c r="M941" s="66">
        <v>3.17796610169492E-2</v>
      </c>
      <c r="N941" s="67">
        <v>1727.9703564881499</v>
      </c>
      <c r="O941" s="67">
        <v>115.198023765877</v>
      </c>
      <c r="P941" s="67">
        <v>200.12000988423799</v>
      </c>
      <c r="Q941" s="77">
        <v>0.115812177641145</v>
      </c>
    </row>
    <row r="942" spans="1:17" x14ac:dyDescent="0.35">
      <c r="A942" s="76" t="s">
        <v>136</v>
      </c>
      <c r="B942" s="63">
        <v>894875</v>
      </c>
      <c r="C942" s="63" t="s">
        <v>145</v>
      </c>
      <c r="D942" s="64">
        <v>42603</v>
      </c>
      <c r="E942" s="63" t="s">
        <v>138</v>
      </c>
      <c r="F942" s="65">
        <v>62771</v>
      </c>
      <c r="G942" s="66">
        <v>1.3266942922069201E-2</v>
      </c>
      <c r="H942" s="65">
        <v>379</v>
      </c>
      <c r="I942" s="67">
        <v>0.433022686756528</v>
      </c>
      <c r="J942" s="67">
        <v>5.7448872691599302</v>
      </c>
      <c r="K942" s="65">
        <v>33</v>
      </c>
      <c r="L942" s="65">
        <v>15</v>
      </c>
      <c r="M942" s="66">
        <v>3.7783375314861499E-2</v>
      </c>
      <c r="N942" s="67">
        <v>2051.6899327282899</v>
      </c>
      <c r="O942" s="67">
        <v>136.77932884855301</v>
      </c>
      <c r="P942" s="67">
        <v>171.91000664234201</v>
      </c>
      <c r="Q942" s="77">
        <v>8.3789467355693301E-2</v>
      </c>
    </row>
    <row r="943" spans="1:17" x14ac:dyDescent="0.35">
      <c r="A943" s="76" t="s">
        <v>136</v>
      </c>
      <c r="B943" s="63">
        <v>894875</v>
      </c>
      <c r="C943" s="63" t="s">
        <v>145</v>
      </c>
      <c r="D943" s="64">
        <v>42604</v>
      </c>
      <c r="E943" s="63" t="s">
        <v>138</v>
      </c>
      <c r="F943" s="65">
        <v>29998</v>
      </c>
      <c r="G943" s="66">
        <v>1.50093808630394E-2</v>
      </c>
      <c r="H943" s="65">
        <v>254</v>
      </c>
      <c r="I943" s="67">
        <v>0.45651787027184498</v>
      </c>
      <c r="J943" s="67">
        <v>6.8520505856937302</v>
      </c>
      <c r="K943" s="65">
        <v>71</v>
      </c>
      <c r="L943" s="65">
        <v>11</v>
      </c>
      <c r="M943" s="66">
        <v>2.23214285714286E-2</v>
      </c>
      <c r="N943" s="67">
        <v>863.95104479473196</v>
      </c>
      <c r="O943" s="67">
        <v>86.395104479473204</v>
      </c>
      <c r="P943" s="67">
        <v>204.52000588178601</v>
      </c>
      <c r="Q943" s="77">
        <v>0.236726382951917</v>
      </c>
    </row>
    <row r="944" spans="1:17" x14ac:dyDescent="0.35">
      <c r="A944" s="76" t="s">
        <v>136</v>
      </c>
      <c r="B944" s="63">
        <v>894875</v>
      </c>
      <c r="C944" s="63" t="s">
        <v>145</v>
      </c>
      <c r="D944" s="64">
        <v>42605</v>
      </c>
      <c r="E944" s="63" t="s">
        <v>138</v>
      </c>
      <c r="F944" s="65">
        <v>67634</v>
      </c>
      <c r="G944" s="66">
        <v>1.3249794576828299E-2</v>
      </c>
      <c r="H944" s="65">
        <v>441</v>
      </c>
      <c r="I944" s="67">
        <v>0.45888889469302602</v>
      </c>
      <c r="J944" s="67">
        <v>6.0801835882703701</v>
      </c>
      <c r="K944" s="65">
        <v>18</v>
      </c>
      <c r="L944" s="65">
        <v>15</v>
      </c>
      <c r="M944" s="66">
        <v>3.8759689922480599E-2</v>
      </c>
      <c r="N944" s="67">
        <v>2226.2890344242501</v>
      </c>
      <c r="O944" s="67">
        <v>148.41926896161701</v>
      </c>
      <c r="P944" s="67">
        <v>177.59000224620101</v>
      </c>
      <c r="Q944" s="77">
        <v>7.9769517569459894E-2</v>
      </c>
    </row>
    <row r="945" spans="1:17" x14ac:dyDescent="0.35">
      <c r="A945" s="76" t="s">
        <v>136</v>
      </c>
      <c r="B945" s="63">
        <v>894875</v>
      </c>
      <c r="C945" s="63" t="s">
        <v>145</v>
      </c>
      <c r="D945" s="64">
        <v>42606</v>
      </c>
      <c r="E945" s="63" t="s">
        <v>138</v>
      </c>
      <c r="F945" s="65">
        <v>60476</v>
      </c>
      <c r="G945" s="66">
        <v>1.50759141777746E-2</v>
      </c>
      <c r="H945" s="65">
        <v>324</v>
      </c>
      <c r="I945" s="67">
        <v>0.43586289317261201</v>
      </c>
      <c r="J945" s="67">
        <v>6.5710315707468503</v>
      </c>
      <c r="K945" s="65">
        <v>43</v>
      </c>
      <c r="L945" s="65">
        <v>32</v>
      </c>
      <c r="M945" s="66">
        <v>7.3286052009456301E-2</v>
      </c>
      <c r="N945" s="67">
        <v>5181.6692835792501</v>
      </c>
      <c r="O945" s="67">
        <v>167.15062205094401</v>
      </c>
      <c r="P945" s="67">
        <v>184.370003812015</v>
      </c>
      <c r="Q945" s="77">
        <v>3.5581198591018701E-2</v>
      </c>
    </row>
    <row r="946" spans="1:17" x14ac:dyDescent="0.35">
      <c r="A946" s="76" t="s">
        <v>136</v>
      </c>
      <c r="B946" s="63">
        <v>894875</v>
      </c>
      <c r="C946" s="63" t="s">
        <v>145</v>
      </c>
      <c r="D946" s="64">
        <v>42607</v>
      </c>
      <c r="E946" s="63" t="s">
        <v>138</v>
      </c>
      <c r="F946" s="65">
        <v>59992</v>
      </c>
      <c r="G946" s="66">
        <v>1.26677160632636E-2</v>
      </c>
      <c r="H946" s="65">
        <v>221</v>
      </c>
      <c r="I946" s="67">
        <v>0.45745562704709902</v>
      </c>
      <c r="J946" s="67">
        <v>5.7949179949748597</v>
      </c>
      <c r="K946" s="65">
        <v>86</v>
      </c>
      <c r="L946" s="65">
        <v>15</v>
      </c>
      <c r="M946" s="66">
        <v>4.4378698224852103E-2</v>
      </c>
      <c r="N946" s="67">
        <v>1450.7673953931701</v>
      </c>
      <c r="O946" s="67">
        <v>96.717826359544901</v>
      </c>
      <c r="P946" s="67">
        <v>154.62000194191901</v>
      </c>
      <c r="Q946" s="77">
        <v>0.10657807890700199</v>
      </c>
    </row>
    <row r="947" spans="1:17" x14ac:dyDescent="0.35">
      <c r="A947" s="76" t="s">
        <v>136</v>
      </c>
      <c r="B947" s="63">
        <v>894875</v>
      </c>
      <c r="C947" s="63" t="s">
        <v>145</v>
      </c>
      <c r="D947" s="64">
        <v>42608</v>
      </c>
      <c r="E947" s="63" t="s">
        <v>138</v>
      </c>
      <c r="F947" s="65">
        <v>57990</v>
      </c>
      <c r="G947" s="66">
        <v>1.54680327323531E-2</v>
      </c>
      <c r="H947" s="65">
        <v>204</v>
      </c>
      <c r="I947" s="67">
        <v>0.46015054879970402</v>
      </c>
      <c r="J947" s="67">
        <v>7.11762375064409</v>
      </c>
      <c r="K947" s="65">
        <v>65</v>
      </c>
      <c r="L947" s="65">
        <v>26</v>
      </c>
      <c r="M947" s="66">
        <v>4.7311827956989197E-2</v>
      </c>
      <c r="N947" s="67">
        <v>2107.6047508896299</v>
      </c>
      <c r="O947" s="67">
        <v>95.800215949528393</v>
      </c>
      <c r="P947" s="67">
        <v>213.97000519186301</v>
      </c>
      <c r="Q947" s="77">
        <v>0.10152283301769199</v>
      </c>
    </row>
    <row r="948" spans="1:17" x14ac:dyDescent="0.35">
      <c r="A948" s="76" t="s">
        <v>136</v>
      </c>
      <c r="B948" s="63">
        <v>894875</v>
      </c>
      <c r="C948" s="63" t="s">
        <v>145</v>
      </c>
      <c r="D948" s="64">
        <v>42609</v>
      </c>
      <c r="E948" s="63" t="s">
        <v>138</v>
      </c>
      <c r="F948" s="65">
        <v>67997</v>
      </c>
      <c r="G948" s="66">
        <v>1.46565424686562E-2</v>
      </c>
      <c r="H948" s="65">
        <v>278</v>
      </c>
      <c r="I948" s="67">
        <v>0.47004820866038999</v>
      </c>
      <c r="J948" s="67">
        <v>6.8892815325467698</v>
      </c>
      <c r="K948" s="65">
        <v>72</v>
      </c>
      <c r="L948" s="65">
        <v>13</v>
      </c>
      <c r="M948" s="66">
        <v>3.13253012048193E-2</v>
      </c>
      <c r="N948" s="67">
        <v>1069.9689706906599</v>
      </c>
      <c r="O948" s="67">
        <v>82.3053054377433</v>
      </c>
      <c r="P948" s="67">
        <v>195.07000659406199</v>
      </c>
      <c r="Q948" s="77">
        <v>0.18231370435737401</v>
      </c>
    </row>
    <row r="949" spans="1:17" x14ac:dyDescent="0.35">
      <c r="A949" s="76" t="s">
        <v>136</v>
      </c>
      <c r="B949" s="63">
        <v>894875</v>
      </c>
      <c r="C949" s="63" t="s">
        <v>145</v>
      </c>
      <c r="D949" s="64">
        <v>42610</v>
      </c>
      <c r="E949" s="63" t="s">
        <v>138</v>
      </c>
      <c r="F949" s="65">
        <v>18043</v>
      </c>
      <c r="G949" s="66">
        <v>1.41659111514053E-2</v>
      </c>
      <c r="H949" s="65">
        <v>232</v>
      </c>
      <c r="I949" s="67">
        <v>0.47258668235937801</v>
      </c>
      <c r="J949" s="67">
        <v>6.6946209536403201</v>
      </c>
      <c r="K949" s="65">
        <v>50</v>
      </c>
      <c r="L949" s="65">
        <v>21</v>
      </c>
      <c r="M949" s="66">
        <v>5.6000000000000001E-2</v>
      </c>
      <c r="N949" s="67">
        <v>2378.6860051741401</v>
      </c>
      <c r="O949" s="67">
        <v>113.270762151149</v>
      </c>
      <c r="P949" s="67">
        <v>177.220005884767</v>
      </c>
      <c r="Q949" s="77">
        <v>7.4503320530442493E-2</v>
      </c>
    </row>
    <row r="950" spans="1:17" x14ac:dyDescent="0.35">
      <c r="A950" s="76" t="s">
        <v>136</v>
      </c>
      <c r="B950" s="63">
        <v>894875</v>
      </c>
      <c r="C950" s="63" t="s">
        <v>145</v>
      </c>
      <c r="D950" s="64">
        <v>42611</v>
      </c>
      <c r="E950" s="63" t="s">
        <v>138</v>
      </c>
      <c r="F950" s="65">
        <v>7974</v>
      </c>
      <c r="G950" s="66">
        <v>1.6443948087957801E-2</v>
      </c>
      <c r="H950" s="65">
        <v>434</v>
      </c>
      <c r="I950" s="67">
        <v>0.46070259956062798</v>
      </c>
      <c r="J950" s="67">
        <v>7.5757696311621796</v>
      </c>
      <c r="K950" s="65">
        <v>95</v>
      </c>
      <c r="L950" s="65">
        <v>15</v>
      </c>
      <c r="M950" s="66">
        <v>3.2786885245901599E-2</v>
      </c>
      <c r="N950" s="67">
        <v>1316.3412281266001</v>
      </c>
      <c r="O950" s="67">
        <v>94.024373437614003</v>
      </c>
      <c r="P950" s="67">
        <v>196.720010012388</v>
      </c>
      <c r="Q950" s="77">
        <v>0.14944454052567999</v>
      </c>
    </row>
    <row r="951" spans="1:17" x14ac:dyDescent="0.35">
      <c r="A951" s="76" t="s">
        <v>136</v>
      </c>
      <c r="B951" s="63">
        <v>894875</v>
      </c>
      <c r="C951" s="63" t="s">
        <v>145</v>
      </c>
      <c r="D951" s="64">
        <v>42612</v>
      </c>
      <c r="E951" s="63" t="s">
        <v>138</v>
      </c>
      <c r="F951" s="65">
        <v>20572</v>
      </c>
      <c r="G951" s="66">
        <v>1.55112983531214E-2</v>
      </c>
      <c r="H951" s="65">
        <v>410</v>
      </c>
      <c r="I951" s="67">
        <v>0.47237039712476098</v>
      </c>
      <c r="J951" s="67">
        <v>7.3270781629846198</v>
      </c>
      <c r="K951" s="65">
        <v>98</v>
      </c>
      <c r="L951" s="65">
        <v>13</v>
      </c>
      <c r="M951" s="66">
        <v>2.96296296296296E-2</v>
      </c>
      <c r="N951" s="67">
        <v>1598.5515122167801</v>
      </c>
      <c r="O951" s="67">
        <v>133.21262601806501</v>
      </c>
      <c r="P951" s="67">
        <v>191.310010835528</v>
      </c>
      <c r="Q951" s="77">
        <v>0.119677101033942</v>
      </c>
    </row>
    <row r="952" spans="1:17" x14ac:dyDescent="0.35">
      <c r="A952" s="76" t="s">
        <v>136</v>
      </c>
      <c r="B952" s="63">
        <v>894875</v>
      </c>
      <c r="C952" s="63" t="s">
        <v>145</v>
      </c>
      <c r="D952" s="64">
        <v>42613</v>
      </c>
      <c r="E952" s="63" t="s">
        <v>138</v>
      </c>
      <c r="F952" s="65">
        <v>14554</v>
      </c>
      <c r="G952" s="66">
        <v>1.38943894389439E-2</v>
      </c>
      <c r="H952" s="65">
        <v>337</v>
      </c>
      <c r="I952" s="67">
        <v>0.46850357949733701</v>
      </c>
      <c r="J952" s="67">
        <v>6.5095711870752204</v>
      </c>
      <c r="K952" s="65">
        <v>85</v>
      </c>
      <c r="L952" s="65">
        <v>17</v>
      </c>
      <c r="M952" s="66">
        <v>4.0380047505938203E-2</v>
      </c>
      <c r="N952" s="67">
        <v>1944.68873680656</v>
      </c>
      <c r="O952" s="67">
        <v>114.39345510626799</v>
      </c>
      <c r="P952" s="67">
        <v>197.24000696837899</v>
      </c>
      <c r="Q952" s="77">
        <v>0.101424975233967</v>
      </c>
    </row>
    <row r="953" spans="1:17" x14ac:dyDescent="0.35">
      <c r="A953" s="76" t="s">
        <v>136</v>
      </c>
      <c r="B953" s="63">
        <v>894875</v>
      </c>
      <c r="C953" s="63" t="s">
        <v>145</v>
      </c>
      <c r="D953" s="64">
        <v>42614</v>
      </c>
      <c r="E953" s="63" t="s">
        <v>138</v>
      </c>
      <c r="F953" s="65">
        <v>38204</v>
      </c>
      <c r="G953" s="66">
        <v>1.45069520328573E-2</v>
      </c>
      <c r="H953" s="65">
        <v>180</v>
      </c>
      <c r="I953" s="67">
        <v>0.47116884312459401</v>
      </c>
      <c r="J953" s="67">
        <v>6.8352238065853497</v>
      </c>
      <c r="K953" s="65">
        <v>48</v>
      </c>
      <c r="L953" s="65">
        <v>18</v>
      </c>
      <c r="M953" s="66">
        <v>3.8961038961039002E-2</v>
      </c>
      <c r="N953" s="67">
        <v>1976.27652184506</v>
      </c>
      <c r="O953" s="67">
        <v>131.75176812300401</v>
      </c>
      <c r="P953" s="67">
        <v>181.40000460296901</v>
      </c>
      <c r="Q953" s="77">
        <v>9.1788776822391505E-2</v>
      </c>
    </row>
    <row r="954" spans="1:17" x14ac:dyDescent="0.35">
      <c r="A954" s="76" t="s">
        <v>136</v>
      </c>
      <c r="B954" s="63">
        <v>894875</v>
      </c>
      <c r="C954" s="63" t="s">
        <v>145</v>
      </c>
      <c r="D954" s="64">
        <v>42615</v>
      </c>
      <c r="E954" s="63" t="s">
        <v>138</v>
      </c>
      <c r="F954" s="65">
        <v>48447</v>
      </c>
      <c r="G954" s="66">
        <v>1.5484624936089399E-2</v>
      </c>
      <c r="H954" s="65">
        <v>320</v>
      </c>
      <c r="I954" s="67">
        <v>0.488726428639636</v>
      </c>
      <c r="J954" s="67">
        <v>7.56774544383922</v>
      </c>
      <c r="K954" s="65">
        <v>35</v>
      </c>
      <c r="L954" s="65">
        <v>25</v>
      </c>
      <c r="M954" s="66">
        <v>4.9528301886792497E-2</v>
      </c>
      <c r="N954" s="67">
        <v>3692.4332779271099</v>
      </c>
      <c r="O954" s="67">
        <v>175.83015609176701</v>
      </c>
      <c r="P954" s="67">
        <v>207.220005743206</v>
      </c>
      <c r="Q954" s="77">
        <v>5.6120176086035201E-2</v>
      </c>
    </row>
    <row r="955" spans="1:17" x14ac:dyDescent="0.35">
      <c r="A955" s="76" t="s">
        <v>136</v>
      </c>
      <c r="B955" s="63">
        <v>894875</v>
      </c>
      <c r="C955" s="63" t="s">
        <v>145</v>
      </c>
      <c r="D955" s="64">
        <v>42616</v>
      </c>
      <c r="E955" s="63" t="s">
        <v>138</v>
      </c>
      <c r="F955" s="65">
        <v>45632</v>
      </c>
      <c r="G955" s="66">
        <v>1.5080776641470299E-2</v>
      </c>
      <c r="H955" s="65">
        <v>459</v>
      </c>
      <c r="I955" s="67">
        <v>0.463636372595366</v>
      </c>
      <c r="J955" s="67">
        <v>6.9919965779722197</v>
      </c>
      <c r="K955" s="65">
        <v>40</v>
      </c>
      <c r="L955" s="65">
        <v>22</v>
      </c>
      <c r="M955" s="66">
        <v>4.9140049140049102E-2</v>
      </c>
      <c r="N955" s="67">
        <v>3217.3031286247501</v>
      </c>
      <c r="O955" s="67">
        <v>160.86515643123801</v>
      </c>
      <c r="P955" s="67">
        <v>188.700003646314</v>
      </c>
      <c r="Q955" s="77">
        <v>5.8651608537419499E-2</v>
      </c>
    </row>
    <row r="956" spans="1:17" x14ac:dyDescent="0.35">
      <c r="A956" s="76" t="s">
        <v>136</v>
      </c>
      <c r="B956" s="63">
        <v>894875</v>
      </c>
      <c r="C956" s="63" t="s">
        <v>145</v>
      </c>
      <c r="D956" s="64">
        <v>42617</v>
      </c>
      <c r="E956" s="63" t="s">
        <v>138</v>
      </c>
      <c r="F956" s="65">
        <v>51677</v>
      </c>
      <c r="G956" s="66">
        <v>1.6097214550619399E-2</v>
      </c>
      <c r="H956" s="65">
        <v>573</v>
      </c>
      <c r="I956" s="67">
        <v>0.483823537680448</v>
      </c>
      <c r="J956" s="67">
        <v>7.7882112906818799</v>
      </c>
      <c r="K956" s="65">
        <v>40</v>
      </c>
      <c r="L956" s="65">
        <v>22</v>
      </c>
      <c r="M956" s="66">
        <v>4.9019607843137303E-2</v>
      </c>
      <c r="N956" s="67">
        <v>2304.5242290057799</v>
      </c>
      <c r="O956" s="67">
        <v>115.226211450289</v>
      </c>
      <c r="P956" s="67">
        <v>197.40000337362301</v>
      </c>
      <c r="Q956" s="77">
        <v>8.5657595129206093E-2</v>
      </c>
    </row>
    <row r="957" spans="1:17" x14ac:dyDescent="0.35">
      <c r="A957" s="76" t="s">
        <v>136</v>
      </c>
      <c r="B957" s="63">
        <v>894875</v>
      </c>
      <c r="C957" s="63" t="s">
        <v>145</v>
      </c>
      <c r="D957" s="64">
        <v>42618</v>
      </c>
      <c r="E957" s="63" t="s">
        <v>138</v>
      </c>
      <c r="F957" s="65">
        <v>16609</v>
      </c>
      <c r="G957" s="66">
        <v>1.34144923041135E-2</v>
      </c>
      <c r="H957" s="65">
        <v>265</v>
      </c>
      <c r="I957" s="67">
        <v>0.48511561380989998</v>
      </c>
      <c r="J957" s="67">
        <v>6.5075796680582103</v>
      </c>
      <c r="K957" s="65">
        <v>31</v>
      </c>
      <c r="L957" s="65">
        <v>23</v>
      </c>
      <c r="M957" s="66">
        <v>6.3583815028901702E-2</v>
      </c>
      <c r="N957" s="67">
        <v>3167.0782673095</v>
      </c>
      <c r="O957" s="67">
        <v>143.95810305952301</v>
      </c>
      <c r="P957" s="67">
        <v>167.85000237822501</v>
      </c>
      <c r="Q957" s="77">
        <v>5.2998375225130498E-2</v>
      </c>
    </row>
    <row r="958" spans="1:17" x14ac:dyDescent="0.35">
      <c r="A958" s="76" t="s">
        <v>136</v>
      </c>
      <c r="B958" s="63">
        <v>894875</v>
      </c>
      <c r="C958" s="63" t="s">
        <v>145</v>
      </c>
      <c r="D958" s="64">
        <v>42619</v>
      </c>
      <c r="E958" s="63" t="s">
        <v>138</v>
      </c>
      <c r="F958" s="65">
        <v>7608</v>
      </c>
      <c r="G958" s="66">
        <v>1.18550222493971E-2</v>
      </c>
      <c r="H958" s="65">
        <v>186</v>
      </c>
      <c r="I958" s="67">
        <v>0.65661891692859697</v>
      </c>
      <c r="J958" s="67">
        <v>7.78423186956352</v>
      </c>
      <c r="K958" s="65">
        <v>45</v>
      </c>
      <c r="L958" s="65">
        <v>13</v>
      </c>
      <c r="M958" s="66">
        <v>3.4383954154727801E-2</v>
      </c>
      <c r="N958" s="67">
        <v>1563.71812276271</v>
      </c>
      <c r="O958" s="67">
        <v>130.30984356355901</v>
      </c>
      <c r="P958" s="67">
        <v>229.16000200808</v>
      </c>
      <c r="Q958" s="77">
        <v>0.14654815255527701</v>
      </c>
    </row>
    <row r="959" spans="1:17" x14ac:dyDescent="0.35">
      <c r="A959" s="76" t="s">
        <v>136</v>
      </c>
      <c r="B959" s="63">
        <v>894875</v>
      </c>
      <c r="C959" s="63" t="s">
        <v>145</v>
      </c>
      <c r="D959" s="64">
        <v>42620</v>
      </c>
      <c r="E959" s="63" t="s">
        <v>138</v>
      </c>
      <c r="F959" s="65">
        <v>30240</v>
      </c>
      <c r="G959" s="66">
        <v>1.3885275754422499E-2</v>
      </c>
      <c r="H959" s="65">
        <v>536</v>
      </c>
      <c r="I959" s="67">
        <v>0.68220141425344905</v>
      </c>
      <c r="J959" s="67">
        <v>9.4725547569661401</v>
      </c>
      <c r="K959" s="65">
        <v>98</v>
      </c>
      <c r="L959" s="65">
        <v>11</v>
      </c>
      <c r="M959" s="66">
        <v>2.5761124121779898E-2</v>
      </c>
      <c r="N959" s="67">
        <v>1493.91482479621</v>
      </c>
      <c r="O959" s="67">
        <v>135.810438617838</v>
      </c>
      <c r="P959" s="67">
        <v>291.30000388622301</v>
      </c>
      <c r="Q959" s="77">
        <v>0.19499103901452999</v>
      </c>
    </row>
    <row r="960" spans="1:17" x14ac:dyDescent="0.35">
      <c r="A960" s="76" t="s">
        <v>136</v>
      </c>
      <c r="B960" s="63">
        <v>894875</v>
      </c>
      <c r="C960" s="63" t="s">
        <v>145</v>
      </c>
      <c r="D960" s="64">
        <v>42621</v>
      </c>
      <c r="E960" s="63" t="s">
        <v>138</v>
      </c>
      <c r="F960" s="65">
        <v>48429</v>
      </c>
      <c r="G960" s="66">
        <v>1.40053123598606E-2</v>
      </c>
      <c r="H960" s="65">
        <v>198</v>
      </c>
      <c r="I960" s="67">
        <v>0.66546799334252404</v>
      </c>
      <c r="J960" s="67">
        <v>9.3200871122517093</v>
      </c>
      <c r="K960" s="65">
        <v>19</v>
      </c>
      <c r="L960" s="65">
        <v>19</v>
      </c>
      <c r="M960" s="66">
        <v>4.6798029556650203E-2</v>
      </c>
      <c r="N960" s="67">
        <v>3070.4206477944999</v>
      </c>
      <c r="O960" s="67">
        <v>161.60108672602601</v>
      </c>
      <c r="P960" s="67">
        <v>270.18000529706501</v>
      </c>
      <c r="Q960" s="77">
        <v>8.7994459485913404E-2</v>
      </c>
    </row>
    <row r="961" spans="1:17" x14ac:dyDescent="0.35">
      <c r="A961" s="76" t="s">
        <v>136</v>
      </c>
      <c r="B961" s="63">
        <v>894875</v>
      </c>
      <c r="C961" s="63" t="s">
        <v>145</v>
      </c>
      <c r="D961" s="64">
        <v>42622</v>
      </c>
      <c r="E961" s="63" t="s">
        <v>138</v>
      </c>
      <c r="F961" s="65">
        <v>56072</v>
      </c>
      <c r="G961" s="66">
        <v>1.4740975683431501E-2</v>
      </c>
      <c r="H961" s="65">
        <v>580</v>
      </c>
      <c r="I961" s="67">
        <v>0.67774591375081294</v>
      </c>
      <c r="J961" s="67">
        <v>9.9906360341457994</v>
      </c>
      <c r="K961" s="65">
        <v>48</v>
      </c>
      <c r="L961" s="65">
        <v>32</v>
      </c>
      <c r="M961" s="66">
        <v>5.7377049180327898E-2</v>
      </c>
      <c r="N961" s="67">
        <v>3344.2102410888101</v>
      </c>
      <c r="O961" s="67">
        <v>119.436080038886</v>
      </c>
      <c r="P961" s="67">
        <v>330.74000591039697</v>
      </c>
      <c r="Q961" s="77">
        <v>9.8899286249034907E-2</v>
      </c>
    </row>
    <row r="962" spans="1:17" x14ac:dyDescent="0.35">
      <c r="A962" s="76" t="s">
        <v>136</v>
      </c>
      <c r="B962" s="63">
        <v>894875</v>
      </c>
      <c r="C962" s="63" t="s">
        <v>145</v>
      </c>
      <c r="D962" s="64">
        <v>42623</v>
      </c>
      <c r="E962" s="63" t="s">
        <v>138</v>
      </c>
      <c r="F962" s="65">
        <v>7953</v>
      </c>
      <c r="G962" s="66">
        <v>1.33662284126042E-2</v>
      </c>
      <c r="H962" s="65">
        <v>300</v>
      </c>
      <c r="I962" s="67">
        <v>0.64448599592199396</v>
      </c>
      <c r="J962" s="67">
        <v>8.6143470302180898</v>
      </c>
      <c r="K962" s="65">
        <v>86</v>
      </c>
      <c r="L962" s="65">
        <v>20</v>
      </c>
      <c r="M962" s="66">
        <v>4.4392523364486E-2</v>
      </c>
      <c r="N962" s="67">
        <v>1937.07558052998</v>
      </c>
      <c r="O962" s="67">
        <v>101.951346343683</v>
      </c>
      <c r="P962" s="67">
        <v>275.840006254613</v>
      </c>
      <c r="Q962" s="77">
        <v>0.14240022899836699</v>
      </c>
    </row>
    <row r="963" spans="1:17" x14ac:dyDescent="0.35">
      <c r="A963" s="76" t="s">
        <v>136</v>
      </c>
      <c r="B963" s="63">
        <v>894875</v>
      </c>
      <c r="C963" s="63" t="s">
        <v>145</v>
      </c>
      <c r="D963" s="64">
        <v>42624</v>
      </c>
      <c r="E963" s="63" t="s">
        <v>138</v>
      </c>
      <c r="F963" s="65">
        <v>43784</v>
      </c>
      <c r="G963" s="66">
        <v>1.50084172682398E-2</v>
      </c>
      <c r="H963" s="65">
        <v>398</v>
      </c>
      <c r="I963" s="67">
        <v>0.81469582345605795</v>
      </c>
      <c r="J963" s="67">
        <v>12.227294865120699</v>
      </c>
      <c r="K963" s="65">
        <v>87</v>
      </c>
      <c r="L963" s="65">
        <v>24</v>
      </c>
      <c r="M963" s="66">
        <v>4.5627376425855501E-2</v>
      </c>
      <c r="N963" s="67">
        <v>3163.9474804349502</v>
      </c>
      <c r="O963" s="67">
        <v>131.83114501812301</v>
      </c>
      <c r="P963" s="67">
        <v>428.53000313788698</v>
      </c>
      <c r="Q963" s="77">
        <v>0.135441566520243</v>
      </c>
    </row>
    <row r="964" spans="1:17" x14ac:dyDescent="0.35">
      <c r="A964" s="76" t="s">
        <v>136</v>
      </c>
      <c r="B964" s="63">
        <v>894875</v>
      </c>
      <c r="C964" s="63" t="s">
        <v>145</v>
      </c>
      <c r="D964" s="64">
        <v>42625</v>
      </c>
      <c r="E964" s="63" t="s">
        <v>138</v>
      </c>
      <c r="F964" s="65">
        <v>24376</v>
      </c>
      <c r="G964" s="66">
        <v>1.43674338166822E-2</v>
      </c>
      <c r="H964" s="65">
        <v>566</v>
      </c>
      <c r="I964" s="67">
        <v>0.82881483018950197</v>
      </c>
      <c r="J964" s="67">
        <v>11.9079422190324</v>
      </c>
      <c r="K964" s="65">
        <v>17</v>
      </c>
      <c r="L964" s="65">
        <v>23</v>
      </c>
      <c r="M964" s="66">
        <v>4.0740740740740702E-2</v>
      </c>
      <c r="N964" s="67">
        <v>3259.2380192978098</v>
      </c>
      <c r="O964" s="67">
        <v>148.14718269535501</v>
      </c>
      <c r="P964" s="67">
        <v>447.56000830233103</v>
      </c>
      <c r="Q964" s="77">
        <v>0.13732044289258599</v>
      </c>
    </row>
    <row r="965" spans="1:17" x14ac:dyDescent="0.35">
      <c r="A965" s="76" t="s">
        <v>136</v>
      </c>
      <c r="B965" s="63">
        <v>894875</v>
      </c>
      <c r="C965" s="63" t="s">
        <v>145</v>
      </c>
      <c r="D965" s="64">
        <v>42626</v>
      </c>
      <c r="E965" s="63" t="s">
        <v>138</v>
      </c>
      <c r="F965" s="65">
        <v>12606</v>
      </c>
      <c r="G965" s="66">
        <v>1.4372163388804799E-2</v>
      </c>
      <c r="H965" s="65">
        <v>390</v>
      </c>
      <c r="I965" s="67">
        <v>0.82582709403302401</v>
      </c>
      <c r="J965" s="67">
        <v>11.8689219263445</v>
      </c>
      <c r="K965" s="65">
        <v>86</v>
      </c>
      <c r="L965" s="65">
        <v>19</v>
      </c>
      <c r="M965" s="66">
        <v>3.5714285714285698E-2</v>
      </c>
      <c r="N965" s="67">
        <v>2511.0239099074802</v>
      </c>
      <c r="O965" s="67">
        <v>132.15915315302499</v>
      </c>
      <c r="P965" s="67">
        <v>439.34001402556902</v>
      </c>
      <c r="Q965" s="77">
        <v>0.17496448850690399</v>
      </c>
    </row>
    <row r="966" spans="1:17" x14ac:dyDescent="0.35">
      <c r="A966" s="76" t="s">
        <v>136</v>
      </c>
      <c r="B966" s="63">
        <v>894875</v>
      </c>
      <c r="C966" s="63" t="s">
        <v>145</v>
      </c>
      <c r="D966" s="64">
        <v>42627</v>
      </c>
      <c r="E966" s="63" t="s">
        <v>138</v>
      </c>
      <c r="F966" s="65">
        <v>30596</v>
      </c>
      <c r="G966" s="66">
        <v>1.44366793219355E-2</v>
      </c>
      <c r="H966" s="65">
        <v>182</v>
      </c>
      <c r="I966" s="67">
        <v>0.812110572816239</v>
      </c>
      <c r="J966" s="67">
        <v>11.7241799137014</v>
      </c>
      <c r="K966" s="65">
        <v>97</v>
      </c>
      <c r="L966" s="65">
        <v>26</v>
      </c>
      <c r="M966" s="66">
        <v>3.8525963149078697E-2</v>
      </c>
      <c r="N966" s="67">
        <v>3392.97997992509</v>
      </c>
      <c r="O966" s="67">
        <v>147.520868692395</v>
      </c>
      <c r="P966" s="67">
        <v>484.83001197129499</v>
      </c>
      <c r="Q966" s="77">
        <v>0.14289209333383701</v>
      </c>
    </row>
    <row r="967" spans="1:17" x14ac:dyDescent="0.35">
      <c r="A967" s="76" t="s">
        <v>136</v>
      </c>
      <c r="B967" s="63">
        <v>894875</v>
      </c>
      <c r="C967" s="63" t="s">
        <v>145</v>
      </c>
      <c r="D967" s="64">
        <v>42628</v>
      </c>
      <c r="E967" s="63" t="s">
        <v>138</v>
      </c>
      <c r="F967" s="65">
        <v>65619</v>
      </c>
      <c r="G967" s="66">
        <v>1.47605156207146E-2</v>
      </c>
      <c r="H967" s="65">
        <v>201</v>
      </c>
      <c r="I967" s="67">
        <v>0.79623312727120299</v>
      </c>
      <c r="J967" s="67">
        <v>11.752811512817001</v>
      </c>
      <c r="K967" s="65">
        <v>98</v>
      </c>
      <c r="L967" s="65">
        <v>35</v>
      </c>
      <c r="M967" s="66">
        <v>5.9121621621621601E-2</v>
      </c>
      <c r="N967" s="67">
        <v>4573.2427890238296</v>
      </c>
      <c r="O967" s="67">
        <v>130.66407968639501</v>
      </c>
      <c r="P967" s="67">
        <v>471.37001134455198</v>
      </c>
      <c r="Q967" s="77">
        <v>0.10307128510121499</v>
      </c>
    </row>
    <row r="968" spans="1:17" x14ac:dyDescent="0.35">
      <c r="A968" s="76" t="s">
        <v>136</v>
      </c>
      <c r="B968" s="63">
        <v>894875</v>
      </c>
      <c r="C968" s="63" t="s">
        <v>145</v>
      </c>
      <c r="D968" s="64">
        <v>42629</v>
      </c>
      <c r="E968" s="63" t="s">
        <v>138</v>
      </c>
      <c r="F968" s="65">
        <v>67048</v>
      </c>
      <c r="G968" s="66">
        <v>1.50047938638543E-2</v>
      </c>
      <c r="H968" s="65">
        <v>456</v>
      </c>
      <c r="I968" s="67">
        <v>0.83801918881484105</v>
      </c>
      <c r="J968" s="67">
        <v>12.574305182121099</v>
      </c>
      <c r="K968" s="65">
        <v>48</v>
      </c>
      <c r="L968" s="65">
        <v>54</v>
      </c>
      <c r="M968" s="66">
        <v>7.8274760383386599E-2</v>
      </c>
      <c r="N968" s="67">
        <v>7190.7575610495796</v>
      </c>
      <c r="O968" s="67">
        <v>146.75015430713401</v>
      </c>
      <c r="P968" s="67">
        <v>524.60001219809101</v>
      </c>
      <c r="Q968" s="77">
        <v>7.2954762797136793E-2</v>
      </c>
    </row>
    <row r="969" spans="1:17" x14ac:dyDescent="0.35">
      <c r="A969" s="76" t="s">
        <v>136</v>
      </c>
      <c r="B969" s="63">
        <v>894875</v>
      </c>
      <c r="C969" s="63" t="s">
        <v>145</v>
      </c>
      <c r="D969" s="64">
        <v>42630</v>
      </c>
      <c r="E969" s="63" t="s">
        <v>138</v>
      </c>
      <c r="F969" s="65">
        <v>15433</v>
      </c>
      <c r="G969" s="66">
        <v>1.4378959493184899E-2</v>
      </c>
      <c r="H969" s="65">
        <v>238</v>
      </c>
      <c r="I969" s="67">
        <v>0.99337784820627895</v>
      </c>
      <c r="J969" s="67">
        <v>14.2837398407852</v>
      </c>
      <c r="K969" s="65">
        <v>78</v>
      </c>
      <c r="L969" s="65">
        <v>32</v>
      </c>
      <c r="M969" s="66">
        <v>4.2723631508678202E-2</v>
      </c>
      <c r="N969" s="67">
        <v>4954.1974103432904</v>
      </c>
      <c r="O969" s="67">
        <v>154.81866907322799</v>
      </c>
      <c r="P969" s="67">
        <v>744.04000830650295</v>
      </c>
      <c r="Q969" s="77">
        <v>0.15018376271262601</v>
      </c>
    </row>
    <row r="970" spans="1:17" x14ac:dyDescent="0.35">
      <c r="A970" s="76" t="s">
        <v>136</v>
      </c>
      <c r="B970" s="63">
        <v>894875</v>
      </c>
      <c r="C970" s="63" t="s">
        <v>145</v>
      </c>
      <c r="D970" s="64">
        <v>42631</v>
      </c>
      <c r="E970" s="63" t="s">
        <v>138</v>
      </c>
      <c r="F970" s="65">
        <v>30608</v>
      </c>
      <c r="G970" s="66">
        <v>1.36528117359413E-2</v>
      </c>
      <c r="H970" s="65">
        <v>441</v>
      </c>
      <c r="I970" s="67">
        <v>1.01618911887394</v>
      </c>
      <c r="J970" s="67">
        <v>13.873838728097899</v>
      </c>
      <c r="K970" s="65">
        <v>60</v>
      </c>
      <c r="L970" s="65">
        <v>23</v>
      </c>
      <c r="M970" s="66">
        <v>3.2951289398280799E-2</v>
      </c>
      <c r="N970" s="67">
        <v>2639.1216156627602</v>
      </c>
      <c r="O970" s="67">
        <v>114.744418072294</v>
      </c>
      <c r="P970" s="67">
        <v>709.30000497400795</v>
      </c>
      <c r="Q970" s="77">
        <v>0.26876366771596599</v>
      </c>
    </row>
    <row r="971" spans="1:17" x14ac:dyDescent="0.35">
      <c r="A971" s="76" t="s">
        <v>136</v>
      </c>
      <c r="B971" s="63">
        <v>894875</v>
      </c>
      <c r="C971" s="63" t="s">
        <v>145</v>
      </c>
      <c r="D971" s="64">
        <v>42632</v>
      </c>
      <c r="E971" s="63" t="s">
        <v>138</v>
      </c>
      <c r="F971" s="65">
        <v>52203</v>
      </c>
      <c r="G971" s="66">
        <v>1.4783100411988E-2</v>
      </c>
      <c r="H971" s="65">
        <v>394</v>
      </c>
      <c r="I971" s="67">
        <v>1.0655464612945</v>
      </c>
      <c r="J971" s="67">
        <v>15.7520803309552</v>
      </c>
      <c r="K971" s="65">
        <v>61</v>
      </c>
      <c r="L971" s="65">
        <v>23</v>
      </c>
      <c r="M971" s="66">
        <v>2.86885245901639E-2</v>
      </c>
      <c r="N971" s="67">
        <v>1888.2617518136301</v>
      </c>
      <c r="O971" s="67">
        <v>89.917226276839301</v>
      </c>
      <c r="P971" s="67">
        <v>779.98000966757502</v>
      </c>
      <c r="Q971" s="77">
        <v>0.41306773752019599</v>
      </c>
    </row>
    <row r="972" spans="1:17" x14ac:dyDescent="0.35">
      <c r="A972" s="76" t="s">
        <v>136</v>
      </c>
      <c r="B972" s="63">
        <v>894875</v>
      </c>
      <c r="C972" s="63" t="s">
        <v>145</v>
      </c>
      <c r="D972" s="64">
        <v>42633</v>
      </c>
      <c r="E972" s="63" t="s">
        <v>138</v>
      </c>
      <c r="F972" s="65">
        <v>5705</v>
      </c>
      <c r="G972" s="66">
        <v>1.5770024063252001E-2</v>
      </c>
      <c r="H972" s="65">
        <v>288</v>
      </c>
      <c r="I972" s="67">
        <v>1.0490735782670699</v>
      </c>
      <c r="J972" s="67">
        <v>16.543915573393601</v>
      </c>
      <c r="K972" s="65">
        <v>34</v>
      </c>
      <c r="L972" s="65">
        <v>13</v>
      </c>
      <c r="M972" s="66">
        <v>1.63487738419619E-2</v>
      </c>
      <c r="N972" s="67">
        <v>1711.6147869004801</v>
      </c>
      <c r="O972" s="67">
        <v>142.63456557504</v>
      </c>
      <c r="P972" s="67">
        <v>770.02000644803002</v>
      </c>
      <c r="Q972" s="77">
        <v>0.44987926742701301</v>
      </c>
    </row>
    <row r="973" spans="1:17" x14ac:dyDescent="0.35">
      <c r="A973" s="76" t="s">
        <v>136</v>
      </c>
      <c r="B973" s="63">
        <v>894875</v>
      </c>
      <c r="C973" s="63" t="s">
        <v>145</v>
      </c>
      <c r="D973" s="64">
        <v>42634</v>
      </c>
      <c r="E973" s="63" t="s">
        <v>138</v>
      </c>
      <c r="F973" s="65">
        <v>18233</v>
      </c>
      <c r="G973" s="66">
        <v>1.4391287436795E-2</v>
      </c>
      <c r="H973" s="65">
        <v>431</v>
      </c>
      <c r="I973" s="67">
        <v>1.05240540955518</v>
      </c>
      <c r="J973" s="67">
        <v>15.145468748946501</v>
      </c>
      <c r="K973" s="65">
        <v>26</v>
      </c>
      <c r="L973" s="65">
        <v>25</v>
      </c>
      <c r="M973" s="66">
        <v>2.8378378378378401E-2</v>
      </c>
      <c r="N973" s="67">
        <v>3484.2138284517901</v>
      </c>
      <c r="O973" s="67">
        <v>165.91494421198999</v>
      </c>
      <c r="P973" s="67">
        <v>778.78000307083096</v>
      </c>
      <c r="Q973" s="77">
        <v>0.22351670747397301</v>
      </c>
    </row>
    <row r="974" spans="1:17" x14ac:dyDescent="0.35">
      <c r="A974" s="76" t="s">
        <v>136</v>
      </c>
      <c r="B974" s="63">
        <v>894875</v>
      </c>
      <c r="C974" s="63" t="s">
        <v>145</v>
      </c>
      <c r="D974" s="64">
        <v>42635</v>
      </c>
      <c r="E974" s="63" t="s">
        <v>138</v>
      </c>
      <c r="F974" s="65">
        <v>1738</v>
      </c>
      <c r="G974" s="66">
        <v>1.4798982188295199E-2</v>
      </c>
      <c r="H974" s="65">
        <v>196</v>
      </c>
      <c r="I974" s="67">
        <v>1.0634938296048499</v>
      </c>
      <c r="J974" s="67">
        <v>15.738626241684001</v>
      </c>
      <c r="K974" s="65">
        <v>34</v>
      </c>
      <c r="L974" s="65">
        <v>23</v>
      </c>
      <c r="M974" s="66">
        <v>3.0261348005502099E-2</v>
      </c>
      <c r="N974" s="67">
        <v>2692.69774184886</v>
      </c>
      <c r="O974" s="67">
        <v>122.39535190222099</v>
      </c>
      <c r="P974" s="67">
        <v>773.16001412272499</v>
      </c>
      <c r="Q974" s="77">
        <v>0.28713212110909198</v>
      </c>
    </row>
    <row r="975" spans="1:17" x14ac:dyDescent="0.35">
      <c r="A975" s="76" t="s">
        <v>136</v>
      </c>
      <c r="B975" s="63">
        <v>894875</v>
      </c>
      <c r="C975" s="63" t="s">
        <v>145</v>
      </c>
      <c r="D975" s="64">
        <v>42636</v>
      </c>
      <c r="E975" s="63" t="s">
        <v>138</v>
      </c>
      <c r="F975" s="65">
        <v>39471</v>
      </c>
      <c r="G975" s="66">
        <v>1.4543456360472599E-2</v>
      </c>
      <c r="H975" s="65">
        <v>524</v>
      </c>
      <c r="I975" s="67">
        <v>1.0582493900952501</v>
      </c>
      <c r="J975" s="67">
        <v>15.3906038233469</v>
      </c>
      <c r="K975" s="65">
        <v>32</v>
      </c>
      <c r="L975" s="65">
        <v>32</v>
      </c>
      <c r="M975" s="66">
        <v>4.0302267002518898E-2</v>
      </c>
      <c r="N975" s="67">
        <v>4509.9215057962501</v>
      </c>
      <c r="O975" s="67">
        <v>140.93504705613299</v>
      </c>
      <c r="P975" s="67">
        <v>840.25001573562599</v>
      </c>
      <c r="Q975" s="77">
        <v>0.18631145013404801</v>
      </c>
    </row>
    <row r="976" spans="1:17" x14ac:dyDescent="0.35">
      <c r="A976" s="76" t="s">
        <v>136</v>
      </c>
      <c r="B976" s="63">
        <v>894875</v>
      </c>
      <c r="C976" s="63" t="s">
        <v>145</v>
      </c>
      <c r="D976" s="64">
        <v>42637</v>
      </c>
      <c r="E976" s="63" t="s">
        <v>138</v>
      </c>
      <c r="F976" s="65">
        <v>33264</v>
      </c>
      <c r="G976" s="66">
        <v>1.36590034147509E-2</v>
      </c>
      <c r="H976" s="65">
        <v>322</v>
      </c>
      <c r="I976" s="67">
        <v>1.0540445870274999</v>
      </c>
      <c r="J976" s="67">
        <v>14.3971986135082</v>
      </c>
      <c r="K976" s="65">
        <v>97</v>
      </c>
      <c r="L976" s="65">
        <v>33</v>
      </c>
      <c r="M976" s="66">
        <v>4.7770700636942699E-2</v>
      </c>
      <c r="N976" s="67">
        <v>2589.8668360001602</v>
      </c>
      <c r="O976" s="67">
        <v>86.328894533338499</v>
      </c>
      <c r="P976" s="67">
        <v>661.94000065326702</v>
      </c>
      <c r="Q976" s="77">
        <v>0.25558843082279098</v>
      </c>
    </row>
    <row r="977" spans="1:17" x14ac:dyDescent="0.35">
      <c r="A977" s="76" t="s">
        <v>136</v>
      </c>
      <c r="B977" s="63">
        <v>894875</v>
      </c>
      <c r="C977" s="63" t="s">
        <v>145</v>
      </c>
      <c r="D977" s="64">
        <v>42638</v>
      </c>
      <c r="E977" s="63" t="s">
        <v>138</v>
      </c>
      <c r="F977" s="65">
        <v>3266</v>
      </c>
      <c r="G977" s="66">
        <v>1.3478804409592E-2</v>
      </c>
      <c r="H977" s="65">
        <v>553</v>
      </c>
      <c r="I977" s="67">
        <v>0.88762229082958299</v>
      </c>
      <c r="J977" s="67">
        <v>11.964087247685899</v>
      </c>
      <c r="K977" s="65">
        <v>61</v>
      </c>
      <c r="L977" s="65">
        <v>19</v>
      </c>
      <c r="M977" s="66">
        <v>2.8667790893760502E-2</v>
      </c>
      <c r="N977" s="67">
        <v>1446.2474708950699</v>
      </c>
      <c r="O977" s="67">
        <v>85.073380640886697</v>
      </c>
      <c r="P977" s="67">
        <v>526.36001846194301</v>
      </c>
      <c r="Q977" s="77">
        <v>0.36394879096049998</v>
      </c>
    </row>
    <row r="978" spans="1:17" x14ac:dyDescent="0.35">
      <c r="A978" s="76" t="s">
        <v>136</v>
      </c>
      <c r="B978" s="63">
        <v>894875</v>
      </c>
      <c r="C978" s="63" t="s">
        <v>145</v>
      </c>
      <c r="D978" s="64">
        <v>42639</v>
      </c>
      <c r="E978" s="63" t="s">
        <v>138</v>
      </c>
      <c r="F978" s="65">
        <v>49112</v>
      </c>
      <c r="G978" s="66">
        <v>1.49338240498266E-2</v>
      </c>
      <c r="H978" s="65">
        <v>171</v>
      </c>
      <c r="I978" s="67">
        <v>0.90236968901390902</v>
      </c>
      <c r="J978" s="67">
        <v>13.4758301636305</v>
      </c>
      <c r="K978" s="65">
        <v>45</v>
      </c>
      <c r="L978" s="65">
        <v>21</v>
      </c>
      <c r="M978" s="66">
        <v>3.3175355450236997E-2</v>
      </c>
      <c r="N978" s="67">
        <v>2046.82952439473</v>
      </c>
      <c r="O978" s="67">
        <v>97.468072590225106</v>
      </c>
      <c r="P978" s="67">
        <v>571.20001314580395</v>
      </c>
      <c r="Q978" s="77">
        <v>0.27906574843584703</v>
      </c>
    </row>
    <row r="979" spans="1:17" x14ac:dyDescent="0.35">
      <c r="A979" s="76" t="s">
        <v>136</v>
      </c>
      <c r="B979" s="63">
        <v>894875</v>
      </c>
      <c r="C979" s="63" t="s">
        <v>145</v>
      </c>
      <c r="D979" s="64">
        <v>42640</v>
      </c>
      <c r="E979" s="63" t="s">
        <v>138</v>
      </c>
      <c r="F979" s="65">
        <v>22663</v>
      </c>
      <c r="G979" s="66">
        <v>1.56873435602587E-2</v>
      </c>
      <c r="H979" s="65">
        <v>217</v>
      </c>
      <c r="I979" s="67">
        <v>0.882543463442375</v>
      </c>
      <c r="J979" s="67">
        <v>13.8447625178812</v>
      </c>
      <c r="K979" s="65">
        <v>44</v>
      </c>
      <c r="L979" s="65">
        <v>28</v>
      </c>
      <c r="M979" s="66">
        <v>4.1074249605055298E-2</v>
      </c>
      <c r="N979" s="67">
        <v>4032.9060300925798</v>
      </c>
      <c r="O979" s="67">
        <v>155.11177038817601</v>
      </c>
      <c r="P979" s="67">
        <v>558.65001235902298</v>
      </c>
      <c r="Q979" s="77">
        <v>0.13852294305657301</v>
      </c>
    </row>
    <row r="980" spans="1:17" x14ac:dyDescent="0.35">
      <c r="A980" s="76" t="s">
        <v>136</v>
      </c>
      <c r="B980" s="63">
        <v>894875</v>
      </c>
      <c r="C980" s="63" t="s">
        <v>145</v>
      </c>
      <c r="D980" s="64">
        <v>42641</v>
      </c>
      <c r="E980" s="63" t="s">
        <v>138</v>
      </c>
      <c r="F980" s="65">
        <v>6377</v>
      </c>
      <c r="G980" s="66">
        <v>1.3540608091406E-2</v>
      </c>
      <c r="H980" s="65">
        <v>325</v>
      </c>
      <c r="I980" s="67">
        <v>0.80922923023995696</v>
      </c>
      <c r="J980" s="67">
        <v>10.9574558627894</v>
      </c>
      <c r="K980" s="65">
        <v>67</v>
      </c>
      <c r="L980" s="65">
        <v>25</v>
      </c>
      <c r="M980" s="66">
        <v>4.6653144016227201E-2</v>
      </c>
      <c r="N980" s="67">
        <v>2614.73672774137</v>
      </c>
      <c r="O980" s="67">
        <v>113.684205553973</v>
      </c>
      <c r="P980" s="67">
        <v>398.95001050829899</v>
      </c>
      <c r="Q980" s="77">
        <v>0.15257750666657599</v>
      </c>
    </row>
    <row r="981" spans="1:17" x14ac:dyDescent="0.35">
      <c r="A981" s="76" t="s">
        <v>136</v>
      </c>
      <c r="B981" s="63">
        <v>894875</v>
      </c>
      <c r="C981" s="63" t="s">
        <v>145</v>
      </c>
      <c r="D981" s="64">
        <v>42642</v>
      </c>
      <c r="E981" s="63" t="s">
        <v>138</v>
      </c>
      <c r="F981" s="65">
        <v>16740</v>
      </c>
      <c r="G981" s="66">
        <v>1.5968289920724799E-2</v>
      </c>
      <c r="H981" s="65">
        <v>304</v>
      </c>
      <c r="I981" s="67">
        <v>0.81606385325814801</v>
      </c>
      <c r="J981" s="67">
        <v>13.0311442026499</v>
      </c>
      <c r="K981" s="65">
        <v>74</v>
      </c>
      <c r="L981" s="65">
        <v>15</v>
      </c>
      <c r="M981" s="66">
        <v>2.4822695035461001E-2</v>
      </c>
      <c r="N981" s="67">
        <v>2589.1612868994898</v>
      </c>
      <c r="O981" s="67">
        <v>184.940091921392</v>
      </c>
      <c r="P981" s="67">
        <v>460.26001323759601</v>
      </c>
      <c r="Q981" s="77">
        <v>0.17776413372407401</v>
      </c>
    </row>
    <row r="982" spans="1:17" x14ac:dyDescent="0.35">
      <c r="A982" s="76" t="s">
        <v>136</v>
      </c>
      <c r="B982" s="63">
        <v>894875</v>
      </c>
      <c r="C982" s="63" t="s">
        <v>145</v>
      </c>
      <c r="D982" s="64">
        <v>42643</v>
      </c>
      <c r="E982" s="63" t="s">
        <v>138</v>
      </c>
      <c r="F982" s="65">
        <v>28109</v>
      </c>
      <c r="G982" s="66">
        <v>1.47771317829457E-2</v>
      </c>
      <c r="H982" s="65">
        <v>230</v>
      </c>
      <c r="I982" s="67">
        <v>0.79699454694063498</v>
      </c>
      <c r="J982" s="67">
        <v>11.7772934504309</v>
      </c>
      <c r="K982" s="65">
        <v>61</v>
      </c>
      <c r="L982" s="65">
        <v>31</v>
      </c>
      <c r="M982" s="66">
        <v>5.1001821493624797E-2</v>
      </c>
      <c r="N982" s="67">
        <v>2566.62845401308</v>
      </c>
      <c r="O982" s="67">
        <v>91.665301929038606</v>
      </c>
      <c r="P982" s="67">
        <v>437.55000627040903</v>
      </c>
      <c r="Q982" s="77">
        <v>0.170476566480151</v>
      </c>
    </row>
    <row r="983" spans="1:17" x14ac:dyDescent="0.35">
      <c r="A983" s="76" t="s">
        <v>136</v>
      </c>
      <c r="B983" s="63">
        <v>894875</v>
      </c>
      <c r="C983" s="63" t="s">
        <v>145</v>
      </c>
      <c r="D983" s="64">
        <v>42644</v>
      </c>
      <c r="E983" s="63" t="s">
        <v>138</v>
      </c>
      <c r="F983" s="65">
        <v>23396</v>
      </c>
      <c r="G983" s="66">
        <v>1.5456315261636501E-2</v>
      </c>
      <c r="H983" s="65">
        <v>330</v>
      </c>
      <c r="I983" s="67">
        <v>0.80874047431213303</v>
      </c>
      <c r="J983" s="67">
        <v>12.5001477358137</v>
      </c>
      <c r="K983" s="65">
        <v>95</v>
      </c>
      <c r="L983" s="65">
        <v>24</v>
      </c>
      <c r="M983" s="66">
        <v>4.3893129770992398E-2</v>
      </c>
      <c r="N983" s="67">
        <v>3087.0449252244898</v>
      </c>
      <c r="O983" s="67">
        <v>134.21934457497801</v>
      </c>
      <c r="P983" s="67">
        <v>423.780008539557</v>
      </c>
      <c r="Q983" s="77">
        <v>0.137276916534909</v>
      </c>
    </row>
    <row r="984" spans="1:17" x14ac:dyDescent="0.35">
      <c r="A984" s="76" t="s">
        <v>136</v>
      </c>
      <c r="B984" s="63">
        <v>894875</v>
      </c>
      <c r="C984" s="63" t="s">
        <v>145</v>
      </c>
      <c r="D984" s="64">
        <v>42645</v>
      </c>
      <c r="E984" s="63" t="s">
        <v>138</v>
      </c>
      <c r="F984" s="65">
        <v>13184</v>
      </c>
      <c r="G984" s="66">
        <v>1.38303791431524E-2</v>
      </c>
      <c r="H984" s="65">
        <v>156</v>
      </c>
      <c r="I984" s="67">
        <v>0.84580461668043305</v>
      </c>
      <c r="J984" s="67">
        <v>11.697798529719</v>
      </c>
      <c r="K984" s="65">
        <v>14</v>
      </c>
      <c r="L984" s="65">
        <v>18</v>
      </c>
      <c r="M984" s="66">
        <v>3.4482758620689703E-2</v>
      </c>
      <c r="N984" s="67">
        <v>2021.60657273876</v>
      </c>
      <c r="O984" s="67">
        <v>112.31147626326501</v>
      </c>
      <c r="P984" s="67">
        <v>441.51000990718597</v>
      </c>
      <c r="Q984" s="77">
        <v>0.21839561458738899</v>
      </c>
    </row>
    <row r="985" spans="1:17" x14ac:dyDescent="0.35">
      <c r="A985" s="76" t="s">
        <v>136</v>
      </c>
      <c r="B985" s="63">
        <v>894875</v>
      </c>
      <c r="C985" s="63" t="s">
        <v>145</v>
      </c>
      <c r="D985" s="64">
        <v>42646</v>
      </c>
      <c r="E985" s="63" t="s">
        <v>138</v>
      </c>
      <c r="F985" s="65">
        <v>8479</v>
      </c>
      <c r="G985" s="66">
        <v>1.6026602660265999E-2</v>
      </c>
      <c r="H985" s="65">
        <v>445</v>
      </c>
      <c r="I985" s="67">
        <v>0.91497661996278301</v>
      </c>
      <c r="J985" s="67">
        <v>14.663966731576799</v>
      </c>
      <c r="K985" s="65">
        <v>25</v>
      </c>
      <c r="L985" s="65">
        <v>25</v>
      </c>
      <c r="M985" s="66">
        <v>3.7441497659906398E-2</v>
      </c>
      <c r="N985" s="67">
        <v>2537.4750688161098</v>
      </c>
      <c r="O985" s="67">
        <v>105.728127867338</v>
      </c>
      <c r="P985" s="67">
        <v>586.50001339614403</v>
      </c>
      <c r="Q985" s="77">
        <v>0.231135281131957</v>
      </c>
    </row>
    <row r="986" spans="1:17" x14ac:dyDescent="0.35">
      <c r="A986" s="76" t="s">
        <v>136</v>
      </c>
      <c r="B986" s="63">
        <v>894875</v>
      </c>
      <c r="C986" s="63" t="s">
        <v>145</v>
      </c>
      <c r="D986" s="64">
        <v>42647</v>
      </c>
      <c r="E986" s="63" t="s">
        <v>138</v>
      </c>
      <c r="F986" s="65">
        <v>11436</v>
      </c>
      <c r="G986" s="66">
        <v>1.4026147215012E-2</v>
      </c>
      <c r="H986" s="65">
        <v>539</v>
      </c>
      <c r="I986" s="67">
        <v>0.88811547990970596</v>
      </c>
      <c r="J986" s="67">
        <v>12.4568384651446</v>
      </c>
      <c r="K986" s="65">
        <v>37</v>
      </c>
      <c r="L986" s="65">
        <v>20</v>
      </c>
      <c r="M986" s="66">
        <v>3.3955857385399003E-2</v>
      </c>
      <c r="N986" s="67">
        <v>3877.29767819267</v>
      </c>
      <c r="O986" s="67">
        <v>193.86488390963299</v>
      </c>
      <c r="P986" s="67">
        <v>523.10001766681705</v>
      </c>
      <c r="Q986" s="77">
        <v>0.13491355605965499</v>
      </c>
    </row>
    <row r="987" spans="1:17" x14ac:dyDescent="0.35">
      <c r="A987" s="76" t="s">
        <v>136</v>
      </c>
      <c r="B987" s="63">
        <v>894875</v>
      </c>
      <c r="C987" s="63" t="s">
        <v>145</v>
      </c>
      <c r="D987" s="64">
        <v>42648</v>
      </c>
      <c r="E987" s="63" t="s">
        <v>138</v>
      </c>
      <c r="F987" s="65">
        <v>64027</v>
      </c>
      <c r="G987" s="66">
        <v>1.51263691972118E-2</v>
      </c>
      <c r="H987" s="65">
        <v>230</v>
      </c>
      <c r="I987" s="67">
        <v>0.86385583398764398</v>
      </c>
      <c r="J987" s="67">
        <v>13.0670022780624</v>
      </c>
      <c r="K987" s="65">
        <v>79</v>
      </c>
      <c r="L987" s="65">
        <v>36</v>
      </c>
      <c r="M987" s="66">
        <v>5.3291536050156699E-2</v>
      </c>
      <c r="N987" s="67">
        <v>4075.64510427713</v>
      </c>
      <c r="O987" s="67">
        <v>119.87191483168</v>
      </c>
      <c r="P987" s="67">
        <v>551.14002208411705</v>
      </c>
      <c r="Q987" s="77">
        <v>0.135227677578141</v>
      </c>
    </row>
    <row r="988" spans="1:17" x14ac:dyDescent="0.35">
      <c r="A988" s="76" t="s">
        <v>136</v>
      </c>
      <c r="B988" s="63">
        <v>894875</v>
      </c>
      <c r="C988" s="63" t="s">
        <v>145</v>
      </c>
      <c r="D988" s="64">
        <v>42649</v>
      </c>
      <c r="E988" s="63" t="s">
        <v>138</v>
      </c>
      <c r="F988" s="65">
        <v>19471</v>
      </c>
      <c r="G988" s="66">
        <v>1.60957389295719E-2</v>
      </c>
      <c r="H988" s="65">
        <v>527</v>
      </c>
      <c r="I988" s="67">
        <v>0.879374069282572</v>
      </c>
      <c r="J988" s="67">
        <v>14.154175440607601</v>
      </c>
      <c r="K988" s="65">
        <v>87</v>
      </c>
      <c r="L988" s="65">
        <v>35</v>
      </c>
      <c r="M988" s="66">
        <v>4.7328244274809202E-2</v>
      </c>
      <c r="N988" s="67">
        <v>4936.4211155610601</v>
      </c>
      <c r="O988" s="67">
        <v>159.23939082454999</v>
      </c>
      <c r="P988" s="67">
        <v>575.99001538008497</v>
      </c>
      <c r="Q988" s="77">
        <v>0.116681701559941</v>
      </c>
    </row>
    <row r="989" spans="1:17" x14ac:dyDescent="0.35">
      <c r="A989" s="76" t="s">
        <v>136</v>
      </c>
      <c r="B989" s="63">
        <v>894875</v>
      </c>
      <c r="C989" s="63" t="s">
        <v>145</v>
      </c>
      <c r="D989" s="64">
        <v>42650</v>
      </c>
      <c r="E989" s="63" t="s">
        <v>138</v>
      </c>
      <c r="F989" s="65">
        <v>55439</v>
      </c>
      <c r="G989" s="66">
        <v>1.6804133485020901E-2</v>
      </c>
      <c r="H989" s="65">
        <v>376</v>
      </c>
      <c r="I989" s="67">
        <v>0.90455572700130604</v>
      </c>
      <c r="J989" s="67">
        <v>15.200275181169999</v>
      </c>
      <c r="K989" s="65">
        <v>36</v>
      </c>
      <c r="L989" s="65">
        <v>47</v>
      </c>
      <c r="M989" s="66">
        <v>6.3469675599435796E-2</v>
      </c>
      <c r="N989" s="67">
        <v>5948.9661385626196</v>
      </c>
      <c r="O989" s="67">
        <v>132.19924752361399</v>
      </c>
      <c r="P989" s="67">
        <v>641.33001044392597</v>
      </c>
      <c r="Q989" s="77">
        <v>0.107805288432669</v>
      </c>
    </row>
    <row r="990" spans="1:17" x14ac:dyDescent="0.35">
      <c r="A990" s="76" t="s">
        <v>136</v>
      </c>
      <c r="B990" s="63">
        <v>894875</v>
      </c>
      <c r="C990" s="63" t="s">
        <v>145</v>
      </c>
      <c r="D990" s="64">
        <v>42651</v>
      </c>
      <c r="E990" s="63" t="s">
        <v>138</v>
      </c>
      <c r="F990" s="65">
        <v>14463</v>
      </c>
      <c r="G990" s="66">
        <v>1.4208984375000001E-2</v>
      </c>
      <c r="H990" s="65">
        <v>223</v>
      </c>
      <c r="I990" s="67">
        <v>0.89460484305863897</v>
      </c>
      <c r="J990" s="67">
        <v>12.7114262368195</v>
      </c>
      <c r="K990" s="65">
        <v>74</v>
      </c>
      <c r="L990" s="65">
        <v>19</v>
      </c>
      <c r="M990" s="66">
        <v>3.09278350515464E-2</v>
      </c>
      <c r="N990" s="67">
        <v>2605.2492083741299</v>
      </c>
      <c r="O990" s="67">
        <v>144.73606713189599</v>
      </c>
      <c r="P990" s="67">
        <v>520.660018660128</v>
      </c>
      <c r="Q990" s="77">
        <v>0.19985037016288301</v>
      </c>
    </row>
    <row r="991" spans="1:17" x14ac:dyDescent="0.35">
      <c r="A991" s="76" t="s">
        <v>136</v>
      </c>
      <c r="B991" s="63">
        <v>894875</v>
      </c>
      <c r="C991" s="63" t="s">
        <v>145</v>
      </c>
      <c r="D991" s="64">
        <v>42652</v>
      </c>
      <c r="E991" s="63" t="s">
        <v>138</v>
      </c>
      <c r="F991" s="65">
        <v>10341</v>
      </c>
      <c r="G991" s="66">
        <v>1.2089602461183501E-2</v>
      </c>
      <c r="H991" s="65">
        <v>390</v>
      </c>
      <c r="I991" s="67">
        <v>0.86274355713641004</v>
      </c>
      <c r="J991" s="67">
        <v>10.4302266317265</v>
      </c>
      <c r="K991" s="65">
        <v>88</v>
      </c>
      <c r="L991" s="65">
        <v>17</v>
      </c>
      <c r="M991" s="66">
        <v>2.78330019880716E-2</v>
      </c>
      <c r="N991" s="67">
        <v>1861.39093603334</v>
      </c>
      <c r="O991" s="67">
        <v>132.956495430953</v>
      </c>
      <c r="P991" s="67">
        <v>433.96000923961401</v>
      </c>
      <c r="Q991" s="77">
        <v>0.23313748919632701</v>
      </c>
    </row>
    <row r="992" spans="1:17" x14ac:dyDescent="0.35">
      <c r="A992" s="76" t="s">
        <v>136</v>
      </c>
      <c r="B992" s="63">
        <v>894875</v>
      </c>
      <c r="C992" s="63" t="s">
        <v>145</v>
      </c>
      <c r="D992" s="64">
        <v>42653</v>
      </c>
      <c r="E992" s="63" t="s">
        <v>138</v>
      </c>
      <c r="F992" s="65">
        <v>42308</v>
      </c>
      <c r="G992" s="66">
        <v>1.30612045604355E-2</v>
      </c>
      <c r="H992" s="65">
        <v>570</v>
      </c>
      <c r="I992" s="67">
        <v>0.90013084943606503</v>
      </c>
      <c r="J992" s="67">
        <v>11.756793155643001</v>
      </c>
      <c r="K992" s="65">
        <v>99</v>
      </c>
      <c r="L992" s="65">
        <v>20</v>
      </c>
      <c r="M992" s="66">
        <v>3.3644859813084099E-2</v>
      </c>
      <c r="N992" s="67">
        <v>2732.3258845955302</v>
      </c>
      <c r="O992" s="67">
        <v>151.79588247752901</v>
      </c>
      <c r="P992" s="67">
        <v>481.57000444829498</v>
      </c>
      <c r="Q992" s="77">
        <v>0.17624910965537399</v>
      </c>
    </row>
    <row r="993" spans="1:17" x14ac:dyDescent="0.35">
      <c r="A993" s="76" t="s">
        <v>136</v>
      </c>
      <c r="B993" s="63">
        <v>894875</v>
      </c>
      <c r="C993" s="63" t="s">
        <v>145</v>
      </c>
      <c r="D993" s="64">
        <v>42654</v>
      </c>
      <c r="E993" s="63" t="s">
        <v>138</v>
      </c>
      <c r="F993" s="65">
        <v>54976</v>
      </c>
      <c r="G993" s="66">
        <v>1.29520231356749E-2</v>
      </c>
      <c r="H993" s="65">
        <v>375</v>
      </c>
      <c r="I993" s="67">
        <v>0.94969465685937204</v>
      </c>
      <c r="J993" s="67">
        <v>12.300467167469399</v>
      </c>
      <c r="K993" s="65">
        <v>50</v>
      </c>
      <c r="L993" s="65">
        <v>27</v>
      </c>
      <c r="M993" s="66">
        <v>4.58015267175573E-2</v>
      </c>
      <c r="N993" s="67">
        <v>2104.54226130098</v>
      </c>
      <c r="O993" s="67">
        <v>87.689260887540598</v>
      </c>
      <c r="P993" s="67">
        <v>497.64000019431103</v>
      </c>
      <c r="Q993" s="77">
        <v>0.23645997010612799</v>
      </c>
    </row>
    <row r="994" spans="1:17" x14ac:dyDescent="0.35">
      <c r="A994" s="76" t="s">
        <v>136</v>
      </c>
      <c r="B994" s="63">
        <v>894875</v>
      </c>
      <c r="C994" s="63" t="s">
        <v>145</v>
      </c>
      <c r="D994" s="64">
        <v>42655</v>
      </c>
      <c r="E994" s="63" t="s">
        <v>138</v>
      </c>
      <c r="F994" s="65">
        <v>63001</v>
      </c>
      <c r="G994" s="66">
        <v>1.2970414201183399E-2</v>
      </c>
      <c r="H994" s="65">
        <v>158</v>
      </c>
      <c r="I994" s="67">
        <v>0.91014599927911799</v>
      </c>
      <c r="J994" s="67">
        <v>11.804970594200199</v>
      </c>
      <c r="K994" s="65">
        <v>16</v>
      </c>
      <c r="L994" s="65">
        <v>20</v>
      </c>
      <c r="M994" s="66">
        <v>3.2846715328467203E-2</v>
      </c>
      <c r="N994" s="67">
        <v>1661.7179085484399</v>
      </c>
      <c r="O994" s="67">
        <v>92.317661586024499</v>
      </c>
      <c r="P994" s="67">
        <v>498.76000760495702</v>
      </c>
      <c r="Q994" s="77">
        <v>0.30014721815247097</v>
      </c>
    </row>
    <row r="995" spans="1:17" x14ac:dyDescent="0.35">
      <c r="A995" s="76" t="s">
        <v>136</v>
      </c>
      <c r="B995" s="63">
        <v>894875</v>
      </c>
      <c r="C995" s="63" t="s">
        <v>145</v>
      </c>
      <c r="D995" s="64">
        <v>42656</v>
      </c>
      <c r="E995" s="63" t="s">
        <v>138</v>
      </c>
      <c r="F995" s="65">
        <v>63678</v>
      </c>
      <c r="G995" s="66">
        <v>1.2849435998038301E-2</v>
      </c>
      <c r="H995" s="65">
        <v>265</v>
      </c>
      <c r="I995" s="67">
        <v>0.96333968636529999</v>
      </c>
      <c r="J995" s="67">
        <v>12.3783716443212</v>
      </c>
      <c r="K995" s="65">
        <v>25</v>
      </c>
      <c r="L995" s="65">
        <v>17</v>
      </c>
      <c r="M995" s="66">
        <v>2.8625954198473299E-2</v>
      </c>
      <c r="N995" s="67">
        <v>1286.71791073963</v>
      </c>
      <c r="O995" s="67">
        <v>85.781194049308894</v>
      </c>
      <c r="P995" s="67">
        <v>504.78999565541699</v>
      </c>
      <c r="Q995" s="77">
        <v>0.39230820636144997</v>
      </c>
    </row>
    <row r="996" spans="1:17" x14ac:dyDescent="0.35">
      <c r="A996" s="76" t="s">
        <v>136</v>
      </c>
      <c r="B996" s="63">
        <v>894875</v>
      </c>
      <c r="C996" s="63" t="s">
        <v>145</v>
      </c>
      <c r="D996" s="64">
        <v>42657</v>
      </c>
      <c r="E996" s="63" t="s">
        <v>138</v>
      </c>
      <c r="F996" s="65">
        <v>56779</v>
      </c>
      <c r="G996" s="66">
        <v>1.31750497495368E-2</v>
      </c>
      <c r="H996" s="65">
        <v>421</v>
      </c>
      <c r="I996" s="67">
        <v>0.93623263397926704</v>
      </c>
      <c r="J996" s="67">
        <v>12.334911529816701</v>
      </c>
      <c r="K996" s="65">
        <v>97</v>
      </c>
      <c r="L996" s="65">
        <v>49</v>
      </c>
      <c r="M996" s="66">
        <v>7.4652777777777804E-2</v>
      </c>
      <c r="N996" s="67">
        <v>5723.0468755393704</v>
      </c>
      <c r="O996" s="67">
        <v>133.09411338463701</v>
      </c>
      <c r="P996" s="67">
        <v>539.26999717205797</v>
      </c>
      <c r="Q996" s="77">
        <v>9.4227779170729595E-2</v>
      </c>
    </row>
    <row r="997" spans="1:17" x14ac:dyDescent="0.35">
      <c r="A997" s="76" t="s">
        <v>136</v>
      </c>
      <c r="B997" s="63">
        <v>894875</v>
      </c>
      <c r="C997" s="63" t="s">
        <v>145</v>
      </c>
      <c r="D997" s="64">
        <v>42658</v>
      </c>
      <c r="E997" s="63" t="s">
        <v>138</v>
      </c>
      <c r="F997" s="65">
        <v>7680</v>
      </c>
      <c r="G997" s="66">
        <v>1.25631090759657E-2</v>
      </c>
      <c r="H997" s="65">
        <v>318</v>
      </c>
      <c r="I997" s="67">
        <v>0.87628036748583105</v>
      </c>
      <c r="J997" s="67">
        <v>11.008805837851799</v>
      </c>
      <c r="K997" s="65">
        <v>88</v>
      </c>
      <c r="L997" s="65">
        <v>21</v>
      </c>
      <c r="M997" s="66">
        <v>3.7383177570093497E-2</v>
      </c>
      <c r="N997" s="67">
        <v>2238.0699779339302</v>
      </c>
      <c r="O997" s="67">
        <v>111.90349889669599</v>
      </c>
      <c r="P997" s="67">
        <v>468.80999660491898</v>
      </c>
      <c r="Q997" s="77">
        <v>0.209470660536585</v>
      </c>
    </row>
    <row r="998" spans="1:17" x14ac:dyDescent="0.35">
      <c r="A998" s="76" t="s">
        <v>136</v>
      </c>
      <c r="B998" s="63">
        <v>894875</v>
      </c>
      <c r="C998" s="63" t="s">
        <v>145</v>
      </c>
      <c r="D998" s="64">
        <v>42659</v>
      </c>
      <c r="E998" s="63" t="s">
        <v>138</v>
      </c>
      <c r="F998" s="65">
        <v>992</v>
      </c>
      <c r="G998" s="66">
        <v>1.17792932424055E-2</v>
      </c>
      <c r="H998" s="65">
        <v>248</v>
      </c>
      <c r="I998" s="67">
        <v>0.87231580238593298</v>
      </c>
      <c r="J998" s="67">
        <v>10.2752636362881</v>
      </c>
      <c r="K998" s="65">
        <v>65</v>
      </c>
      <c r="L998" s="65">
        <v>28</v>
      </c>
      <c r="M998" s="66">
        <v>5.4736842105263202E-2</v>
      </c>
      <c r="N998" s="67">
        <v>4881.6404885392803</v>
      </c>
      <c r="O998" s="67">
        <v>187.75540340535699</v>
      </c>
      <c r="P998" s="67">
        <v>414.350006133318</v>
      </c>
      <c r="Q998" s="77">
        <v>8.4879254649353003E-2</v>
      </c>
    </row>
    <row r="999" spans="1:17" x14ac:dyDescent="0.35">
      <c r="A999" s="76" t="s">
        <v>136</v>
      </c>
      <c r="B999" s="63">
        <v>894875</v>
      </c>
      <c r="C999" s="63" t="s">
        <v>145</v>
      </c>
      <c r="D999" s="64">
        <v>42660</v>
      </c>
      <c r="E999" s="63" t="s">
        <v>138</v>
      </c>
      <c r="F999" s="65">
        <v>6465</v>
      </c>
      <c r="G999" s="66">
        <v>1.2770792678408201E-2</v>
      </c>
      <c r="H999" s="65">
        <v>322</v>
      </c>
      <c r="I999" s="67">
        <v>0.916711790260194</v>
      </c>
      <c r="J999" s="67">
        <v>11.707136219265401</v>
      </c>
      <c r="K999" s="65">
        <v>94</v>
      </c>
      <c r="L999" s="65">
        <v>34</v>
      </c>
      <c r="M999" s="66">
        <v>6.3829787234042507E-2</v>
      </c>
      <c r="N999" s="67">
        <v>3159.6106242358201</v>
      </c>
      <c r="O999" s="67">
        <v>95.745776491994505</v>
      </c>
      <c r="P999" s="67">
        <v>473.93999556452002</v>
      </c>
      <c r="Q999" s="77">
        <v>0.14999949421905301</v>
      </c>
    </row>
    <row r="1000" spans="1:17" x14ac:dyDescent="0.35">
      <c r="A1000" s="76" t="s">
        <v>136</v>
      </c>
      <c r="B1000" s="63">
        <v>894875</v>
      </c>
      <c r="C1000" s="63" t="s">
        <v>145</v>
      </c>
      <c r="D1000" s="64">
        <v>42661</v>
      </c>
      <c r="E1000" s="63" t="s">
        <v>138</v>
      </c>
      <c r="F1000" s="65">
        <v>38909</v>
      </c>
      <c r="G1000" s="66">
        <v>1.2965154503615999E-2</v>
      </c>
      <c r="H1000" s="65">
        <v>341</v>
      </c>
      <c r="I1000" s="67">
        <v>0.90496957045176896</v>
      </c>
      <c r="J1000" s="67">
        <v>11.7330703019782</v>
      </c>
      <c r="K1000" s="65">
        <v>89</v>
      </c>
      <c r="L1000" s="65">
        <v>21</v>
      </c>
      <c r="M1000" s="66">
        <v>3.8539553752535503E-2</v>
      </c>
      <c r="N1000" s="67">
        <v>3429.2137568053399</v>
      </c>
      <c r="O1000" s="67">
        <v>180.48493456870199</v>
      </c>
      <c r="P1000" s="67">
        <v>446.149998232722</v>
      </c>
      <c r="Q1000" s="77">
        <v>0.130102708630318</v>
      </c>
    </row>
    <row r="1001" spans="1:17" x14ac:dyDescent="0.35">
      <c r="A1001" s="76" t="s">
        <v>136</v>
      </c>
      <c r="B1001" s="63">
        <v>894875</v>
      </c>
      <c r="C1001" s="63" t="s">
        <v>145</v>
      </c>
      <c r="D1001" s="64">
        <v>42662</v>
      </c>
      <c r="E1001" s="63" t="s">
        <v>138</v>
      </c>
      <c r="F1001" s="65">
        <v>26182</v>
      </c>
      <c r="G1001" s="66">
        <v>1.25773195876289E-2</v>
      </c>
      <c r="H1001" s="65">
        <v>316</v>
      </c>
      <c r="I1001" s="67">
        <v>0.95036885591193299</v>
      </c>
      <c r="J1001" s="67">
        <v>11.953092826933601</v>
      </c>
      <c r="K1001" s="65">
        <v>95</v>
      </c>
      <c r="L1001" s="65">
        <v>24</v>
      </c>
      <c r="M1001" s="66">
        <v>4.3032786885245901E-2</v>
      </c>
      <c r="N1001" s="67">
        <v>2025.89575753022</v>
      </c>
      <c r="O1001" s="67">
        <v>96.471226549057903</v>
      </c>
      <c r="P1001" s="67">
        <v>463.78000168502302</v>
      </c>
      <c r="Q1001" s="77">
        <v>0.22892589609369701</v>
      </c>
    </row>
    <row r="1002" spans="1:17" x14ac:dyDescent="0.35">
      <c r="A1002" s="76" t="s">
        <v>136</v>
      </c>
      <c r="B1002" s="63">
        <v>894875</v>
      </c>
      <c r="C1002" s="63" t="s">
        <v>145</v>
      </c>
      <c r="D1002" s="64">
        <v>42663</v>
      </c>
      <c r="E1002" s="63" t="s">
        <v>138</v>
      </c>
      <c r="F1002" s="65">
        <v>46019</v>
      </c>
      <c r="G1002" s="66">
        <v>1.23495145631068E-2</v>
      </c>
      <c r="H1002" s="65">
        <v>484</v>
      </c>
      <c r="I1002" s="67">
        <v>0.909622638995917</v>
      </c>
      <c r="J1002" s="67">
        <v>11.233398027211701</v>
      </c>
      <c r="K1002" s="65">
        <v>15</v>
      </c>
      <c r="L1002" s="65">
        <v>16</v>
      </c>
      <c r="M1002" s="66">
        <v>3.1446540880503103E-2</v>
      </c>
      <c r="N1002" s="67">
        <v>1938.10194951985</v>
      </c>
      <c r="O1002" s="67">
        <v>129.206796634657</v>
      </c>
      <c r="P1002" s="67">
        <v>433.88999880105303</v>
      </c>
      <c r="Q1002" s="77">
        <v>0.22387367130431199</v>
      </c>
    </row>
    <row r="1003" spans="1:17" x14ac:dyDescent="0.35">
      <c r="A1003" s="76" t="s">
        <v>136</v>
      </c>
      <c r="B1003" s="63">
        <v>894875</v>
      </c>
      <c r="C1003" s="63" t="s">
        <v>145</v>
      </c>
      <c r="D1003" s="64">
        <v>42664</v>
      </c>
      <c r="E1003" s="63" t="s">
        <v>138</v>
      </c>
      <c r="F1003" s="65">
        <v>39316</v>
      </c>
      <c r="G1003" s="66">
        <v>1.25425638764361E-2</v>
      </c>
      <c r="H1003" s="65">
        <v>520</v>
      </c>
      <c r="I1003" s="67">
        <v>0.88544922410801497</v>
      </c>
      <c r="J1003" s="67">
        <v>11.1058034527156</v>
      </c>
      <c r="K1003" s="65">
        <v>44</v>
      </c>
      <c r="L1003" s="65">
        <v>40</v>
      </c>
      <c r="M1003" s="66">
        <v>7.421875E-2</v>
      </c>
      <c r="N1003" s="67">
        <v>4564.8035458685799</v>
      </c>
      <c r="O1003" s="67">
        <v>120.126409101805</v>
      </c>
      <c r="P1003" s="67">
        <v>453.350002743304</v>
      </c>
      <c r="Q1003" s="77">
        <v>9.9314241716626103E-2</v>
      </c>
    </row>
    <row r="1004" spans="1:17" x14ac:dyDescent="0.35">
      <c r="A1004" s="76" t="s">
        <v>136</v>
      </c>
      <c r="B1004" s="63">
        <v>894875</v>
      </c>
      <c r="C1004" s="63" t="s">
        <v>145</v>
      </c>
      <c r="D1004" s="64">
        <v>42665</v>
      </c>
      <c r="E1004" s="63" t="s">
        <v>138</v>
      </c>
      <c r="F1004" s="65">
        <v>5747</v>
      </c>
      <c r="G1004" s="66">
        <v>1.20911322896592E-2</v>
      </c>
      <c r="H1004" s="65">
        <v>370</v>
      </c>
      <c r="I1004" s="67">
        <v>0.932707423759079</v>
      </c>
      <c r="J1004" s="67">
        <v>11.2774888482182</v>
      </c>
      <c r="K1004" s="65">
        <v>31</v>
      </c>
      <c r="L1004" s="65">
        <v>27</v>
      </c>
      <c r="M1004" s="66">
        <v>5.6768558951965101E-2</v>
      </c>
      <c r="N1004" s="67">
        <v>2812.5329959851902</v>
      </c>
      <c r="O1004" s="67">
        <v>108.17434599943</v>
      </c>
      <c r="P1004" s="67">
        <v>427.18000008165802</v>
      </c>
      <c r="Q1004" s="77">
        <v>0.151884440357303</v>
      </c>
    </row>
    <row r="1005" spans="1:17" x14ac:dyDescent="0.35">
      <c r="A1005" s="76" t="s">
        <v>136</v>
      </c>
      <c r="B1005" s="63">
        <v>894875</v>
      </c>
      <c r="C1005" s="63" t="s">
        <v>145</v>
      </c>
      <c r="D1005" s="64">
        <v>42666</v>
      </c>
      <c r="E1005" s="63" t="s">
        <v>138</v>
      </c>
      <c r="F1005" s="65">
        <v>21554</v>
      </c>
      <c r="G1005" s="66">
        <v>1.19628399418725E-2</v>
      </c>
      <c r="H1005" s="65">
        <v>310</v>
      </c>
      <c r="I1005" s="67">
        <v>0.91622559705227902</v>
      </c>
      <c r="J1005" s="67">
        <v>10.960660168183001</v>
      </c>
      <c r="K1005" s="65">
        <v>81</v>
      </c>
      <c r="L1005" s="65">
        <v>22</v>
      </c>
      <c r="M1005" s="66">
        <v>4.1214750542299401E-2</v>
      </c>
      <c r="N1005" s="67">
        <v>2322.32848255404</v>
      </c>
      <c r="O1005" s="67">
        <v>122.227814871265</v>
      </c>
      <c r="P1005" s="67">
        <v>422.38000024110102</v>
      </c>
      <c r="Q1005" s="77">
        <v>0.181877802134424</v>
      </c>
    </row>
    <row r="1006" spans="1:17" x14ac:dyDescent="0.35">
      <c r="A1006" s="76" t="s">
        <v>136</v>
      </c>
      <c r="B1006" s="63">
        <v>894875</v>
      </c>
      <c r="C1006" s="63" t="s">
        <v>145</v>
      </c>
      <c r="D1006" s="64">
        <v>42667</v>
      </c>
      <c r="E1006" s="63" t="s">
        <v>138</v>
      </c>
      <c r="F1006" s="65">
        <v>59433</v>
      </c>
      <c r="G1006" s="66">
        <v>1.21999212908304E-2</v>
      </c>
      <c r="H1006" s="65">
        <v>526</v>
      </c>
      <c r="I1006" s="67">
        <v>0.92550538041258401</v>
      </c>
      <c r="J1006" s="67">
        <v>11.291092795273601</v>
      </c>
      <c r="K1006" s="65">
        <v>85</v>
      </c>
      <c r="L1006" s="65">
        <v>28</v>
      </c>
      <c r="M1006" s="66">
        <v>5.5913978494623699E-2</v>
      </c>
      <c r="N1006" s="67">
        <v>3786.7995865903799</v>
      </c>
      <c r="O1006" s="67">
        <v>145.64613794578401</v>
      </c>
      <c r="P1006" s="67">
        <v>430.36000189185103</v>
      </c>
      <c r="Q1006" s="77">
        <v>0.113647419688071</v>
      </c>
    </row>
    <row r="1007" spans="1:17" x14ac:dyDescent="0.35">
      <c r="A1007" s="76" t="s">
        <v>136</v>
      </c>
      <c r="B1007" s="63">
        <v>894875</v>
      </c>
      <c r="C1007" s="63" t="s">
        <v>145</v>
      </c>
      <c r="D1007" s="64">
        <v>42668</v>
      </c>
      <c r="E1007" s="63" t="s">
        <v>138</v>
      </c>
      <c r="F1007" s="65">
        <v>22446</v>
      </c>
      <c r="G1007" s="66">
        <v>1.28400676668793E-2</v>
      </c>
      <c r="H1007" s="65">
        <v>185</v>
      </c>
      <c r="I1007" s="67">
        <v>0.92894169612592503</v>
      </c>
      <c r="J1007" s="67">
        <v>11.927674236842501</v>
      </c>
      <c r="K1007" s="65">
        <v>77</v>
      </c>
      <c r="L1007" s="65">
        <v>31</v>
      </c>
      <c r="M1007" s="66">
        <v>6.0475161987040997E-2</v>
      </c>
      <c r="N1007" s="67">
        <v>3516.7306849121301</v>
      </c>
      <c r="O1007" s="67">
        <v>125.597524461148</v>
      </c>
      <c r="P1007" s="67">
        <v>430.10000530630401</v>
      </c>
      <c r="Q1007" s="77">
        <v>0.122301092645953</v>
      </c>
    </row>
    <row r="1008" spans="1:17" x14ac:dyDescent="0.35">
      <c r="A1008" s="76" t="s">
        <v>136</v>
      </c>
      <c r="B1008" s="63">
        <v>894875</v>
      </c>
      <c r="C1008" s="63" t="s">
        <v>145</v>
      </c>
      <c r="D1008" s="64">
        <v>42669</v>
      </c>
      <c r="E1008" s="63" t="s">
        <v>138</v>
      </c>
      <c r="F1008" s="65">
        <v>10896</v>
      </c>
      <c r="G1008" s="66">
        <v>1.2887355953049399E-2</v>
      </c>
      <c r="H1008" s="65">
        <v>289</v>
      </c>
      <c r="I1008" s="67">
        <v>0.94686721174115995</v>
      </c>
      <c r="J1008" s="67">
        <v>12.202614797979701</v>
      </c>
      <c r="K1008" s="65">
        <v>64</v>
      </c>
      <c r="L1008" s="65">
        <v>27</v>
      </c>
      <c r="M1008" s="66">
        <v>4.7717842323651401E-2</v>
      </c>
      <c r="N1008" s="67">
        <v>3061.6646615301802</v>
      </c>
      <c r="O1008" s="67">
        <v>133.115854849138</v>
      </c>
      <c r="P1008" s="67">
        <v>456.38999605923902</v>
      </c>
      <c r="Q1008" s="77">
        <v>0.14906596460212601</v>
      </c>
    </row>
    <row r="1009" spans="1:17" x14ac:dyDescent="0.35">
      <c r="A1009" s="76" t="s">
        <v>136</v>
      </c>
      <c r="B1009" s="63">
        <v>894875</v>
      </c>
      <c r="C1009" s="63" t="s">
        <v>145</v>
      </c>
      <c r="D1009" s="64">
        <v>42670</v>
      </c>
      <c r="E1009" s="63" t="s">
        <v>138</v>
      </c>
      <c r="F1009" s="65">
        <v>35253</v>
      </c>
      <c r="G1009" s="66">
        <v>1.3664436438497201E-2</v>
      </c>
      <c r="H1009" s="65">
        <v>308</v>
      </c>
      <c r="I1009" s="67">
        <v>0.90623352282352598</v>
      </c>
      <c r="J1009" s="67">
        <v>12.3831703710574</v>
      </c>
      <c r="K1009" s="65">
        <v>80</v>
      </c>
      <c r="L1009" s="65">
        <v>18</v>
      </c>
      <c r="M1009" s="66">
        <v>3.0131826741996201E-2</v>
      </c>
      <c r="N1009" s="67">
        <v>2453.8535977387501</v>
      </c>
      <c r="O1009" s="67">
        <v>153.36584985867199</v>
      </c>
      <c r="P1009" s="67">
        <v>481.21000061929197</v>
      </c>
      <c r="Q1009" s="77">
        <v>0.19610379407424</v>
      </c>
    </row>
    <row r="1010" spans="1:17" x14ac:dyDescent="0.35">
      <c r="A1010" s="76" t="s">
        <v>136</v>
      </c>
      <c r="B1010" s="63">
        <v>894875</v>
      </c>
      <c r="C1010" s="63" t="s">
        <v>145</v>
      </c>
      <c r="D1010" s="64">
        <v>42671</v>
      </c>
      <c r="E1010" s="63" t="s">
        <v>138</v>
      </c>
      <c r="F1010" s="65">
        <v>44958</v>
      </c>
      <c r="G1010" s="66">
        <v>1.24477578222072E-2</v>
      </c>
      <c r="H1010" s="65">
        <v>212</v>
      </c>
      <c r="I1010" s="67">
        <v>0.892704182819965</v>
      </c>
      <c r="J1010" s="67">
        <v>11.112165474614301</v>
      </c>
      <c r="K1010" s="65">
        <v>72</v>
      </c>
      <c r="L1010" s="65">
        <v>55</v>
      </c>
      <c r="M1010" s="66">
        <v>9.4373865698729603E-2</v>
      </c>
      <c r="N1010" s="67">
        <v>6609.2131743796799</v>
      </c>
      <c r="O1010" s="67">
        <v>127.100253353455</v>
      </c>
      <c r="P1010" s="67">
        <v>491.880004733801</v>
      </c>
      <c r="Q1010" s="77">
        <v>7.4423383200976398E-2</v>
      </c>
    </row>
    <row r="1011" spans="1:17" x14ac:dyDescent="0.35">
      <c r="A1011" s="76" t="s">
        <v>136</v>
      </c>
      <c r="B1011" s="63">
        <v>894875</v>
      </c>
      <c r="C1011" s="63" t="s">
        <v>145</v>
      </c>
      <c r="D1011" s="64">
        <v>42672</v>
      </c>
      <c r="E1011" s="63" t="s">
        <v>138</v>
      </c>
      <c r="F1011" s="65">
        <v>11979</v>
      </c>
      <c r="G1011" s="66">
        <v>1.2211734942103701E-2</v>
      </c>
      <c r="H1011" s="65">
        <v>496</v>
      </c>
      <c r="I1011" s="67">
        <v>0.92340638541961595</v>
      </c>
      <c r="J1011" s="67">
        <v>11.2763940225904</v>
      </c>
      <c r="K1011" s="65">
        <v>91</v>
      </c>
      <c r="L1011" s="65">
        <v>40</v>
      </c>
      <c r="M1011" s="66">
        <v>7.3705179282868502E-2</v>
      </c>
      <c r="N1011" s="67">
        <v>4007.6248837090402</v>
      </c>
      <c r="O1011" s="67">
        <v>108.31418604619</v>
      </c>
      <c r="P1011" s="67">
        <v>463.55000548064697</v>
      </c>
      <c r="Q1011" s="77">
        <v>0.115667014486554</v>
      </c>
    </row>
    <row r="1012" spans="1:17" x14ac:dyDescent="0.35">
      <c r="A1012" s="76" t="s">
        <v>136</v>
      </c>
      <c r="B1012" s="63">
        <v>894875</v>
      </c>
      <c r="C1012" s="63" t="s">
        <v>145</v>
      </c>
      <c r="D1012" s="64">
        <v>42673</v>
      </c>
      <c r="E1012" s="63" t="s">
        <v>138</v>
      </c>
      <c r="F1012" s="65">
        <v>66642</v>
      </c>
      <c r="G1012" s="66">
        <v>1.1881285742457099E-2</v>
      </c>
      <c r="H1012" s="65">
        <v>445</v>
      </c>
      <c r="I1012" s="67">
        <v>0.91593361426438502</v>
      </c>
      <c r="J1012" s="67">
        <v>10.882468992196699</v>
      </c>
      <c r="K1012" s="65">
        <v>58</v>
      </c>
      <c r="L1012" s="65">
        <v>20</v>
      </c>
      <c r="M1012" s="66">
        <v>4.1493775933609998E-2</v>
      </c>
      <c r="N1012" s="67">
        <v>3298.9445656337898</v>
      </c>
      <c r="O1012" s="67">
        <v>164.94722828168901</v>
      </c>
      <c r="P1012" s="67">
        <v>441.48000207543402</v>
      </c>
      <c r="Q1012" s="77">
        <v>0.133824619750959</v>
      </c>
    </row>
    <row r="1013" spans="1:17" x14ac:dyDescent="0.35">
      <c r="A1013" s="76" t="s">
        <v>136</v>
      </c>
      <c r="B1013" s="63">
        <v>894875</v>
      </c>
      <c r="C1013" s="63" t="s">
        <v>145</v>
      </c>
      <c r="D1013" s="64">
        <v>42674</v>
      </c>
      <c r="E1013" s="63" t="s">
        <v>138</v>
      </c>
      <c r="F1013" s="65">
        <v>45087</v>
      </c>
      <c r="G1013" s="66">
        <v>1.2303829252981799E-2</v>
      </c>
      <c r="H1013" s="65">
        <v>548</v>
      </c>
      <c r="I1013" s="67">
        <v>0.93326530486953496</v>
      </c>
      <c r="J1013" s="67">
        <v>11.4827369588468</v>
      </c>
      <c r="K1013" s="65">
        <v>41</v>
      </c>
      <c r="L1013" s="65">
        <v>30</v>
      </c>
      <c r="M1013" s="66">
        <v>6.1224489795918401E-2</v>
      </c>
      <c r="N1013" s="67">
        <v>4098.4315491261996</v>
      </c>
      <c r="O1013" s="67">
        <v>136.614384970873</v>
      </c>
      <c r="P1013" s="67">
        <v>457.29999938607199</v>
      </c>
      <c r="Q1013" s="77">
        <v>0.11157926975346701</v>
      </c>
    </row>
    <row r="1014" spans="1:17" x14ac:dyDescent="0.35">
      <c r="A1014" s="76" t="s">
        <v>136</v>
      </c>
      <c r="B1014" s="63">
        <v>894875</v>
      </c>
      <c r="C1014" s="63" t="s">
        <v>145</v>
      </c>
      <c r="D1014" s="64">
        <v>42675</v>
      </c>
      <c r="E1014" s="63" t="s">
        <v>138</v>
      </c>
      <c r="F1014" s="65">
        <v>21727</v>
      </c>
      <c r="G1014" s="66">
        <v>1.28077863593444E-2</v>
      </c>
      <c r="H1014" s="65">
        <v>452</v>
      </c>
      <c r="I1014" s="67">
        <v>0.88680529605688796</v>
      </c>
      <c r="J1014" s="67">
        <v>11.3580127742317</v>
      </c>
      <c r="K1014" s="65">
        <v>67</v>
      </c>
      <c r="L1014" s="65">
        <v>15</v>
      </c>
      <c r="M1014" s="66">
        <v>2.83553875236295E-2</v>
      </c>
      <c r="N1014" s="67">
        <v>1462.9010388943</v>
      </c>
      <c r="O1014" s="67">
        <v>97.526735926286904</v>
      </c>
      <c r="P1014" s="67">
        <v>469.12000161409401</v>
      </c>
      <c r="Q1014" s="77">
        <v>0.320677878504117</v>
      </c>
    </row>
    <row r="1015" spans="1:17" x14ac:dyDescent="0.35">
      <c r="A1015" s="76" t="s">
        <v>136</v>
      </c>
      <c r="B1015" s="63">
        <v>894875</v>
      </c>
      <c r="C1015" s="63" t="s">
        <v>145</v>
      </c>
      <c r="D1015" s="64">
        <v>42676</v>
      </c>
      <c r="E1015" s="63" t="s">
        <v>138</v>
      </c>
      <c r="F1015" s="65">
        <v>44681</v>
      </c>
      <c r="G1015" s="66">
        <v>1.31977113795296E-2</v>
      </c>
      <c r="H1015" s="65">
        <v>230</v>
      </c>
      <c r="I1015" s="67">
        <v>0.89622351466920303</v>
      </c>
      <c r="J1015" s="67">
        <v>11.828099278151701</v>
      </c>
      <c r="K1015" s="65">
        <v>21</v>
      </c>
      <c r="L1015" s="65">
        <v>17</v>
      </c>
      <c r="M1015" s="66">
        <v>3.0828516377649301E-2</v>
      </c>
      <c r="N1015" s="67">
        <v>1523.05475601083</v>
      </c>
      <c r="O1015" s="67">
        <v>95.190922250676905</v>
      </c>
      <c r="P1015" s="67">
        <v>465.14000411331699</v>
      </c>
      <c r="Q1015" s="77">
        <v>0.30539939701945201</v>
      </c>
    </row>
    <row r="1016" spans="1:17" x14ac:dyDescent="0.35">
      <c r="A1016" s="76" t="s">
        <v>136</v>
      </c>
      <c r="B1016" s="63">
        <v>894875</v>
      </c>
      <c r="C1016" s="63" t="s">
        <v>145</v>
      </c>
      <c r="D1016" s="64">
        <v>42677</v>
      </c>
      <c r="E1016" s="63" t="s">
        <v>138</v>
      </c>
      <c r="F1016" s="65">
        <v>42113</v>
      </c>
      <c r="G1016" s="66">
        <v>1.26820329829299E-2</v>
      </c>
      <c r="H1016" s="65">
        <v>221</v>
      </c>
      <c r="I1016" s="67">
        <v>0.92009505288172599</v>
      </c>
      <c r="J1016" s="67">
        <v>11.668675808076699</v>
      </c>
      <c r="K1016" s="65">
        <v>99</v>
      </c>
      <c r="L1016" s="65">
        <v>20</v>
      </c>
      <c r="M1016" s="66">
        <v>3.2319391634981001E-2</v>
      </c>
      <c r="N1016" s="67">
        <v>2408.3624428849898</v>
      </c>
      <c r="O1016" s="67">
        <v>141.668378993235</v>
      </c>
      <c r="P1016" s="67">
        <v>483.96999781578802</v>
      </c>
      <c r="Q1016" s="77">
        <v>0.200953971544266</v>
      </c>
    </row>
    <row r="1017" spans="1:17" x14ac:dyDescent="0.35">
      <c r="A1017" s="76" t="s">
        <v>136</v>
      </c>
      <c r="B1017" s="63">
        <v>894875</v>
      </c>
      <c r="C1017" s="63" t="s">
        <v>145</v>
      </c>
      <c r="D1017" s="64">
        <v>42678</v>
      </c>
      <c r="E1017" s="63" t="s">
        <v>138</v>
      </c>
      <c r="F1017" s="65">
        <v>59202</v>
      </c>
      <c r="G1017" s="66">
        <v>1.14649954011679E-2</v>
      </c>
      <c r="H1017" s="65">
        <v>320</v>
      </c>
      <c r="I1017" s="67">
        <v>0.93347015319419901</v>
      </c>
      <c r="J1017" s="67">
        <v>10.702231013499</v>
      </c>
      <c r="K1017" s="65">
        <v>34</v>
      </c>
      <c r="L1017" s="65">
        <v>41</v>
      </c>
      <c r="M1017" s="66">
        <v>7.0895522388059698E-2</v>
      </c>
      <c r="N1017" s="67">
        <v>4806.3288850807903</v>
      </c>
      <c r="O1017" s="67">
        <v>126.48233908107299</v>
      </c>
      <c r="P1017" s="67">
        <v>500.34000211209099</v>
      </c>
      <c r="Q1017" s="77">
        <v>0.10410024242518701</v>
      </c>
    </row>
    <row r="1018" spans="1:17" x14ac:dyDescent="0.35">
      <c r="A1018" s="76" t="s">
        <v>136</v>
      </c>
      <c r="B1018" s="63">
        <v>634838</v>
      </c>
      <c r="C1018" s="63" t="s">
        <v>146</v>
      </c>
      <c r="D1018" s="64">
        <v>42552</v>
      </c>
      <c r="E1018" s="63" t="s">
        <v>138</v>
      </c>
      <c r="F1018" s="65">
        <v>45148</v>
      </c>
      <c r="G1018" s="66">
        <v>8.6253048599131497E-3</v>
      </c>
      <c r="H1018" s="65">
        <v>231</v>
      </c>
      <c r="I1018" s="67">
        <v>0.92779309544069999</v>
      </c>
      <c r="J1018" s="67">
        <v>8.0024982950985404</v>
      </c>
      <c r="K1018" s="65">
        <v>99</v>
      </c>
      <c r="L1018" s="65">
        <v>25</v>
      </c>
      <c r="M1018" s="66">
        <v>0.16551724137931001</v>
      </c>
      <c r="N1018" s="67">
        <v>2813.7263349885402</v>
      </c>
      <c r="O1018" s="67">
        <v>117.238597291189</v>
      </c>
      <c r="P1018" s="67">
        <v>134.529998838902</v>
      </c>
      <c r="Q1018" s="77">
        <v>4.7812040981394702E-2</v>
      </c>
    </row>
    <row r="1019" spans="1:17" x14ac:dyDescent="0.35">
      <c r="A1019" s="76" t="s">
        <v>136</v>
      </c>
      <c r="B1019" s="63">
        <v>634838</v>
      </c>
      <c r="C1019" s="63" t="s">
        <v>146</v>
      </c>
      <c r="D1019" s="64">
        <v>42553</v>
      </c>
      <c r="E1019" s="63" t="s">
        <v>138</v>
      </c>
      <c r="F1019" s="65">
        <v>52274</v>
      </c>
      <c r="G1019" s="66">
        <v>7.0127813595747103E-3</v>
      </c>
      <c r="H1019" s="65">
        <v>560</v>
      </c>
      <c r="I1019" s="67">
        <v>1.0087096703148699</v>
      </c>
      <c r="J1019" s="67">
        <v>7.0738603732068404</v>
      </c>
      <c r="K1019" s="65">
        <v>24</v>
      </c>
      <c r="L1019" s="65">
        <v>14</v>
      </c>
      <c r="M1019" s="66">
        <v>0.104838709677419</v>
      </c>
      <c r="N1019" s="67">
        <v>751.01563404791204</v>
      </c>
      <c r="O1019" s="67">
        <v>57.770433388300901</v>
      </c>
      <c r="P1019" s="67">
        <v>125.07999911904299</v>
      </c>
      <c r="Q1019" s="77">
        <v>0.16654779667484801</v>
      </c>
    </row>
    <row r="1020" spans="1:17" x14ac:dyDescent="0.35">
      <c r="A1020" s="76" t="s">
        <v>136</v>
      </c>
      <c r="B1020" s="63">
        <v>634838</v>
      </c>
      <c r="C1020" s="63" t="s">
        <v>146</v>
      </c>
      <c r="D1020" s="64">
        <v>42554</v>
      </c>
      <c r="E1020" s="63" t="s">
        <v>138</v>
      </c>
      <c r="F1020" s="65">
        <v>10194</v>
      </c>
      <c r="G1020" s="66">
        <v>1.0308182784272099E-2</v>
      </c>
      <c r="H1020" s="65">
        <v>264</v>
      </c>
      <c r="I1020" s="67">
        <v>0.96324743683805203</v>
      </c>
      <c r="J1020" s="67">
        <v>9.9293306454081804</v>
      </c>
      <c r="K1020" s="65">
        <v>57</v>
      </c>
      <c r="L1020" s="65">
        <v>14</v>
      </c>
      <c r="M1020" s="66">
        <v>7.2164948453608199E-2</v>
      </c>
      <c r="N1020" s="67">
        <v>1489.9732075500899</v>
      </c>
      <c r="O1020" s="67">
        <v>106.426657682149</v>
      </c>
      <c r="P1020" s="67">
        <v>186.870002746582</v>
      </c>
      <c r="Q1020" s="77">
        <v>0.12541836443746901</v>
      </c>
    </row>
    <row r="1021" spans="1:17" x14ac:dyDescent="0.35">
      <c r="A1021" s="76" t="s">
        <v>136</v>
      </c>
      <c r="B1021" s="63">
        <v>634838</v>
      </c>
      <c r="C1021" s="63" t="s">
        <v>146</v>
      </c>
      <c r="D1021" s="64">
        <v>42555</v>
      </c>
      <c r="E1021" s="63" t="s">
        <v>138</v>
      </c>
      <c r="F1021" s="65">
        <v>62047</v>
      </c>
      <c r="G1021" s="66">
        <v>8.9723966854911106E-3</v>
      </c>
      <c r="H1021" s="65">
        <v>530</v>
      </c>
      <c r="I1021" s="67">
        <v>0.97870588933720304</v>
      </c>
      <c r="J1021" s="67">
        <v>8.7813374775597506</v>
      </c>
      <c r="K1021" s="65">
        <v>65</v>
      </c>
      <c r="L1021" s="65">
        <v>24</v>
      </c>
      <c r="M1021" s="66">
        <v>0.14117647058823499</v>
      </c>
      <c r="N1021" s="67">
        <v>2117.7716337209399</v>
      </c>
      <c r="O1021" s="67">
        <v>88.240484738372601</v>
      </c>
      <c r="P1021" s="67">
        <v>166.38000118732501</v>
      </c>
      <c r="Q1021" s="77">
        <v>7.8563712223774299E-2</v>
      </c>
    </row>
    <row r="1022" spans="1:17" x14ac:dyDescent="0.35">
      <c r="A1022" s="76" t="s">
        <v>136</v>
      </c>
      <c r="B1022" s="63">
        <v>634838</v>
      </c>
      <c r="C1022" s="63" t="s">
        <v>146</v>
      </c>
      <c r="D1022" s="64">
        <v>42556</v>
      </c>
      <c r="E1022" s="63" t="s">
        <v>138</v>
      </c>
      <c r="F1022" s="65">
        <v>6290</v>
      </c>
      <c r="G1022" s="66">
        <v>9.4844828698625698E-3</v>
      </c>
      <c r="H1022" s="65">
        <v>352</v>
      </c>
      <c r="I1022" s="67">
        <v>0.89809524060106605</v>
      </c>
      <c r="J1022" s="67">
        <v>8.5179689249859205</v>
      </c>
      <c r="K1022" s="65">
        <v>56</v>
      </c>
      <c r="L1022" s="65">
        <v>21</v>
      </c>
      <c r="M1022" s="66">
        <v>0.129251700680272</v>
      </c>
      <c r="N1022" s="67">
        <v>2327.3835102641501</v>
      </c>
      <c r="O1022" s="67">
        <v>122.493868961271</v>
      </c>
      <c r="P1022" s="67">
        <v>132.02000036835699</v>
      </c>
      <c r="Q1022" s="77">
        <v>5.6724643698009503E-2</v>
      </c>
    </row>
    <row r="1023" spans="1:17" x14ac:dyDescent="0.35">
      <c r="A1023" s="76" t="s">
        <v>136</v>
      </c>
      <c r="B1023" s="63">
        <v>634838</v>
      </c>
      <c r="C1023" s="63" t="s">
        <v>146</v>
      </c>
      <c r="D1023" s="64">
        <v>42557</v>
      </c>
      <c r="E1023" s="63" t="s">
        <v>138</v>
      </c>
      <c r="F1023" s="65">
        <v>27025</v>
      </c>
      <c r="G1023" s="66">
        <v>8.74145466771265E-3</v>
      </c>
      <c r="H1023" s="65">
        <v>364</v>
      </c>
      <c r="I1023" s="67">
        <v>0.86301280548557302</v>
      </c>
      <c r="J1023" s="67">
        <v>7.5439873168076499</v>
      </c>
      <c r="K1023" s="65">
        <v>88</v>
      </c>
      <c r="L1023" s="65">
        <v>15</v>
      </c>
      <c r="M1023" s="66">
        <v>9.6153846153846201E-2</v>
      </c>
      <c r="N1023" s="67">
        <v>1060.5929705500901</v>
      </c>
      <c r="O1023" s="67">
        <v>70.706198036672404</v>
      </c>
      <c r="P1023" s="67">
        <v>134.62999765574901</v>
      </c>
      <c r="Q1023" s="77">
        <v>0.12693842161326299</v>
      </c>
    </row>
    <row r="1024" spans="1:17" x14ac:dyDescent="0.35">
      <c r="A1024" s="76" t="s">
        <v>136</v>
      </c>
      <c r="B1024" s="63">
        <v>634838</v>
      </c>
      <c r="C1024" s="63" t="s">
        <v>146</v>
      </c>
      <c r="D1024" s="64">
        <v>42558</v>
      </c>
      <c r="E1024" s="63" t="s">
        <v>138</v>
      </c>
      <c r="F1024" s="65">
        <v>9239</v>
      </c>
      <c r="G1024" s="66">
        <v>1.0129751877987699E-2</v>
      </c>
      <c r="H1024" s="65">
        <v>539</v>
      </c>
      <c r="I1024" s="67">
        <v>0.89769662590174204</v>
      </c>
      <c r="J1024" s="67">
        <v>9.0934440820914002</v>
      </c>
      <c r="K1024" s="65">
        <v>82</v>
      </c>
      <c r="L1024" s="65">
        <v>18</v>
      </c>
      <c r="M1024" s="66">
        <v>0.101123595505618</v>
      </c>
      <c r="N1024" s="67">
        <v>2538.98347585386</v>
      </c>
      <c r="O1024" s="67">
        <v>141.05463754743701</v>
      </c>
      <c r="P1024" s="67">
        <v>159.78999941051001</v>
      </c>
      <c r="Q1024" s="77">
        <v>6.2934635427972799E-2</v>
      </c>
    </row>
    <row r="1025" spans="1:17" x14ac:dyDescent="0.35">
      <c r="A1025" s="76" t="s">
        <v>136</v>
      </c>
      <c r="B1025" s="63">
        <v>634838</v>
      </c>
      <c r="C1025" s="63" t="s">
        <v>146</v>
      </c>
      <c r="D1025" s="64">
        <v>42559</v>
      </c>
      <c r="E1025" s="63" t="s">
        <v>138</v>
      </c>
      <c r="F1025" s="65">
        <v>8912</v>
      </c>
      <c r="G1025" s="66">
        <v>8.9960017769880104E-3</v>
      </c>
      <c r="H1025" s="65">
        <v>510</v>
      </c>
      <c r="I1025" s="67">
        <v>0.84419754138331404</v>
      </c>
      <c r="J1025" s="67">
        <v>7.5944025824131902</v>
      </c>
      <c r="K1025" s="65">
        <v>14</v>
      </c>
      <c r="L1025" s="65">
        <v>29</v>
      </c>
      <c r="M1025" s="66">
        <v>0.16666666666666699</v>
      </c>
      <c r="N1025" s="67">
        <v>2431.0657693455901</v>
      </c>
      <c r="O1025" s="67">
        <v>90.039472938725396</v>
      </c>
      <c r="P1025" s="67">
        <v>136.76000170409699</v>
      </c>
      <c r="Q1025" s="77">
        <v>5.6255163240980899E-2</v>
      </c>
    </row>
    <row r="1026" spans="1:17" x14ac:dyDescent="0.35">
      <c r="A1026" s="76" t="s">
        <v>136</v>
      </c>
      <c r="B1026" s="63">
        <v>634838</v>
      </c>
      <c r="C1026" s="63" t="s">
        <v>146</v>
      </c>
      <c r="D1026" s="64">
        <v>42560</v>
      </c>
      <c r="E1026" s="63" t="s">
        <v>138</v>
      </c>
      <c r="F1026" s="65">
        <v>55146</v>
      </c>
      <c r="G1026" s="66">
        <v>1.02700862460281E-2</v>
      </c>
      <c r="H1026" s="65">
        <v>534</v>
      </c>
      <c r="I1026" s="67">
        <v>0.87104972694789495</v>
      </c>
      <c r="J1026" s="67">
        <v>8.9457558203341492</v>
      </c>
      <c r="K1026" s="65">
        <v>84</v>
      </c>
      <c r="L1026" s="65">
        <v>14</v>
      </c>
      <c r="M1026" s="66">
        <v>7.7348066298342497E-2</v>
      </c>
      <c r="N1026" s="67">
        <v>954.05826243815102</v>
      </c>
      <c r="O1026" s="67">
        <v>68.147018745582201</v>
      </c>
      <c r="P1026" s="67">
        <v>157.66000057756901</v>
      </c>
      <c r="Q1026" s="77">
        <v>0.16525196288815699</v>
      </c>
    </row>
    <row r="1027" spans="1:17" x14ac:dyDescent="0.35">
      <c r="A1027" s="76" t="s">
        <v>136</v>
      </c>
      <c r="B1027" s="63">
        <v>634838</v>
      </c>
      <c r="C1027" s="63" t="s">
        <v>146</v>
      </c>
      <c r="D1027" s="64">
        <v>42561</v>
      </c>
      <c r="E1027" s="63" t="s">
        <v>138</v>
      </c>
      <c r="F1027" s="65">
        <v>35448</v>
      </c>
      <c r="G1027" s="66">
        <v>1.08793180798564E-2</v>
      </c>
      <c r="H1027" s="65">
        <v>553</v>
      </c>
      <c r="I1027" s="67">
        <v>0.72814433184481198</v>
      </c>
      <c r="J1027" s="67">
        <v>7.9217137941842504</v>
      </c>
      <c r="K1027" s="65">
        <v>99</v>
      </c>
      <c r="L1027" s="65">
        <v>19</v>
      </c>
      <c r="M1027" s="66">
        <v>9.2783505154639206E-2</v>
      </c>
      <c r="N1027" s="67">
        <v>1944.6365022754101</v>
      </c>
      <c r="O1027" s="67">
        <v>108.03536123752301</v>
      </c>
      <c r="P1027" s="67">
        <v>141.26000037789299</v>
      </c>
      <c r="Q1027" s="77">
        <v>7.2640825271255496E-2</v>
      </c>
    </row>
    <row r="1028" spans="1:17" x14ac:dyDescent="0.35">
      <c r="A1028" s="76" t="s">
        <v>136</v>
      </c>
      <c r="B1028" s="63">
        <v>634838</v>
      </c>
      <c r="C1028" s="63" t="s">
        <v>146</v>
      </c>
      <c r="D1028" s="64">
        <v>42562</v>
      </c>
      <c r="E1028" s="63" t="s">
        <v>138</v>
      </c>
      <c r="F1028" s="65">
        <v>50656</v>
      </c>
      <c r="G1028" s="66">
        <v>8.5831863609641401E-3</v>
      </c>
      <c r="H1028" s="65">
        <v>228</v>
      </c>
      <c r="I1028" s="67">
        <v>0.66075342322049102</v>
      </c>
      <c r="J1028" s="67">
        <v>5.6713697701464802</v>
      </c>
      <c r="K1028" s="65">
        <v>80</v>
      </c>
      <c r="L1028" s="65">
        <v>19</v>
      </c>
      <c r="M1028" s="66">
        <v>0.102739726027397</v>
      </c>
      <c r="N1028" s="67">
        <v>1983.3606782950001</v>
      </c>
      <c r="O1028" s="67">
        <v>132.22404521966601</v>
      </c>
      <c r="P1028" s="67">
        <v>96.469999790191693</v>
      </c>
      <c r="Q1028" s="77">
        <v>4.8639665415330498E-2</v>
      </c>
    </row>
    <row r="1029" spans="1:17" x14ac:dyDescent="0.35">
      <c r="A1029" s="76" t="s">
        <v>136</v>
      </c>
      <c r="B1029" s="63">
        <v>634838</v>
      </c>
      <c r="C1029" s="63" t="s">
        <v>146</v>
      </c>
      <c r="D1029" s="64">
        <v>42563</v>
      </c>
      <c r="E1029" s="63" t="s">
        <v>138</v>
      </c>
      <c r="F1029" s="65">
        <v>50781</v>
      </c>
      <c r="G1029" s="66">
        <v>9.7705496722138192E-3</v>
      </c>
      <c r="H1029" s="65">
        <v>460</v>
      </c>
      <c r="I1029" s="67">
        <v>0.71845161289937998</v>
      </c>
      <c r="J1029" s="67">
        <v>7.0196671709155298</v>
      </c>
      <c r="K1029" s="65">
        <v>56</v>
      </c>
      <c r="L1029" s="65">
        <v>17</v>
      </c>
      <c r="M1029" s="66">
        <v>0.109677419354839</v>
      </c>
      <c r="N1029" s="67">
        <v>2492.6959989146899</v>
      </c>
      <c r="O1029" s="67">
        <v>146.62917640674701</v>
      </c>
      <c r="P1029" s="67">
        <v>111.359999999404</v>
      </c>
      <c r="Q1029" s="77">
        <v>4.4674521100001599E-2</v>
      </c>
    </row>
    <row r="1030" spans="1:17" x14ac:dyDescent="0.35">
      <c r="A1030" s="76" t="s">
        <v>136</v>
      </c>
      <c r="B1030" s="63">
        <v>634838</v>
      </c>
      <c r="C1030" s="63" t="s">
        <v>146</v>
      </c>
      <c r="D1030" s="64">
        <v>42564</v>
      </c>
      <c r="E1030" s="63" t="s">
        <v>138</v>
      </c>
      <c r="F1030" s="65">
        <v>65573</v>
      </c>
      <c r="G1030" s="66">
        <v>9.5952214526275597E-3</v>
      </c>
      <c r="H1030" s="65">
        <v>196</v>
      </c>
      <c r="I1030" s="67">
        <v>0.71649005979496905</v>
      </c>
      <c r="J1030" s="67">
        <v>6.8748807923390904</v>
      </c>
      <c r="K1030" s="65">
        <v>48</v>
      </c>
      <c r="L1030" s="65">
        <v>12</v>
      </c>
      <c r="M1030" s="66">
        <v>7.9470198675496706E-2</v>
      </c>
      <c r="N1030" s="67">
        <v>939.19093405451304</v>
      </c>
      <c r="O1030" s="67">
        <v>78.265911171209396</v>
      </c>
      <c r="P1030" s="67">
        <v>108.18999902904</v>
      </c>
      <c r="Q1030" s="77">
        <v>0.11519489286590701</v>
      </c>
    </row>
    <row r="1031" spans="1:17" x14ac:dyDescent="0.35">
      <c r="A1031" s="76" t="s">
        <v>136</v>
      </c>
      <c r="B1031" s="63">
        <v>634838</v>
      </c>
      <c r="C1031" s="63" t="s">
        <v>146</v>
      </c>
      <c r="D1031" s="64">
        <v>42565</v>
      </c>
      <c r="E1031" s="63" t="s">
        <v>138</v>
      </c>
      <c r="F1031" s="65">
        <v>64221</v>
      </c>
      <c r="G1031" s="66">
        <v>1.165260318007E-2</v>
      </c>
      <c r="H1031" s="65">
        <v>169</v>
      </c>
      <c r="I1031" s="67">
        <v>0.72512314002502098</v>
      </c>
      <c r="J1031" s="67">
        <v>8.4495722073979298</v>
      </c>
      <c r="K1031" s="65">
        <v>94</v>
      </c>
      <c r="L1031" s="65">
        <v>23</v>
      </c>
      <c r="M1031" s="66">
        <v>0.11330049261083699</v>
      </c>
      <c r="N1031" s="67">
        <v>2200.79519598453</v>
      </c>
      <c r="O1031" s="67">
        <v>95.686747651501094</v>
      </c>
      <c r="P1031" s="67">
        <v>147.199997425079</v>
      </c>
      <c r="Q1031" s="77">
        <v>6.6884914004562507E-2</v>
      </c>
    </row>
    <row r="1032" spans="1:17" x14ac:dyDescent="0.35">
      <c r="A1032" s="76" t="s">
        <v>136</v>
      </c>
      <c r="B1032" s="63">
        <v>634838</v>
      </c>
      <c r="C1032" s="63" t="s">
        <v>146</v>
      </c>
      <c r="D1032" s="64">
        <v>42566</v>
      </c>
      <c r="E1032" s="63" t="s">
        <v>138</v>
      </c>
      <c r="F1032" s="65">
        <v>64166</v>
      </c>
      <c r="G1032" s="66">
        <v>8.5372142325101704E-3</v>
      </c>
      <c r="H1032" s="65">
        <v>506</v>
      </c>
      <c r="I1032" s="67">
        <v>0.69926174055009904</v>
      </c>
      <c r="J1032" s="67">
        <v>5.9697472836741401</v>
      </c>
      <c r="K1032" s="65">
        <v>73</v>
      </c>
      <c r="L1032" s="65">
        <v>37</v>
      </c>
      <c r="M1032" s="66">
        <v>0.24832214765100699</v>
      </c>
      <c r="N1032" s="67">
        <v>3336.4163002319501</v>
      </c>
      <c r="O1032" s="67">
        <v>90.1734135197824</v>
      </c>
      <c r="P1032" s="67">
        <v>104.18999934196501</v>
      </c>
      <c r="Q1032" s="77">
        <v>3.12281172270743E-2</v>
      </c>
    </row>
    <row r="1033" spans="1:17" x14ac:dyDescent="0.35">
      <c r="A1033" s="76" t="s">
        <v>136</v>
      </c>
      <c r="B1033" s="63">
        <v>634838</v>
      </c>
      <c r="C1033" s="63" t="s">
        <v>146</v>
      </c>
      <c r="D1033" s="64">
        <v>42567</v>
      </c>
      <c r="E1033" s="63" t="s">
        <v>138</v>
      </c>
      <c r="F1033" s="65">
        <v>17411</v>
      </c>
      <c r="G1033" s="66">
        <v>9.2192301682379307E-3</v>
      </c>
      <c r="H1033" s="65">
        <v>583</v>
      </c>
      <c r="I1033" s="67">
        <v>0.76141242758702399</v>
      </c>
      <c r="J1033" s="67">
        <v>7.01963642288157</v>
      </c>
      <c r="K1033" s="65">
        <v>42</v>
      </c>
      <c r="L1033" s="65">
        <v>19</v>
      </c>
      <c r="M1033" s="66">
        <v>0.10734463276836199</v>
      </c>
      <c r="N1033" s="67">
        <v>1742.8904802202201</v>
      </c>
      <c r="O1033" s="67">
        <v>91.7310779063274</v>
      </c>
      <c r="P1033" s="67">
        <v>134.76999968290301</v>
      </c>
      <c r="Q1033" s="77">
        <v>7.7325569915256298E-2</v>
      </c>
    </row>
    <row r="1034" spans="1:17" x14ac:dyDescent="0.35">
      <c r="A1034" s="76" t="s">
        <v>136</v>
      </c>
      <c r="B1034" s="63">
        <v>634838</v>
      </c>
      <c r="C1034" s="63" t="s">
        <v>146</v>
      </c>
      <c r="D1034" s="64">
        <v>42568</v>
      </c>
      <c r="E1034" s="63" t="s">
        <v>138</v>
      </c>
      <c r="F1034" s="65">
        <v>66637</v>
      </c>
      <c r="G1034" s="66">
        <v>9.0514626977091402E-3</v>
      </c>
      <c r="H1034" s="65">
        <v>440</v>
      </c>
      <c r="I1034" s="67">
        <v>0.71149484598144996</v>
      </c>
      <c r="J1034" s="67">
        <v>6.4400690580134103</v>
      </c>
      <c r="K1034" s="65">
        <v>98</v>
      </c>
      <c r="L1034" s="65">
        <v>15</v>
      </c>
      <c r="M1034" s="66">
        <v>7.2164948453608199E-2</v>
      </c>
      <c r="N1034" s="67">
        <v>2310.2255953204199</v>
      </c>
      <c r="O1034" s="67">
        <v>165.016113951459</v>
      </c>
      <c r="P1034" s="67">
        <v>138.03000012040101</v>
      </c>
      <c r="Q1034" s="77">
        <v>5.97474118544934E-2</v>
      </c>
    </row>
    <row r="1035" spans="1:17" x14ac:dyDescent="0.35">
      <c r="A1035" s="76" t="s">
        <v>136</v>
      </c>
      <c r="B1035" s="63">
        <v>634838</v>
      </c>
      <c r="C1035" s="63" t="s">
        <v>146</v>
      </c>
      <c r="D1035" s="64">
        <v>42569</v>
      </c>
      <c r="E1035" s="63" t="s">
        <v>138</v>
      </c>
      <c r="F1035" s="65">
        <v>48180</v>
      </c>
      <c r="G1035" s="66">
        <v>9.8961351580261203E-3</v>
      </c>
      <c r="H1035" s="65">
        <v>403</v>
      </c>
      <c r="I1035" s="67">
        <v>0.72445945831032499</v>
      </c>
      <c r="J1035" s="67">
        <v>7.1693487159493703</v>
      </c>
      <c r="K1035" s="65">
        <v>56</v>
      </c>
      <c r="L1035" s="65">
        <v>15</v>
      </c>
      <c r="M1035" s="66">
        <v>6.7567567567567599E-2</v>
      </c>
      <c r="N1035" s="67">
        <v>1330.0630633921101</v>
      </c>
      <c r="O1035" s="67">
        <v>88.670870892807201</v>
      </c>
      <c r="P1035" s="67">
        <v>160.82999974489201</v>
      </c>
      <c r="Q1035" s="77">
        <v>0.12091907832905401</v>
      </c>
    </row>
    <row r="1036" spans="1:17" x14ac:dyDescent="0.35">
      <c r="A1036" s="76" t="s">
        <v>136</v>
      </c>
      <c r="B1036" s="63">
        <v>634838</v>
      </c>
      <c r="C1036" s="63" t="s">
        <v>146</v>
      </c>
      <c r="D1036" s="64">
        <v>42570</v>
      </c>
      <c r="E1036" s="63" t="s">
        <v>138</v>
      </c>
      <c r="F1036" s="65">
        <v>52667</v>
      </c>
      <c r="G1036" s="66">
        <v>8.5190969757205706E-3</v>
      </c>
      <c r="H1036" s="65">
        <v>444</v>
      </c>
      <c r="I1036" s="67">
        <v>0.68205555288328101</v>
      </c>
      <c r="J1036" s="67">
        <v>5.8104973978413801</v>
      </c>
      <c r="K1036" s="65">
        <v>33</v>
      </c>
      <c r="L1036" s="65">
        <v>17</v>
      </c>
      <c r="M1036" s="66">
        <v>8.8888888888888906E-2</v>
      </c>
      <c r="N1036" s="67">
        <v>1882.14192508734</v>
      </c>
      <c r="O1036" s="67">
        <v>117.63387031795899</v>
      </c>
      <c r="P1036" s="67">
        <v>122.769999518991</v>
      </c>
      <c r="Q1036" s="77">
        <v>6.5228874551154406E-2</v>
      </c>
    </row>
    <row r="1037" spans="1:17" x14ac:dyDescent="0.35">
      <c r="A1037" s="76" t="s">
        <v>136</v>
      </c>
      <c r="B1037" s="63">
        <v>634838</v>
      </c>
      <c r="C1037" s="63" t="s">
        <v>146</v>
      </c>
      <c r="D1037" s="64">
        <v>42571</v>
      </c>
      <c r="E1037" s="63" t="s">
        <v>138</v>
      </c>
      <c r="F1037" s="65">
        <v>56975</v>
      </c>
      <c r="G1037" s="66">
        <v>8.4663640536543107E-3</v>
      </c>
      <c r="H1037" s="65">
        <v>557</v>
      </c>
      <c r="I1037" s="67">
        <v>0.56668674048170997</v>
      </c>
      <c r="J1037" s="67">
        <v>4.7977762492968798</v>
      </c>
      <c r="K1037" s="65">
        <v>85</v>
      </c>
      <c r="L1037" s="65">
        <v>29</v>
      </c>
      <c r="M1037" s="66">
        <v>0.16867469879518099</v>
      </c>
      <c r="N1037" s="67">
        <v>2195.3928951817702</v>
      </c>
      <c r="O1037" s="67">
        <v>78.406889113634705</v>
      </c>
      <c r="P1037" s="67">
        <v>94.069998919963794</v>
      </c>
      <c r="Q1037" s="77">
        <v>4.2848821787853701E-2</v>
      </c>
    </row>
    <row r="1038" spans="1:17" x14ac:dyDescent="0.35">
      <c r="A1038" s="76" t="s">
        <v>136</v>
      </c>
      <c r="B1038" s="63">
        <v>634838</v>
      </c>
      <c r="C1038" s="63" t="s">
        <v>146</v>
      </c>
      <c r="D1038" s="64">
        <v>42572</v>
      </c>
      <c r="E1038" s="63" t="s">
        <v>138</v>
      </c>
      <c r="F1038" s="65">
        <v>47524</v>
      </c>
      <c r="G1038" s="66">
        <v>9.0651829823972397E-3</v>
      </c>
      <c r="H1038" s="65">
        <v>185</v>
      </c>
      <c r="I1038" s="67">
        <v>0.56730157822843597</v>
      </c>
      <c r="J1038" s="67">
        <v>5.1426926128435104</v>
      </c>
      <c r="K1038" s="65">
        <v>85</v>
      </c>
      <c r="L1038" s="65">
        <v>17</v>
      </c>
      <c r="M1038" s="66">
        <v>7.9365079365079402E-2</v>
      </c>
      <c r="N1038" s="67">
        <v>1663.6269106367399</v>
      </c>
      <c r="O1038" s="67">
        <v>110.908460709116</v>
      </c>
      <c r="P1038" s="67">
        <v>107.219998285174</v>
      </c>
      <c r="Q1038" s="77">
        <v>6.4449545507854603E-2</v>
      </c>
    </row>
    <row r="1039" spans="1:17" x14ac:dyDescent="0.35">
      <c r="A1039" s="76" t="s">
        <v>136</v>
      </c>
      <c r="B1039" s="63">
        <v>634838</v>
      </c>
      <c r="C1039" s="63" t="s">
        <v>146</v>
      </c>
      <c r="D1039" s="64">
        <v>42573</v>
      </c>
      <c r="E1039" s="63" t="s">
        <v>138</v>
      </c>
      <c r="F1039" s="65">
        <v>60817</v>
      </c>
      <c r="G1039" s="66">
        <v>7.3906992369343E-3</v>
      </c>
      <c r="H1039" s="65">
        <v>416</v>
      </c>
      <c r="I1039" s="67">
        <v>0.56818181295673598</v>
      </c>
      <c r="J1039" s="67">
        <v>4.1992608914592902</v>
      </c>
      <c r="K1039" s="65">
        <v>87</v>
      </c>
      <c r="L1039" s="65">
        <v>36</v>
      </c>
      <c r="M1039" s="66">
        <v>0.22727272727272699</v>
      </c>
      <c r="N1039" s="67">
        <v>4375.6590426169096</v>
      </c>
      <c r="O1039" s="67">
        <v>125.018829789055</v>
      </c>
      <c r="P1039" s="67">
        <v>87.499999195337296</v>
      </c>
      <c r="Q1039" s="77">
        <v>1.9996987503625701E-2</v>
      </c>
    </row>
    <row r="1040" spans="1:17" x14ac:dyDescent="0.35">
      <c r="A1040" s="76" t="s">
        <v>136</v>
      </c>
      <c r="B1040" s="63">
        <v>634838</v>
      </c>
      <c r="C1040" s="63" t="s">
        <v>146</v>
      </c>
      <c r="D1040" s="64">
        <v>42574</v>
      </c>
      <c r="E1040" s="63" t="s">
        <v>138</v>
      </c>
      <c r="F1040" s="65">
        <v>12477</v>
      </c>
      <c r="G1040" s="66">
        <v>1.07956817273091E-2</v>
      </c>
      <c r="H1040" s="65">
        <v>390</v>
      </c>
      <c r="I1040" s="67">
        <v>0.56650792708788</v>
      </c>
      <c r="J1040" s="67">
        <v>6.1158392768383596</v>
      </c>
      <c r="K1040" s="65">
        <v>23</v>
      </c>
      <c r="L1040" s="65">
        <v>24</v>
      </c>
      <c r="M1040" s="66">
        <v>0.11640211640211599</v>
      </c>
      <c r="N1040" s="67">
        <v>1975.3219803321999</v>
      </c>
      <c r="O1040" s="67">
        <v>89.787362742372906</v>
      </c>
      <c r="P1040" s="67">
        <v>107.069998219609</v>
      </c>
      <c r="Q1040" s="77">
        <v>5.4203820585038302E-2</v>
      </c>
    </row>
    <row r="1041" spans="1:17" x14ac:dyDescent="0.35">
      <c r="A1041" s="76" t="s">
        <v>136</v>
      </c>
      <c r="B1041" s="63">
        <v>634838</v>
      </c>
      <c r="C1041" s="63" t="s">
        <v>146</v>
      </c>
      <c r="D1041" s="64">
        <v>42575</v>
      </c>
      <c r="E1041" s="63" t="s">
        <v>138</v>
      </c>
      <c r="F1041" s="65">
        <v>42456</v>
      </c>
      <c r="G1041" s="66">
        <v>9.9792339640055391E-3</v>
      </c>
      <c r="H1041" s="65">
        <v>317</v>
      </c>
      <c r="I1041" s="67">
        <v>0.60115605558274099</v>
      </c>
      <c r="J1041" s="67">
        <v>5.9990769275388898</v>
      </c>
      <c r="K1041" s="65">
        <v>42</v>
      </c>
      <c r="L1041" s="65">
        <v>26</v>
      </c>
      <c r="M1041" s="66">
        <v>0.12716763005780299</v>
      </c>
      <c r="N1041" s="67">
        <v>1551.2576908174599</v>
      </c>
      <c r="O1041" s="67">
        <v>70.511713218975203</v>
      </c>
      <c r="P1041" s="67">
        <v>103.999997615814</v>
      </c>
      <c r="Q1041" s="77">
        <v>6.7042373573026504E-2</v>
      </c>
    </row>
    <row r="1042" spans="1:17" x14ac:dyDescent="0.35">
      <c r="A1042" s="76" t="s">
        <v>136</v>
      </c>
      <c r="B1042" s="63">
        <v>634838</v>
      </c>
      <c r="C1042" s="63" t="s">
        <v>146</v>
      </c>
      <c r="D1042" s="64">
        <v>42576</v>
      </c>
      <c r="E1042" s="63" t="s">
        <v>138</v>
      </c>
      <c r="F1042" s="65">
        <v>28001</v>
      </c>
      <c r="G1042" s="66">
        <v>9.7819114817190508E-3</v>
      </c>
      <c r="H1042" s="65">
        <v>230</v>
      </c>
      <c r="I1042" s="67">
        <v>0.59999999534236903</v>
      </c>
      <c r="J1042" s="67">
        <v>5.8691468434709</v>
      </c>
      <c r="K1042" s="65">
        <v>9</v>
      </c>
      <c r="L1042" s="65">
        <v>18</v>
      </c>
      <c r="M1042" s="66">
        <v>9.8360655737704902E-2</v>
      </c>
      <c r="N1042" s="67">
        <v>1527.4440400364899</v>
      </c>
      <c r="O1042" s="67">
        <v>84.858002224249304</v>
      </c>
      <c r="P1042" s="67">
        <v>109.79999914765401</v>
      </c>
      <c r="Q1042" s="77">
        <v>7.18847933342492E-2</v>
      </c>
    </row>
    <row r="1043" spans="1:17" x14ac:dyDescent="0.35">
      <c r="A1043" s="76" t="s">
        <v>136</v>
      </c>
      <c r="B1043" s="63">
        <v>634838</v>
      </c>
      <c r="C1043" s="63" t="s">
        <v>146</v>
      </c>
      <c r="D1043" s="64">
        <v>42577</v>
      </c>
      <c r="E1043" s="63" t="s">
        <v>138</v>
      </c>
      <c r="F1043" s="65">
        <v>2547</v>
      </c>
      <c r="G1043" s="66">
        <v>1.0531539479488299E-2</v>
      </c>
      <c r="H1043" s="65">
        <v>505</v>
      </c>
      <c r="I1043" s="67">
        <v>0.63408377329716503</v>
      </c>
      <c r="J1043" s="67">
        <v>6.6778782917820099</v>
      </c>
      <c r="K1043" s="65">
        <v>89</v>
      </c>
      <c r="L1043" s="65">
        <v>17</v>
      </c>
      <c r="M1043" s="66">
        <v>8.9005235602094196E-2</v>
      </c>
      <c r="N1043" s="67">
        <v>1452.80491132107</v>
      </c>
      <c r="O1043" s="67">
        <v>85.459112430651302</v>
      </c>
      <c r="P1043" s="67">
        <v>121.110000699759</v>
      </c>
      <c r="Q1043" s="77">
        <v>8.3362879458901404E-2</v>
      </c>
    </row>
    <row r="1044" spans="1:17" x14ac:dyDescent="0.35">
      <c r="A1044" s="76" t="s">
        <v>136</v>
      </c>
      <c r="B1044" s="63">
        <v>634838</v>
      </c>
      <c r="C1044" s="63" t="s">
        <v>146</v>
      </c>
      <c r="D1044" s="64">
        <v>42578</v>
      </c>
      <c r="E1044" s="63" t="s">
        <v>138</v>
      </c>
      <c r="F1044" s="65">
        <v>67454</v>
      </c>
      <c r="G1044" s="66">
        <v>1.2272049546966399E-2</v>
      </c>
      <c r="H1044" s="65">
        <v>215</v>
      </c>
      <c r="I1044" s="67">
        <v>0.66233645191538004</v>
      </c>
      <c r="J1044" s="67">
        <v>8.1282257546674703</v>
      </c>
      <c r="K1044" s="65">
        <v>30</v>
      </c>
      <c r="L1044" s="65">
        <v>11</v>
      </c>
      <c r="M1044" s="66">
        <v>5.1401869158878503E-2</v>
      </c>
      <c r="N1044" s="67">
        <v>796.17944045243701</v>
      </c>
      <c r="O1044" s="67">
        <v>72.379949132039698</v>
      </c>
      <c r="P1044" s="67">
        <v>141.74000070989101</v>
      </c>
      <c r="Q1044" s="77">
        <v>0.178025195713853</v>
      </c>
    </row>
    <row r="1045" spans="1:17" x14ac:dyDescent="0.35">
      <c r="A1045" s="76" t="s">
        <v>136</v>
      </c>
      <c r="B1045" s="63">
        <v>634838</v>
      </c>
      <c r="C1045" s="63" t="s">
        <v>146</v>
      </c>
      <c r="D1045" s="64">
        <v>42579</v>
      </c>
      <c r="E1045" s="63" t="s">
        <v>138</v>
      </c>
      <c r="F1045" s="65">
        <v>25152</v>
      </c>
      <c r="G1045" s="66">
        <v>1.15010612567254E-2</v>
      </c>
      <c r="H1045" s="65">
        <v>179</v>
      </c>
      <c r="I1045" s="67">
        <v>0.66025752327984499</v>
      </c>
      <c r="J1045" s="67">
        <v>7.5936622204553004</v>
      </c>
      <c r="K1045" s="65">
        <v>70</v>
      </c>
      <c r="L1045" s="65">
        <v>18</v>
      </c>
      <c r="M1045" s="66">
        <v>7.2961373390557901E-2</v>
      </c>
      <c r="N1045" s="67">
        <v>1398.7509939909401</v>
      </c>
      <c r="O1045" s="67">
        <v>82.279470234761206</v>
      </c>
      <c r="P1045" s="67">
        <v>153.84000292420399</v>
      </c>
      <c r="Q1045" s="77">
        <v>0.109983838142102</v>
      </c>
    </row>
    <row r="1046" spans="1:17" x14ac:dyDescent="0.35">
      <c r="A1046" s="76" t="s">
        <v>136</v>
      </c>
      <c r="B1046" s="63">
        <v>634838</v>
      </c>
      <c r="C1046" s="63" t="s">
        <v>146</v>
      </c>
      <c r="D1046" s="64">
        <v>42580</v>
      </c>
      <c r="E1046" s="63" t="s">
        <v>138</v>
      </c>
      <c r="F1046" s="65">
        <v>18035</v>
      </c>
      <c r="G1046" s="66">
        <v>1.0228276535403801E-2</v>
      </c>
      <c r="H1046" s="65">
        <v>412</v>
      </c>
      <c r="I1046" s="67">
        <v>0.63172727579420296</v>
      </c>
      <c r="J1046" s="67">
        <v>6.4614812717804</v>
      </c>
      <c r="K1046" s="65">
        <v>48</v>
      </c>
      <c r="L1046" s="65">
        <v>20</v>
      </c>
      <c r="M1046" s="66">
        <v>8.6363636363636406E-2</v>
      </c>
      <c r="N1046" s="67">
        <v>2879.7649296495001</v>
      </c>
      <c r="O1046" s="67">
        <v>151.566575244711</v>
      </c>
      <c r="P1046" s="67">
        <v>138.98000067472501</v>
      </c>
      <c r="Q1046" s="77">
        <v>4.8260883811665801E-2</v>
      </c>
    </row>
    <row r="1047" spans="1:17" x14ac:dyDescent="0.35">
      <c r="A1047" s="76" t="s">
        <v>136</v>
      </c>
      <c r="B1047" s="63">
        <v>634838</v>
      </c>
      <c r="C1047" s="63" t="s">
        <v>146</v>
      </c>
      <c r="D1047" s="64">
        <v>42581</v>
      </c>
      <c r="E1047" s="63" t="s">
        <v>138</v>
      </c>
      <c r="F1047" s="65">
        <v>7283</v>
      </c>
      <c r="G1047" s="66">
        <v>8.2553339922097606E-3</v>
      </c>
      <c r="H1047" s="65">
        <v>225</v>
      </c>
      <c r="I1047" s="67">
        <v>0.51577465141742995</v>
      </c>
      <c r="J1047" s="67">
        <v>4.2578920121664501</v>
      </c>
      <c r="K1047" s="65">
        <v>56</v>
      </c>
      <c r="L1047" s="65">
        <v>11</v>
      </c>
      <c r="M1047" s="66">
        <v>7.0422535211267595E-2</v>
      </c>
      <c r="N1047" s="67">
        <v>1504.01936538568</v>
      </c>
      <c r="O1047" s="67">
        <v>150.40193653856801</v>
      </c>
      <c r="P1047" s="67">
        <v>73.240000501275105</v>
      </c>
      <c r="Q1047" s="77">
        <v>4.8696181835726403E-2</v>
      </c>
    </row>
    <row r="1048" spans="1:17" x14ac:dyDescent="0.35">
      <c r="A1048" s="76" t="s">
        <v>136</v>
      </c>
      <c r="B1048" s="63">
        <v>634838</v>
      </c>
      <c r="C1048" s="63" t="s">
        <v>146</v>
      </c>
      <c r="D1048" s="64">
        <v>42582</v>
      </c>
      <c r="E1048" s="63" t="s">
        <v>138</v>
      </c>
      <c r="F1048" s="65">
        <v>4397</v>
      </c>
      <c r="G1048" s="66">
        <v>7.58498505148931E-3</v>
      </c>
      <c r="H1048" s="65">
        <v>474</v>
      </c>
      <c r="I1048" s="67">
        <v>0.47547444657687699</v>
      </c>
      <c r="J1048" s="67">
        <v>3.6064665696507698</v>
      </c>
      <c r="K1048" s="65">
        <v>13</v>
      </c>
      <c r="L1048" s="65">
        <v>16</v>
      </c>
      <c r="M1048" s="66">
        <v>0.116788321167883</v>
      </c>
      <c r="N1048" s="67">
        <v>1715.18715386857</v>
      </c>
      <c r="O1048" s="67">
        <v>107.199197116786</v>
      </c>
      <c r="P1048" s="67">
        <v>65.139999181032195</v>
      </c>
      <c r="Q1048" s="77">
        <v>3.7978362322799802E-2</v>
      </c>
    </row>
    <row r="1049" spans="1:17" x14ac:dyDescent="0.35">
      <c r="A1049" s="76" t="s">
        <v>136</v>
      </c>
      <c r="B1049" s="63">
        <v>634838</v>
      </c>
      <c r="C1049" s="63" t="s">
        <v>146</v>
      </c>
      <c r="D1049" s="64">
        <v>42583</v>
      </c>
      <c r="E1049" s="63" t="s">
        <v>138</v>
      </c>
      <c r="F1049" s="65">
        <v>23634</v>
      </c>
      <c r="G1049" s="66">
        <v>9.5238095238095195E-3</v>
      </c>
      <c r="H1049" s="65">
        <v>201</v>
      </c>
      <c r="I1049" s="67">
        <v>0.46893855779530602</v>
      </c>
      <c r="J1049" s="67">
        <v>4.4660815028124397</v>
      </c>
      <c r="K1049" s="65">
        <v>53</v>
      </c>
      <c r="L1049" s="65">
        <v>14</v>
      </c>
      <c r="M1049" s="66">
        <v>7.2625698324022395E-2</v>
      </c>
      <c r="N1049" s="67">
        <v>1016.80406312898</v>
      </c>
      <c r="O1049" s="67">
        <v>78.2156971637678</v>
      </c>
      <c r="P1049" s="67">
        <v>83.940001845359802</v>
      </c>
      <c r="Q1049" s="77">
        <v>8.2552779723414696E-2</v>
      </c>
    </row>
    <row r="1050" spans="1:17" x14ac:dyDescent="0.35">
      <c r="A1050" s="76" t="s">
        <v>136</v>
      </c>
      <c r="B1050" s="63">
        <v>634838</v>
      </c>
      <c r="C1050" s="63" t="s">
        <v>146</v>
      </c>
      <c r="D1050" s="64">
        <v>42584</v>
      </c>
      <c r="E1050" s="63" t="s">
        <v>138</v>
      </c>
      <c r="F1050" s="65">
        <v>15126</v>
      </c>
      <c r="G1050" s="66">
        <v>8.3695374393048805E-3</v>
      </c>
      <c r="H1050" s="65">
        <v>542</v>
      </c>
      <c r="I1050" s="67">
        <v>0.47633587347187201</v>
      </c>
      <c r="J1050" s="67">
        <v>3.9867109267068201</v>
      </c>
      <c r="K1050" s="65">
        <v>21</v>
      </c>
      <c r="L1050" s="65">
        <v>14</v>
      </c>
      <c r="M1050" s="66">
        <v>0.106870229007634</v>
      </c>
      <c r="N1050" s="67">
        <v>813.50232140938601</v>
      </c>
      <c r="O1050" s="67">
        <v>58.107308672099002</v>
      </c>
      <c r="P1050" s="67">
        <v>62.399999424815199</v>
      </c>
      <c r="Q1050" s="77">
        <v>7.6705373522115705E-2</v>
      </c>
    </row>
    <row r="1051" spans="1:17" x14ac:dyDescent="0.35">
      <c r="A1051" s="76" t="s">
        <v>136</v>
      </c>
      <c r="B1051" s="63">
        <v>634838</v>
      </c>
      <c r="C1051" s="63" t="s">
        <v>146</v>
      </c>
      <c r="D1051" s="64">
        <v>42585</v>
      </c>
      <c r="E1051" s="63" t="s">
        <v>138</v>
      </c>
      <c r="F1051" s="65">
        <v>44990</v>
      </c>
      <c r="G1051" s="66">
        <v>9.7548453343601592E-3</v>
      </c>
      <c r="H1051" s="65">
        <v>385</v>
      </c>
      <c r="I1051" s="67">
        <v>0.48019736662114898</v>
      </c>
      <c r="J1051" s="67">
        <v>4.6842510413563501</v>
      </c>
      <c r="K1051" s="65">
        <v>16</v>
      </c>
      <c r="L1051" s="65">
        <v>19</v>
      </c>
      <c r="M1051" s="66">
        <v>0.125</v>
      </c>
      <c r="N1051" s="67">
        <v>2549.6206334550402</v>
      </c>
      <c r="O1051" s="67">
        <v>134.19055965552801</v>
      </c>
      <c r="P1051" s="67">
        <v>72.989999726414695</v>
      </c>
      <c r="Q1051" s="77">
        <v>2.8627788294725499E-2</v>
      </c>
    </row>
    <row r="1052" spans="1:17" x14ac:dyDescent="0.35">
      <c r="A1052" s="76" t="s">
        <v>136</v>
      </c>
      <c r="B1052" s="63">
        <v>634838</v>
      </c>
      <c r="C1052" s="63" t="s">
        <v>146</v>
      </c>
      <c r="D1052" s="64">
        <v>42586</v>
      </c>
      <c r="E1052" s="63" t="s">
        <v>138</v>
      </c>
      <c r="F1052" s="65">
        <v>66096</v>
      </c>
      <c r="G1052" s="66">
        <v>9.5153137079988098E-3</v>
      </c>
      <c r="H1052" s="65">
        <v>401</v>
      </c>
      <c r="I1052" s="67">
        <v>0.45593749657273303</v>
      </c>
      <c r="J1052" s="67">
        <v>4.3383883111291901</v>
      </c>
      <c r="K1052" s="65">
        <v>45</v>
      </c>
      <c r="L1052" s="65">
        <v>14</v>
      </c>
      <c r="M1052" s="66">
        <v>8.7499999999999994E-2</v>
      </c>
      <c r="N1052" s="67">
        <v>1651.36231371279</v>
      </c>
      <c r="O1052" s="67">
        <v>117.954450979485</v>
      </c>
      <c r="P1052" s="67">
        <v>72.949999451637296</v>
      </c>
      <c r="Q1052" s="77">
        <v>4.4175647491689701E-2</v>
      </c>
    </row>
    <row r="1053" spans="1:17" x14ac:dyDescent="0.35">
      <c r="A1053" s="76" t="s">
        <v>136</v>
      </c>
      <c r="B1053" s="63">
        <v>634838</v>
      </c>
      <c r="C1053" s="63" t="s">
        <v>146</v>
      </c>
      <c r="D1053" s="64">
        <v>42587</v>
      </c>
      <c r="E1053" s="63" t="s">
        <v>138</v>
      </c>
      <c r="F1053" s="65">
        <v>46598</v>
      </c>
      <c r="G1053" s="66">
        <v>1.2062209159931401E-2</v>
      </c>
      <c r="H1053" s="65">
        <v>519</v>
      </c>
      <c r="I1053" s="67">
        <v>0.46781725417539</v>
      </c>
      <c r="J1053" s="67">
        <v>5.6429095684883501</v>
      </c>
      <c r="K1053" s="65">
        <v>76</v>
      </c>
      <c r="L1053" s="65">
        <v>30</v>
      </c>
      <c r="M1053" s="66">
        <v>0.15228426395939099</v>
      </c>
      <c r="N1053" s="67">
        <v>3288.79974570474</v>
      </c>
      <c r="O1053" s="67">
        <v>109.626658190158</v>
      </c>
      <c r="P1053" s="67">
        <v>92.159999072551699</v>
      </c>
      <c r="Q1053" s="77">
        <v>2.80223808679489E-2</v>
      </c>
    </row>
    <row r="1054" spans="1:17" x14ac:dyDescent="0.35">
      <c r="A1054" s="76" t="s">
        <v>136</v>
      </c>
      <c r="B1054" s="63">
        <v>634838</v>
      </c>
      <c r="C1054" s="63" t="s">
        <v>146</v>
      </c>
      <c r="D1054" s="64">
        <v>42588</v>
      </c>
      <c r="E1054" s="63" t="s">
        <v>138</v>
      </c>
      <c r="F1054" s="65">
        <v>63059</v>
      </c>
      <c r="G1054" s="66">
        <v>9.34187675908737E-3</v>
      </c>
      <c r="H1054" s="65">
        <v>576</v>
      </c>
      <c r="I1054" s="67">
        <v>0.48679486939158201</v>
      </c>
      <c r="J1054" s="67">
        <v>4.5475776768121898</v>
      </c>
      <c r="K1054" s="65">
        <v>42</v>
      </c>
      <c r="L1054" s="65">
        <v>25</v>
      </c>
      <c r="M1054" s="66">
        <v>0.15384615384615399</v>
      </c>
      <c r="N1054" s="67">
        <v>1580.74667174604</v>
      </c>
      <c r="O1054" s="67">
        <v>65.8644446560848</v>
      </c>
      <c r="P1054" s="67">
        <v>75.939999625086799</v>
      </c>
      <c r="Q1054" s="77">
        <v>4.8040588022371898E-2</v>
      </c>
    </row>
    <row r="1055" spans="1:17" x14ac:dyDescent="0.35">
      <c r="A1055" s="76" t="s">
        <v>136</v>
      </c>
      <c r="B1055" s="63">
        <v>634838</v>
      </c>
      <c r="C1055" s="63" t="s">
        <v>146</v>
      </c>
      <c r="D1055" s="64">
        <v>42589</v>
      </c>
      <c r="E1055" s="63" t="s">
        <v>138</v>
      </c>
      <c r="F1055" s="65">
        <v>9918</v>
      </c>
      <c r="G1055" s="66">
        <v>9.6785546691693994E-3</v>
      </c>
      <c r="H1055" s="65">
        <v>420</v>
      </c>
      <c r="I1055" s="67">
        <v>0.46866666755892999</v>
      </c>
      <c r="J1055" s="67">
        <v>4.53601596358655</v>
      </c>
      <c r="K1055" s="65">
        <v>16</v>
      </c>
      <c r="L1055" s="65">
        <v>20</v>
      </c>
      <c r="M1055" s="66">
        <v>0.12121212121212099</v>
      </c>
      <c r="N1055" s="67">
        <v>1825.87517522742</v>
      </c>
      <c r="O1055" s="67">
        <v>91.293758761370896</v>
      </c>
      <c r="P1055" s="67">
        <v>77.330000147223501</v>
      </c>
      <c r="Q1055" s="77">
        <v>4.2352292860103002E-2</v>
      </c>
    </row>
    <row r="1056" spans="1:17" x14ac:dyDescent="0.35">
      <c r="A1056" s="76" t="s">
        <v>136</v>
      </c>
      <c r="B1056" s="63">
        <v>634838</v>
      </c>
      <c r="C1056" s="63" t="s">
        <v>146</v>
      </c>
      <c r="D1056" s="64">
        <v>42590</v>
      </c>
      <c r="E1056" s="63" t="s">
        <v>138</v>
      </c>
      <c r="F1056" s="65">
        <v>39371</v>
      </c>
      <c r="G1056" s="66">
        <v>1.0218668925716099E-2</v>
      </c>
      <c r="H1056" s="65">
        <v>162</v>
      </c>
      <c r="I1056" s="67">
        <v>0.48326424930070999</v>
      </c>
      <c r="J1056" s="67">
        <v>4.93831736723868</v>
      </c>
      <c r="K1056" s="65">
        <v>55</v>
      </c>
      <c r="L1056" s="65">
        <v>22</v>
      </c>
      <c r="M1056" s="66">
        <v>0.113989637305699</v>
      </c>
      <c r="N1056" s="67">
        <v>1621.14155705704</v>
      </c>
      <c r="O1056" s="67">
        <v>73.688252593501801</v>
      </c>
      <c r="P1056" s="67">
        <v>93.270000115037007</v>
      </c>
      <c r="Q1056" s="77">
        <v>5.7533532287183997E-2</v>
      </c>
    </row>
    <row r="1057" spans="1:17" x14ac:dyDescent="0.35">
      <c r="A1057" s="76" t="s">
        <v>136</v>
      </c>
      <c r="B1057" s="63">
        <v>634838</v>
      </c>
      <c r="C1057" s="63" t="s">
        <v>146</v>
      </c>
      <c r="D1057" s="64">
        <v>42591</v>
      </c>
      <c r="E1057" s="63" t="s">
        <v>138</v>
      </c>
      <c r="F1057" s="65">
        <v>34879</v>
      </c>
      <c r="G1057" s="66">
        <v>1.0672878968469E-2</v>
      </c>
      <c r="H1057" s="65">
        <v>471</v>
      </c>
      <c r="I1057" s="67">
        <v>0.48852792178011201</v>
      </c>
      <c r="J1057" s="67">
        <v>5.2139993818767998</v>
      </c>
      <c r="K1057" s="65">
        <v>74</v>
      </c>
      <c r="L1057" s="65">
        <v>21</v>
      </c>
      <c r="M1057" s="66">
        <v>9.6446700507614197E-2</v>
      </c>
      <c r="N1057" s="67">
        <v>2418.6066484262201</v>
      </c>
      <c r="O1057" s="67">
        <v>127.29508675927499</v>
      </c>
      <c r="P1057" s="67">
        <v>96.240000590682001</v>
      </c>
      <c r="Q1057" s="77">
        <v>3.97915058462711E-2</v>
      </c>
    </row>
    <row r="1058" spans="1:17" x14ac:dyDescent="0.35">
      <c r="A1058" s="76" t="s">
        <v>136</v>
      </c>
      <c r="B1058" s="63">
        <v>634838</v>
      </c>
      <c r="C1058" s="63" t="s">
        <v>146</v>
      </c>
      <c r="D1058" s="64">
        <v>42592</v>
      </c>
      <c r="E1058" s="63" t="s">
        <v>138</v>
      </c>
      <c r="F1058" s="65">
        <v>32470</v>
      </c>
      <c r="G1058" s="66">
        <v>9.8638582070382699E-3</v>
      </c>
      <c r="H1058" s="65">
        <v>197</v>
      </c>
      <c r="I1058" s="67">
        <v>0.466406243232389</v>
      </c>
      <c r="J1058" s="67">
        <v>4.6005650501216904</v>
      </c>
      <c r="K1058" s="65">
        <v>58</v>
      </c>
      <c r="L1058" s="65">
        <v>11</v>
      </c>
      <c r="M1058" s="66">
        <v>5.7291666666666699E-2</v>
      </c>
      <c r="N1058" s="67">
        <v>1123.51266407395</v>
      </c>
      <c r="O1058" s="67">
        <v>102.13751491581399</v>
      </c>
      <c r="P1058" s="67">
        <v>89.549998700618701</v>
      </c>
      <c r="Q1058" s="77">
        <v>7.9705375439118695E-2</v>
      </c>
    </row>
    <row r="1059" spans="1:17" x14ac:dyDescent="0.35">
      <c r="A1059" s="76" t="s">
        <v>136</v>
      </c>
      <c r="B1059" s="63">
        <v>634838</v>
      </c>
      <c r="C1059" s="63" t="s">
        <v>146</v>
      </c>
      <c r="D1059" s="64">
        <v>42593</v>
      </c>
      <c r="E1059" s="63" t="s">
        <v>138</v>
      </c>
      <c r="F1059" s="65">
        <v>18462</v>
      </c>
      <c r="G1059" s="66">
        <v>8.7134037044413505E-3</v>
      </c>
      <c r="H1059" s="65">
        <v>502</v>
      </c>
      <c r="I1059" s="67">
        <v>0.450800001961844</v>
      </c>
      <c r="J1059" s="67">
        <v>3.9280024070564998</v>
      </c>
      <c r="K1059" s="65">
        <v>65</v>
      </c>
      <c r="L1059" s="65">
        <v>11</v>
      </c>
      <c r="M1059" s="66">
        <v>6.2857142857142903E-2</v>
      </c>
      <c r="N1059" s="67">
        <v>896.49078742782297</v>
      </c>
      <c r="O1059" s="67">
        <v>81.499162493438504</v>
      </c>
      <c r="P1059" s="67">
        <v>78.890000343322797</v>
      </c>
      <c r="Q1059" s="77">
        <v>8.7998673772957406E-2</v>
      </c>
    </row>
    <row r="1060" spans="1:17" x14ac:dyDescent="0.35">
      <c r="A1060" s="76" t="s">
        <v>136</v>
      </c>
      <c r="B1060" s="63">
        <v>634838</v>
      </c>
      <c r="C1060" s="63" t="s">
        <v>146</v>
      </c>
      <c r="D1060" s="64">
        <v>42594</v>
      </c>
      <c r="E1060" s="63" t="s">
        <v>138</v>
      </c>
      <c r="F1060" s="65">
        <v>42945</v>
      </c>
      <c r="G1060" s="66">
        <v>9.1805974239517699E-3</v>
      </c>
      <c r="H1060" s="65">
        <v>361</v>
      </c>
      <c r="I1060" s="67">
        <v>0.46552237675557701</v>
      </c>
      <c r="J1060" s="67">
        <v>4.2737735328341504</v>
      </c>
      <c r="K1060" s="65">
        <v>89</v>
      </c>
      <c r="L1060" s="65">
        <v>34</v>
      </c>
      <c r="M1060" s="66">
        <v>0.144278606965174</v>
      </c>
      <c r="N1060" s="67">
        <v>3322.44346791001</v>
      </c>
      <c r="O1060" s="67">
        <v>114.56701613482799</v>
      </c>
      <c r="P1060" s="67">
        <v>93.569997727870899</v>
      </c>
      <c r="Q1060" s="77">
        <v>2.8163006724304399E-2</v>
      </c>
    </row>
    <row r="1061" spans="1:17" x14ac:dyDescent="0.35">
      <c r="A1061" s="76" t="s">
        <v>136</v>
      </c>
      <c r="B1061" s="63">
        <v>634838</v>
      </c>
      <c r="C1061" s="63" t="s">
        <v>146</v>
      </c>
      <c r="D1061" s="64">
        <v>42595</v>
      </c>
      <c r="E1061" s="63" t="s">
        <v>138</v>
      </c>
      <c r="F1061" s="65">
        <v>61459</v>
      </c>
      <c r="G1061" s="66">
        <v>9.1762037323435408E-3</v>
      </c>
      <c r="H1061" s="65">
        <v>463</v>
      </c>
      <c r="I1061" s="67">
        <v>0.47146067224191801</v>
      </c>
      <c r="J1061" s="67">
        <v>4.3262191802794803</v>
      </c>
      <c r="K1061" s="65">
        <v>99</v>
      </c>
      <c r="L1061" s="65">
        <v>22</v>
      </c>
      <c r="M1061" s="66">
        <v>0.117977528089888</v>
      </c>
      <c r="N1061" s="67">
        <v>2088.7222033489302</v>
      </c>
      <c r="O1061" s="67">
        <v>99.462962064234901</v>
      </c>
      <c r="P1061" s="67">
        <v>83.919999659061403</v>
      </c>
      <c r="Q1061" s="77">
        <v>4.0177673950374602E-2</v>
      </c>
    </row>
    <row r="1062" spans="1:17" x14ac:dyDescent="0.35">
      <c r="A1062" s="76" t="s">
        <v>136</v>
      </c>
      <c r="B1062" s="63">
        <v>634838</v>
      </c>
      <c r="C1062" s="63" t="s">
        <v>146</v>
      </c>
      <c r="D1062" s="64">
        <v>42596</v>
      </c>
      <c r="E1062" s="63" t="s">
        <v>138</v>
      </c>
      <c r="F1062" s="65">
        <v>57369</v>
      </c>
      <c r="G1062" s="66">
        <v>9.5627741903682208E-3</v>
      </c>
      <c r="H1062" s="65">
        <v>265</v>
      </c>
      <c r="I1062" s="67">
        <v>0.49190721330568998</v>
      </c>
      <c r="J1062" s="67">
        <v>4.7039976034556004</v>
      </c>
      <c r="K1062" s="65">
        <v>8</v>
      </c>
      <c r="L1062" s="65">
        <v>18</v>
      </c>
      <c r="M1062" s="66">
        <v>9.2783505154639206E-2</v>
      </c>
      <c r="N1062" s="67">
        <v>2331.3933081576702</v>
      </c>
      <c r="O1062" s="67">
        <v>129.521850453204</v>
      </c>
      <c r="P1062" s="67">
        <v>95.429999381303801</v>
      </c>
      <c r="Q1062" s="77">
        <v>4.09326041416474E-2</v>
      </c>
    </row>
    <row r="1063" spans="1:17" x14ac:dyDescent="0.35">
      <c r="A1063" s="76" t="s">
        <v>136</v>
      </c>
      <c r="B1063" s="63">
        <v>634838</v>
      </c>
      <c r="C1063" s="63" t="s">
        <v>146</v>
      </c>
      <c r="D1063" s="64">
        <v>42597</v>
      </c>
      <c r="E1063" s="63" t="s">
        <v>138</v>
      </c>
      <c r="F1063" s="65">
        <v>45348</v>
      </c>
      <c r="G1063" s="66">
        <v>1.0347842984842599E-2</v>
      </c>
      <c r="H1063" s="65">
        <v>474</v>
      </c>
      <c r="I1063" s="67">
        <v>0.493333331925768</v>
      </c>
      <c r="J1063" s="67">
        <v>5.1049358579570896</v>
      </c>
      <c r="K1063" s="65">
        <v>76</v>
      </c>
      <c r="L1063" s="65">
        <v>25</v>
      </c>
      <c r="M1063" s="66">
        <v>0.107981220657277</v>
      </c>
      <c r="N1063" s="67">
        <v>2309.7947672084001</v>
      </c>
      <c r="O1063" s="67">
        <v>100.425859443843</v>
      </c>
      <c r="P1063" s="67">
        <v>105.07999970018901</v>
      </c>
      <c r="Q1063" s="77">
        <v>4.54932192210252E-2</v>
      </c>
    </row>
    <row r="1064" spans="1:17" x14ac:dyDescent="0.35">
      <c r="A1064" s="76" t="s">
        <v>136</v>
      </c>
      <c r="B1064" s="63">
        <v>634838</v>
      </c>
      <c r="C1064" s="63" t="s">
        <v>146</v>
      </c>
      <c r="D1064" s="64">
        <v>42598</v>
      </c>
      <c r="E1064" s="63" t="s">
        <v>138</v>
      </c>
      <c r="F1064" s="65">
        <v>29453</v>
      </c>
      <c r="G1064" s="66">
        <v>7.9597141000649803E-3</v>
      </c>
      <c r="H1064" s="65">
        <v>480</v>
      </c>
      <c r="I1064" s="67">
        <v>0.46598639334140202</v>
      </c>
      <c r="J1064" s="67">
        <v>3.7091184655179799</v>
      </c>
      <c r="K1064" s="65">
        <v>91</v>
      </c>
      <c r="L1064" s="65">
        <v>7</v>
      </c>
      <c r="M1064" s="66">
        <v>4.08163265306122E-2</v>
      </c>
      <c r="N1064" s="67">
        <v>605.27676774584302</v>
      </c>
      <c r="O1064" s="67">
        <v>100.87946129097401</v>
      </c>
      <c r="P1064" s="67">
        <v>68.499999821186094</v>
      </c>
      <c r="Q1064" s="77">
        <v>0.113171367994665</v>
      </c>
    </row>
    <row r="1065" spans="1:17" x14ac:dyDescent="0.35">
      <c r="A1065" s="76" t="s">
        <v>136</v>
      </c>
      <c r="B1065" s="63">
        <v>634838</v>
      </c>
      <c r="C1065" s="63" t="s">
        <v>146</v>
      </c>
      <c r="D1065" s="64">
        <v>42599</v>
      </c>
      <c r="E1065" s="63" t="s">
        <v>138</v>
      </c>
      <c r="F1065" s="65">
        <v>66569</v>
      </c>
      <c r="G1065" s="66">
        <v>8.92744080030391E-3</v>
      </c>
      <c r="H1065" s="65">
        <v>368</v>
      </c>
      <c r="I1065" s="67">
        <v>0.392198575938002</v>
      </c>
      <c r="J1065" s="67">
        <v>3.5013295686500099</v>
      </c>
      <c r="K1065" s="65">
        <v>51</v>
      </c>
      <c r="L1065" s="65">
        <v>13</v>
      </c>
      <c r="M1065" s="66">
        <v>9.2198581560283696E-2</v>
      </c>
      <c r="N1065" s="67">
        <v>1118.3393829998299</v>
      </c>
      <c r="O1065" s="67">
        <v>86.026106384602002</v>
      </c>
      <c r="P1065" s="67">
        <v>55.299999207258203</v>
      </c>
      <c r="Q1065" s="77">
        <v>4.94483160012857E-2</v>
      </c>
    </row>
    <row r="1066" spans="1:17" x14ac:dyDescent="0.35">
      <c r="A1066" s="76" t="s">
        <v>136</v>
      </c>
      <c r="B1066" s="63">
        <v>634838</v>
      </c>
      <c r="C1066" s="63" t="s">
        <v>146</v>
      </c>
      <c r="D1066" s="64">
        <v>42600</v>
      </c>
      <c r="E1066" s="63" t="s">
        <v>138</v>
      </c>
      <c r="F1066" s="65">
        <v>49386</v>
      </c>
      <c r="G1066" s="66">
        <v>1.1545352000530799E-2</v>
      </c>
      <c r="H1066" s="65">
        <v>293</v>
      </c>
      <c r="I1066" s="67">
        <v>0.34195402050497897</v>
      </c>
      <c r="J1066" s="67">
        <v>3.9479795347267199</v>
      </c>
      <c r="K1066" s="65">
        <v>22</v>
      </c>
      <c r="L1066" s="65">
        <v>9</v>
      </c>
      <c r="M1066" s="66">
        <v>5.1724137931034503E-2</v>
      </c>
      <c r="N1066" s="67">
        <v>581.55646260842605</v>
      </c>
      <c r="O1066" s="67">
        <v>64.617384734269507</v>
      </c>
      <c r="P1066" s="67">
        <v>59.499999567866297</v>
      </c>
      <c r="Q1066" s="77">
        <v>0.102311647094409</v>
      </c>
    </row>
    <row r="1067" spans="1:17" x14ac:dyDescent="0.35">
      <c r="A1067" s="76" t="s">
        <v>136</v>
      </c>
      <c r="B1067" s="63">
        <v>634838</v>
      </c>
      <c r="C1067" s="63" t="s">
        <v>146</v>
      </c>
      <c r="D1067" s="64">
        <v>42601</v>
      </c>
      <c r="E1067" s="63" t="s">
        <v>138</v>
      </c>
      <c r="F1067" s="65">
        <v>65554</v>
      </c>
      <c r="G1067" s="66">
        <v>8.5884988797610192E-3</v>
      </c>
      <c r="H1067" s="65">
        <v>468</v>
      </c>
      <c r="I1067" s="67">
        <v>0.34855072146308602</v>
      </c>
      <c r="J1067" s="67">
        <v>2.9935274808256098</v>
      </c>
      <c r="K1067" s="65">
        <v>74</v>
      </c>
      <c r="L1067" s="65">
        <v>19</v>
      </c>
      <c r="M1067" s="66">
        <v>0.13768115942028999</v>
      </c>
      <c r="N1067" s="67">
        <v>1458.22556681994</v>
      </c>
      <c r="O1067" s="67">
        <v>76.748714043154706</v>
      </c>
      <c r="P1067" s="67">
        <v>48.099999561905904</v>
      </c>
      <c r="Q1067" s="77">
        <v>3.2985294357992301E-2</v>
      </c>
    </row>
    <row r="1068" spans="1:17" x14ac:dyDescent="0.35">
      <c r="A1068" s="76" t="s">
        <v>136</v>
      </c>
      <c r="B1068" s="63">
        <v>634838</v>
      </c>
      <c r="C1068" s="63" t="s">
        <v>146</v>
      </c>
      <c r="D1068" s="64">
        <v>42602</v>
      </c>
      <c r="E1068" s="63" t="s">
        <v>138</v>
      </c>
      <c r="F1068" s="65">
        <v>63860</v>
      </c>
      <c r="G1068" s="66">
        <v>8.7734898334222503E-3</v>
      </c>
      <c r="H1068" s="65">
        <v>416</v>
      </c>
      <c r="I1068" s="67">
        <v>0.35513513817175002</v>
      </c>
      <c r="J1068" s="67">
        <v>3.1157745242408601</v>
      </c>
      <c r="K1068" s="65">
        <v>17</v>
      </c>
      <c r="L1068" s="65">
        <v>15</v>
      </c>
      <c r="M1068" s="66">
        <v>9.45945945945946E-2</v>
      </c>
      <c r="N1068" s="67">
        <v>2014.1403229817499</v>
      </c>
      <c r="O1068" s="67">
        <v>143.86716592726799</v>
      </c>
      <c r="P1068" s="67">
        <v>52.560000449419</v>
      </c>
      <c r="Q1068" s="77">
        <v>2.6095500819728699E-2</v>
      </c>
    </row>
    <row r="1069" spans="1:17" x14ac:dyDescent="0.35">
      <c r="A1069" s="76" t="s">
        <v>136</v>
      </c>
      <c r="B1069" s="63">
        <v>634838</v>
      </c>
      <c r="C1069" s="63" t="s">
        <v>146</v>
      </c>
      <c r="D1069" s="64">
        <v>42603</v>
      </c>
      <c r="E1069" s="63" t="s">
        <v>138</v>
      </c>
      <c r="F1069" s="65">
        <v>33659</v>
      </c>
      <c r="G1069" s="66">
        <v>8.8336960696453696E-3</v>
      </c>
      <c r="H1069" s="65">
        <v>160</v>
      </c>
      <c r="I1069" s="67">
        <v>0.36855072690092999</v>
      </c>
      <c r="J1069" s="67">
        <v>3.2556651076896901</v>
      </c>
      <c r="K1069" s="65">
        <v>52</v>
      </c>
      <c r="L1069" s="65">
        <v>17</v>
      </c>
      <c r="M1069" s="66">
        <v>0.123188405797101</v>
      </c>
      <c r="N1069" s="67">
        <v>1234.5663065087199</v>
      </c>
      <c r="O1069" s="67">
        <v>72.6215474416897</v>
      </c>
      <c r="P1069" s="67">
        <v>50.860000312328303</v>
      </c>
      <c r="Q1069" s="77">
        <v>4.1196653467853998E-2</v>
      </c>
    </row>
    <row r="1070" spans="1:17" x14ac:dyDescent="0.35">
      <c r="A1070" s="76" t="s">
        <v>136</v>
      </c>
      <c r="B1070" s="63">
        <v>634838</v>
      </c>
      <c r="C1070" s="63" t="s">
        <v>146</v>
      </c>
      <c r="D1070" s="64">
        <v>42604</v>
      </c>
      <c r="E1070" s="63" t="s">
        <v>138</v>
      </c>
      <c r="F1070" s="65">
        <v>51458</v>
      </c>
      <c r="G1070" s="66">
        <v>1.02544625902013E-2</v>
      </c>
      <c r="H1070" s="65">
        <v>468</v>
      </c>
      <c r="I1070" s="67">
        <v>0.36487653823914401</v>
      </c>
      <c r="J1070" s="67">
        <v>3.7416128114154499</v>
      </c>
      <c r="K1070" s="65">
        <v>64</v>
      </c>
      <c r="L1070" s="65">
        <v>15</v>
      </c>
      <c r="M1070" s="66">
        <v>9.2592592592592601E-2</v>
      </c>
      <c r="N1070" s="67">
        <v>1008.3203908595</v>
      </c>
      <c r="O1070" s="67">
        <v>67.221359390633296</v>
      </c>
      <c r="P1070" s="67">
        <v>59.109999194741199</v>
      </c>
      <c r="Q1070" s="77">
        <v>5.8622239251112901E-2</v>
      </c>
    </row>
    <row r="1071" spans="1:17" x14ac:dyDescent="0.35">
      <c r="A1071" s="76" t="s">
        <v>136</v>
      </c>
      <c r="B1071" s="63">
        <v>634838</v>
      </c>
      <c r="C1071" s="63" t="s">
        <v>146</v>
      </c>
      <c r="D1071" s="64">
        <v>42605</v>
      </c>
      <c r="E1071" s="63" t="s">
        <v>138</v>
      </c>
      <c r="F1071" s="65">
        <v>27865</v>
      </c>
      <c r="G1071" s="66">
        <v>8.6520285007997706E-3</v>
      </c>
      <c r="H1071" s="65">
        <v>174</v>
      </c>
      <c r="I1071" s="67">
        <v>0.38588234932482701</v>
      </c>
      <c r="J1071" s="67">
        <v>3.33866508431398</v>
      </c>
      <c r="K1071" s="65">
        <v>34</v>
      </c>
      <c r="L1071" s="65">
        <v>13</v>
      </c>
      <c r="M1071" s="66">
        <v>0.109243697478992</v>
      </c>
      <c r="N1071" s="67">
        <v>1779.18608465325</v>
      </c>
      <c r="O1071" s="67">
        <v>136.86046805025001</v>
      </c>
      <c r="P1071" s="67">
        <v>45.9199995696545</v>
      </c>
      <c r="Q1071" s="77">
        <v>2.5809554135875601E-2</v>
      </c>
    </row>
    <row r="1072" spans="1:17" x14ac:dyDescent="0.35">
      <c r="A1072" s="76" t="s">
        <v>136</v>
      </c>
      <c r="B1072" s="63">
        <v>634838</v>
      </c>
      <c r="C1072" s="63" t="s">
        <v>146</v>
      </c>
      <c r="D1072" s="64">
        <v>42606</v>
      </c>
      <c r="E1072" s="63" t="s">
        <v>138</v>
      </c>
      <c r="F1072" s="65">
        <v>50483</v>
      </c>
      <c r="G1072" s="66">
        <v>1.0390428211586899E-2</v>
      </c>
      <c r="H1072" s="65">
        <v>412</v>
      </c>
      <c r="I1072" s="67">
        <v>0.43295454476593098</v>
      </c>
      <c r="J1072" s="67">
        <v>4.4985831162706997</v>
      </c>
      <c r="K1072" s="65">
        <v>73</v>
      </c>
      <c r="L1072" s="65">
        <v>35</v>
      </c>
      <c r="M1072" s="66">
        <v>0.26515151515151503</v>
      </c>
      <c r="N1072" s="67">
        <v>3814.3645156805101</v>
      </c>
      <c r="O1072" s="67">
        <v>108.981843305157</v>
      </c>
      <c r="P1072" s="67">
        <v>57.149999909102903</v>
      </c>
      <c r="Q1072" s="77">
        <v>1.4982836505049399E-2</v>
      </c>
    </row>
    <row r="1073" spans="1:17" x14ac:dyDescent="0.35">
      <c r="A1073" s="76" t="s">
        <v>136</v>
      </c>
      <c r="B1073" s="63">
        <v>634838</v>
      </c>
      <c r="C1073" s="63" t="s">
        <v>146</v>
      </c>
      <c r="D1073" s="64">
        <v>42607</v>
      </c>
      <c r="E1073" s="63" t="s">
        <v>138</v>
      </c>
      <c r="F1073" s="65">
        <v>37351</v>
      </c>
      <c r="G1073" s="66">
        <v>9.7479247582057706E-3</v>
      </c>
      <c r="H1073" s="65">
        <v>175</v>
      </c>
      <c r="I1073" s="67">
        <v>0.402109371032566</v>
      </c>
      <c r="J1073" s="67">
        <v>3.9197318933948999</v>
      </c>
      <c r="K1073" s="65">
        <v>32</v>
      </c>
      <c r="L1073" s="65">
        <v>12</v>
      </c>
      <c r="M1073" s="66">
        <v>9.375E-2</v>
      </c>
      <c r="N1073" s="67">
        <v>700.25003784832302</v>
      </c>
      <c r="O1073" s="67">
        <v>58.3541698206935</v>
      </c>
      <c r="P1073" s="67">
        <v>51.469999492168398</v>
      </c>
      <c r="Q1073" s="77">
        <v>7.3502315901790904E-2</v>
      </c>
    </row>
    <row r="1074" spans="1:17" x14ac:dyDescent="0.35">
      <c r="A1074" s="76" t="s">
        <v>136</v>
      </c>
      <c r="B1074" s="63">
        <v>634838</v>
      </c>
      <c r="C1074" s="63" t="s">
        <v>146</v>
      </c>
      <c r="D1074" s="64">
        <v>42608</v>
      </c>
      <c r="E1074" s="63" t="s">
        <v>138</v>
      </c>
      <c r="F1074" s="65">
        <v>8086</v>
      </c>
      <c r="G1074" s="66">
        <v>8.0261975086682903E-3</v>
      </c>
      <c r="H1074" s="65">
        <v>381</v>
      </c>
      <c r="I1074" s="67">
        <v>0.390719989418983</v>
      </c>
      <c r="J1074" s="67">
        <v>3.1359958056615498</v>
      </c>
      <c r="K1074" s="65">
        <v>36</v>
      </c>
      <c r="L1074" s="65">
        <v>31</v>
      </c>
      <c r="M1074" s="66">
        <v>0.248</v>
      </c>
      <c r="N1074" s="67">
        <v>3061.3352500440601</v>
      </c>
      <c r="O1074" s="67">
        <v>98.752750001421205</v>
      </c>
      <c r="P1074" s="67">
        <v>48.839998677372897</v>
      </c>
      <c r="Q1074" s="77">
        <v>1.59538223318305E-2</v>
      </c>
    </row>
    <row r="1075" spans="1:17" x14ac:dyDescent="0.35">
      <c r="A1075" s="76" t="s">
        <v>136</v>
      </c>
      <c r="B1075" s="63">
        <v>634838</v>
      </c>
      <c r="C1075" s="63" t="s">
        <v>146</v>
      </c>
      <c r="D1075" s="64">
        <v>42609</v>
      </c>
      <c r="E1075" s="63" t="s">
        <v>138</v>
      </c>
      <c r="F1075" s="65">
        <v>35267</v>
      </c>
      <c r="G1075" s="66">
        <v>9.3128263016791293E-3</v>
      </c>
      <c r="H1075" s="65">
        <v>358</v>
      </c>
      <c r="I1075" s="67">
        <v>0.40765151629845298</v>
      </c>
      <c r="J1075" s="67">
        <v>3.7963877629036098</v>
      </c>
      <c r="K1075" s="65">
        <v>68</v>
      </c>
      <c r="L1075" s="65">
        <v>18</v>
      </c>
      <c r="M1075" s="66">
        <v>0.13636363636363599</v>
      </c>
      <c r="N1075" s="67">
        <v>1869.63270976433</v>
      </c>
      <c r="O1075" s="67">
        <v>103.868483875796</v>
      </c>
      <c r="P1075" s="67">
        <v>53.810000151395798</v>
      </c>
      <c r="Q1075" s="77">
        <v>2.8781054091730499E-2</v>
      </c>
    </row>
    <row r="1076" spans="1:17" x14ac:dyDescent="0.35">
      <c r="A1076" s="76" t="s">
        <v>136</v>
      </c>
      <c r="B1076" s="63">
        <v>634838</v>
      </c>
      <c r="C1076" s="63" t="s">
        <v>146</v>
      </c>
      <c r="D1076" s="64">
        <v>42610</v>
      </c>
      <c r="E1076" s="63" t="s">
        <v>138</v>
      </c>
      <c r="F1076" s="65">
        <v>58574</v>
      </c>
      <c r="G1076" s="66">
        <v>9.4261512005604699E-3</v>
      </c>
      <c r="H1076" s="65">
        <v>370</v>
      </c>
      <c r="I1076" s="67">
        <v>0.46398649002249198</v>
      </c>
      <c r="J1076" s="67">
        <v>4.3736068099693499</v>
      </c>
      <c r="K1076" s="65">
        <v>71</v>
      </c>
      <c r="L1076" s="65">
        <v>16</v>
      </c>
      <c r="M1076" s="66">
        <v>0.101351351351351</v>
      </c>
      <c r="N1076" s="67">
        <v>1197.0598102746501</v>
      </c>
      <c r="O1076" s="67">
        <v>79.803987351643599</v>
      </c>
      <c r="P1076" s="67">
        <v>68.670000523328795</v>
      </c>
      <c r="Q1076" s="77">
        <v>5.7365555115891101E-2</v>
      </c>
    </row>
    <row r="1077" spans="1:17" x14ac:dyDescent="0.35">
      <c r="A1077" s="76" t="s">
        <v>136</v>
      </c>
      <c r="B1077" s="63">
        <v>634838</v>
      </c>
      <c r="C1077" s="63" t="s">
        <v>146</v>
      </c>
      <c r="D1077" s="64">
        <v>42611</v>
      </c>
      <c r="E1077" s="63" t="s">
        <v>138</v>
      </c>
      <c r="F1077" s="65">
        <v>47700</v>
      </c>
      <c r="G1077" s="66">
        <v>1.01022395326193E-2</v>
      </c>
      <c r="H1077" s="65">
        <v>372</v>
      </c>
      <c r="I1077" s="67">
        <v>0.45427710823265899</v>
      </c>
      <c r="J1077" s="67">
        <v>4.5892161615519296</v>
      </c>
      <c r="K1077" s="65">
        <v>72</v>
      </c>
      <c r="L1077" s="65">
        <v>26</v>
      </c>
      <c r="M1077" s="66">
        <v>0.15060240963855401</v>
      </c>
      <c r="N1077" s="67">
        <v>2032.4039689465501</v>
      </c>
      <c r="O1077" s="67">
        <v>81.296158757861804</v>
      </c>
      <c r="P1077" s="67">
        <v>75.409999966621399</v>
      </c>
      <c r="Q1077" s="77">
        <v>3.71038440776656E-2</v>
      </c>
    </row>
    <row r="1078" spans="1:17" x14ac:dyDescent="0.35">
      <c r="A1078" s="76" t="s">
        <v>136</v>
      </c>
      <c r="B1078" s="63">
        <v>634838</v>
      </c>
      <c r="C1078" s="63" t="s">
        <v>146</v>
      </c>
      <c r="D1078" s="64">
        <v>42612</v>
      </c>
      <c r="E1078" s="63" t="s">
        <v>138</v>
      </c>
      <c r="F1078" s="65">
        <v>61536</v>
      </c>
      <c r="G1078" s="66">
        <v>9.0090090090090107E-3</v>
      </c>
      <c r="H1078" s="65">
        <v>588</v>
      </c>
      <c r="I1078" s="67">
        <v>0.46525974794254699</v>
      </c>
      <c r="J1078" s="67">
        <v>4.1915292607436596</v>
      </c>
      <c r="K1078" s="65">
        <v>32</v>
      </c>
      <c r="L1078" s="65">
        <v>15</v>
      </c>
      <c r="M1078" s="66">
        <v>9.7402597402597393E-2</v>
      </c>
      <c r="N1078" s="67">
        <v>1470.4259450445099</v>
      </c>
      <c r="O1078" s="67">
        <v>98.028396336300602</v>
      </c>
      <c r="P1078" s="67">
        <v>71.650001183152199</v>
      </c>
      <c r="Q1078" s="77">
        <v>4.87273782298389E-2</v>
      </c>
    </row>
    <row r="1079" spans="1:17" x14ac:dyDescent="0.35">
      <c r="A1079" s="76" t="s">
        <v>136</v>
      </c>
      <c r="B1079" s="63">
        <v>634838</v>
      </c>
      <c r="C1079" s="63" t="s">
        <v>146</v>
      </c>
      <c r="D1079" s="64">
        <v>42613</v>
      </c>
      <c r="E1079" s="63" t="s">
        <v>138</v>
      </c>
      <c r="F1079" s="65">
        <v>66590</v>
      </c>
      <c r="G1079" s="66">
        <v>8.3337756781145505E-3</v>
      </c>
      <c r="H1079" s="65">
        <v>217</v>
      </c>
      <c r="I1079" s="67">
        <v>0.43745222811106699</v>
      </c>
      <c r="J1079" s="67">
        <v>3.6456287389690298</v>
      </c>
      <c r="K1079" s="65">
        <v>79</v>
      </c>
      <c r="L1079" s="65">
        <v>22</v>
      </c>
      <c r="M1079" s="66">
        <v>0.14012738853503201</v>
      </c>
      <c r="N1079" s="67">
        <v>3039.1015840370201</v>
      </c>
      <c r="O1079" s="67">
        <v>138.140981092592</v>
      </c>
      <c r="P1079" s="67">
        <v>68.679999813437504</v>
      </c>
      <c r="Q1079" s="77">
        <v>2.25987838557886E-2</v>
      </c>
    </row>
    <row r="1080" spans="1:17" x14ac:dyDescent="0.35">
      <c r="A1080" s="76" t="s">
        <v>136</v>
      </c>
      <c r="B1080" s="63">
        <v>634838</v>
      </c>
      <c r="C1080" s="63" t="s">
        <v>146</v>
      </c>
      <c r="D1080" s="64">
        <v>42614</v>
      </c>
      <c r="E1080" s="63" t="s">
        <v>138</v>
      </c>
      <c r="F1080" s="65">
        <v>17335</v>
      </c>
      <c r="G1080" s="66">
        <v>9.5828275729891998E-3</v>
      </c>
      <c r="H1080" s="65">
        <v>437</v>
      </c>
      <c r="I1080" s="67">
        <v>0.48226666569709797</v>
      </c>
      <c r="J1080" s="67">
        <v>4.6214783015757197</v>
      </c>
      <c r="K1080" s="65">
        <v>55</v>
      </c>
      <c r="L1080" s="65">
        <v>18</v>
      </c>
      <c r="M1080" s="66">
        <v>0.11333333333333299</v>
      </c>
      <c r="N1080" s="67">
        <v>1739.1304415110601</v>
      </c>
      <c r="O1080" s="67">
        <v>102.30179067712101</v>
      </c>
      <c r="P1080" s="67">
        <v>72.339999854564695</v>
      </c>
      <c r="Q1080" s="77">
        <v>4.1595499755447497E-2</v>
      </c>
    </row>
    <row r="1081" spans="1:17" x14ac:dyDescent="0.35">
      <c r="A1081" s="76" t="s">
        <v>136</v>
      </c>
      <c r="B1081" s="63">
        <v>634838</v>
      </c>
      <c r="C1081" s="63" t="s">
        <v>146</v>
      </c>
      <c r="D1081" s="64">
        <v>42615</v>
      </c>
      <c r="E1081" s="63" t="s">
        <v>138</v>
      </c>
      <c r="F1081" s="65">
        <v>27831</v>
      </c>
      <c r="G1081" s="66">
        <v>1.0364612252452301E-2</v>
      </c>
      <c r="H1081" s="65">
        <v>269</v>
      </c>
      <c r="I1081" s="67">
        <v>0.45357142637173298</v>
      </c>
      <c r="J1081" s="67">
        <v>4.7010919631347496</v>
      </c>
      <c r="K1081" s="65">
        <v>17</v>
      </c>
      <c r="L1081" s="65">
        <v>33</v>
      </c>
      <c r="M1081" s="66">
        <v>0.18452380952381001</v>
      </c>
      <c r="N1081" s="67">
        <v>2675.7650428352799</v>
      </c>
      <c r="O1081" s="67">
        <v>86.315001381783205</v>
      </c>
      <c r="P1081" s="67">
        <v>76.199999630451202</v>
      </c>
      <c r="Q1081" s="77">
        <v>2.8477836585273801E-2</v>
      </c>
    </row>
    <row r="1082" spans="1:17" x14ac:dyDescent="0.35">
      <c r="A1082" s="76" t="s">
        <v>136</v>
      </c>
      <c r="B1082" s="63">
        <v>634838</v>
      </c>
      <c r="C1082" s="63" t="s">
        <v>146</v>
      </c>
      <c r="D1082" s="64">
        <v>42616</v>
      </c>
      <c r="E1082" s="63" t="s">
        <v>138</v>
      </c>
      <c r="F1082" s="65">
        <v>23761</v>
      </c>
      <c r="G1082" s="66">
        <v>9.4280719280719297E-3</v>
      </c>
      <c r="H1082" s="65">
        <v>564</v>
      </c>
      <c r="I1082" s="67">
        <v>0.41754966105846397</v>
      </c>
      <c r="J1082" s="67">
        <v>3.93668823800125</v>
      </c>
      <c r="K1082" s="65">
        <v>68</v>
      </c>
      <c r="L1082" s="65">
        <v>12</v>
      </c>
      <c r="M1082" s="66">
        <v>7.9470198675496706E-2</v>
      </c>
      <c r="N1082" s="67">
        <v>1689.0378229222099</v>
      </c>
      <c r="O1082" s="67">
        <v>140.75315191018501</v>
      </c>
      <c r="P1082" s="67">
        <v>63.049998819827998</v>
      </c>
      <c r="Q1082" s="77">
        <v>3.73289443043643E-2</v>
      </c>
    </row>
    <row r="1083" spans="1:17" x14ac:dyDescent="0.35">
      <c r="A1083" s="76" t="s">
        <v>136</v>
      </c>
      <c r="B1083" s="63">
        <v>634838</v>
      </c>
      <c r="C1083" s="63" t="s">
        <v>146</v>
      </c>
      <c r="D1083" s="64">
        <v>42617</v>
      </c>
      <c r="E1083" s="63" t="s">
        <v>138</v>
      </c>
      <c r="F1083" s="65">
        <v>16548</v>
      </c>
      <c r="G1083" s="66">
        <v>8.6069681070565403E-3</v>
      </c>
      <c r="H1083" s="65">
        <v>291</v>
      </c>
      <c r="I1083" s="67">
        <v>0.41636986316066898</v>
      </c>
      <c r="J1083" s="67">
        <v>3.5836821329633701</v>
      </c>
      <c r="K1083" s="65">
        <v>73</v>
      </c>
      <c r="L1083" s="65">
        <v>23</v>
      </c>
      <c r="M1083" s="66">
        <v>0.15753424657534201</v>
      </c>
      <c r="N1083" s="67">
        <v>2137.84283016375</v>
      </c>
      <c r="O1083" s="67">
        <v>92.949688267989302</v>
      </c>
      <c r="P1083" s="67">
        <v>60.790000021457701</v>
      </c>
      <c r="Q1083" s="77">
        <v>2.8435205415358499E-2</v>
      </c>
    </row>
    <row r="1084" spans="1:17" x14ac:dyDescent="0.35">
      <c r="A1084" s="76" t="s">
        <v>136</v>
      </c>
      <c r="B1084" s="63">
        <v>634838</v>
      </c>
      <c r="C1084" s="63" t="s">
        <v>146</v>
      </c>
      <c r="D1084" s="64">
        <v>42618</v>
      </c>
      <c r="E1084" s="63" t="s">
        <v>138</v>
      </c>
      <c r="F1084" s="65">
        <v>20762</v>
      </c>
      <c r="G1084" s="66">
        <v>1.0150600411331499E-2</v>
      </c>
      <c r="H1084" s="65">
        <v>383</v>
      </c>
      <c r="I1084" s="67">
        <v>0.42124182482560502</v>
      </c>
      <c r="J1084" s="67">
        <v>4.2758574403448204</v>
      </c>
      <c r="K1084" s="65">
        <v>91</v>
      </c>
      <c r="L1084" s="65">
        <v>23</v>
      </c>
      <c r="M1084" s="66">
        <v>0.14379084967320299</v>
      </c>
      <c r="N1084" s="67">
        <v>2445.3655753946</v>
      </c>
      <c r="O1084" s="67">
        <v>111.15298069975501</v>
      </c>
      <c r="P1084" s="67">
        <v>64.449999198317499</v>
      </c>
      <c r="Q1084" s="77">
        <v>2.6355977137658599E-2</v>
      </c>
    </row>
    <row r="1085" spans="1:17" x14ac:dyDescent="0.35">
      <c r="A1085" s="76" t="s">
        <v>136</v>
      </c>
      <c r="B1085" s="63">
        <v>634838</v>
      </c>
      <c r="C1085" s="63" t="s">
        <v>146</v>
      </c>
      <c r="D1085" s="64">
        <v>42619</v>
      </c>
      <c r="E1085" s="63" t="s">
        <v>138</v>
      </c>
      <c r="F1085" s="65">
        <v>6733</v>
      </c>
      <c r="G1085" s="66">
        <v>9.8050139275766002E-3</v>
      </c>
      <c r="H1085" s="65">
        <v>252</v>
      </c>
      <c r="I1085" s="67">
        <v>0.49534090489826399</v>
      </c>
      <c r="J1085" s="67">
        <v>4.8568244714258801</v>
      </c>
      <c r="K1085" s="65">
        <v>65</v>
      </c>
      <c r="L1085" s="65">
        <v>18</v>
      </c>
      <c r="M1085" s="66">
        <v>9.6590909090909102E-2</v>
      </c>
      <c r="N1085" s="67">
        <v>2019.7548459621</v>
      </c>
      <c r="O1085" s="67">
        <v>118.809108586006</v>
      </c>
      <c r="P1085" s="67">
        <v>87.179999262094498</v>
      </c>
      <c r="Q1085" s="77">
        <v>4.31636539634426E-2</v>
      </c>
    </row>
    <row r="1086" spans="1:17" x14ac:dyDescent="0.35">
      <c r="A1086" s="76" t="s">
        <v>136</v>
      </c>
      <c r="B1086" s="63">
        <v>634838</v>
      </c>
      <c r="C1086" s="63" t="s">
        <v>146</v>
      </c>
      <c r="D1086" s="64">
        <v>42620</v>
      </c>
      <c r="E1086" s="63" t="s">
        <v>138</v>
      </c>
      <c r="F1086" s="65">
        <v>54386</v>
      </c>
      <c r="G1086" s="66">
        <v>8.1865100551699599E-3</v>
      </c>
      <c r="H1086" s="65">
        <v>334</v>
      </c>
      <c r="I1086" s="67">
        <v>0.49847826124101402</v>
      </c>
      <c r="J1086" s="67">
        <v>4.0807972979332003</v>
      </c>
      <c r="K1086" s="65">
        <v>61</v>
      </c>
      <c r="L1086" s="65">
        <v>24</v>
      </c>
      <c r="M1086" s="66">
        <v>0.15942028985507201</v>
      </c>
      <c r="N1086" s="67">
        <v>2094.4968749316399</v>
      </c>
      <c r="O1086" s="67">
        <v>95.204403405983598</v>
      </c>
      <c r="P1086" s="67">
        <v>68.790000051259995</v>
      </c>
      <c r="Q1086" s="77">
        <v>3.2843209686577002E-2</v>
      </c>
    </row>
    <row r="1087" spans="1:17" x14ac:dyDescent="0.35">
      <c r="A1087" s="76" t="s">
        <v>136</v>
      </c>
      <c r="B1087" s="63">
        <v>634838</v>
      </c>
      <c r="C1087" s="63" t="s">
        <v>146</v>
      </c>
      <c r="D1087" s="64">
        <v>42621</v>
      </c>
      <c r="E1087" s="63" t="s">
        <v>138</v>
      </c>
      <c r="F1087" s="65">
        <v>65441</v>
      </c>
      <c r="G1087" s="66">
        <v>9.3169877408055997E-3</v>
      </c>
      <c r="H1087" s="65">
        <v>576</v>
      </c>
      <c r="I1087" s="67">
        <v>0.51571427845865303</v>
      </c>
      <c r="J1087" s="67">
        <v>4.8049036101576696</v>
      </c>
      <c r="K1087" s="65">
        <v>12</v>
      </c>
      <c r="L1087" s="65">
        <v>15</v>
      </c>
      <c r="M1087" s="66">
        <v>9.7744360902255606E-2</v>
      </c>
      <c r="N1087" s="67">
        <v>1415.3364682620199</v>
      </c>
      <c r="O1087" s="67">
        <v>108.87203602015499</v>
      </c>
      <c r="P1087" s="67">
        <v>68.589999035000801</v>
      </c>
      <c r="Q1087" s="77">
        <v>4.8461973935587703E-2</v>
      </c>
    </row>
    <row r="1088" spans="1:17" x14ac:dyDescent="0.35">
      <c r="A1088" s="76" t="s">
        <v>136</v>
      </c>
      <c r="B1088" s="63">
        <v>634838</v>
      </c>
      <c r="C1088" s="63" t="s">
        <v>146</v>
      </c>
      <c r="D1088" s="64">
        <v>42622</v>
      </c>
      <c r="E1088" s="63" t="s">
        <v>138</v>
      </c>
      <c r="F1088" s="65">
        <v>16652</v>
      </c>
      <c r="G1088" s="66">
        <v>7.7403245942571797E-3</v>
      </c>
      <c r="H1088" s="65">
        <v>202</v>
      </c>
      <c r="I1088" s="67">
        <v>0.50749999849546301</v>
      </c>
      <c r="J1088" s="67">
        <v>3.9282147199399202</v>
      </c>
      <c r="K1088" s="65">
        <v>97</v>
      </c>
      <c r="L1088" s="65">
        <v>29</v>
      </c>
      <c r="M1088" s="66">
        <v>0.233870967741935</v>
      </c>
      <c r="N1088" s="67">
        <v>3144.7217527316002</v>
      </c>
      <c r="O1088" s="67">
        <v>108.438681128676</v>
      </c>
      <c r="P1088" s="67">
        <v>62.929999813437497</v>
      </c>
      <c r="Q1088" s="77">
        <v>2.00113093499527E-2</v>
      </c>
    </row>
    <row r="1089" spans="1:17" x14ac:dyDescent="0.35">
      <c r="A1089" s="76" t="s">
        <v>136</v>
      </c>
      <c r="B1089" s="63">
        <v>634838</v>
      </c>
      <c r="C1089" s="63" t="s">
        <v>146</v>
      </c>
      <c r="D1089" s="64">
        <v>42623</v>
      </c>
      <c r="E1089" s="63" t="s">
        <v>138</v>
      </c>
      <c r="F1089" s="65">
        <v>29824</v>
      </c>
      <c r="G1089" s="66">
        <v>1.0568951332194199E-2</v>
      </c>
      <c r="H1089" s="65">
        <v>501</v>
      </c>
      <c r="I1089" s="67">
        <v>0.493173651084928</v>
      </c>
      <c r="J1089" s="67">
        <v>5.2123283166371097</v>
      </c>
      <c r="K1089" s="65">
        <v>86</v>
      </c>
      <c r="L1089" s="65">
        <v>15</v>
      </c>
      <c r="M1089" s="66">
        <v>8.9820359281437098E-2</v>
      </c>
      <c r="N1089" s="67">
        <v>1604.1538061230599</v>
      </c>
      <c r="O1089" s="67">
        <v>106.943587074871</v>
      </c>
      <c r="P1089" s="67">
        <v>82.359999731183095</v>
      </c>
      <c r="Q1089" s="77">
        <v>5.1341710138276403E-2</v>
      </c>
    </row>
    <row r="1090" spans="1:17" x14ac:dyDescent="0.35">
      <c r="A1090" s="76" t="s">
        <v>136</v>
      </c>
      <c r="B1090" s="63">
        <v>634838</v>
      </c>
      <c r="C1090" s="63" t="s">
        <v>146</v>
      </c>
      <c r="D1090" s="64">
        <v>42624</v>
      </c>
      <c r="E1090" s="63" t="s">
        <v>138</v>
      </c>
      <c r="F1090" s="65">
        <v>3853</v>
      </c>
      <c r="G1090" s="66">
        <v>8.6354913645086406E-3</v>
      </c>
      <c r="H1090" s="65">
        <v>433</v>
      </c>
      <c r="I1090" s="67">
        <v>0.67304093970192802</v>
      </c>
      <c r="J1090" s="67">
        <v>5.8120392227567796</v>
      </c>
      <c r="K1090" s="65">
        <v>16</v>
      </c>
      <c r="L1090" s="65">
        <v>21</v>
      </c>
      <c r="M1090" s="66">
        <v>0.12280701754386</v>
      </c>
      <c r="N1090" s="67">
        <v>1802.3802214529201</v>
      </c>
      <c r="O1090" s="67">
        <v>85.827629592996303</v>
      </c>
      <c r="P1090" s="67">
        <v>115.09000068903001</v>
      </c>
      <c r="Q1090" s="77">
        <v>6.3854451640761006E-2</v>
      </c>
    </row>
    <row r="1091" spans="1:17" x14ac:dyDescent="0.35">
      <c r="A1091" s="76" t="s">
        <v>136</v>
      </c>
      <c r="B1091" s="63">
        <v>634838</v>
      </c>
      <c r="C1091" s="63" t="s">
        <v>146</v>
      </c>
      <c r="D1091" s="64">
        <v>42625</v>
      </c>
      <c r="E1091" s="63" t="s">
        <v>138</v>
      </c>
      <c r="F1091" s="65">
        <v>22522</v>
      </c>
      <c r="G1091" s="66">
        <v>9.9809108262885193E-3</v>
      </c>
      <c r="H1091" s="65">
        <v>420</v>
      </c>
      <c r="I1091" s="67">
        <v>0.66808742284774802</v>
      </c>
      <c r="J1091" s="67">
        <v>6.66812099160828</v>
      </c>
      <c r="K1091" s="65">
        <v>85</v>
      </c>
      <c r="L1091" s="65">
        <v>18</v>
      </c>
      <c r="M1091" s="66">
        <v>9.8360655737704902E-2</v>
      </c>
      <c r="N1091" s="67">
        <v>2282.6528107639501</v>
      </c>
      <c r="O1091" s="67">
        <v>126.814045042442</v>
      </c>
      <c r="P1091" s="67">
        <v>122.259998381138</v>
      </c>
      <c r="Q1091" s="77">
        <v>5.3560487957089002E-2</v>
      </c>
    </row>
    <row r="1092" spans="1:17" x14ac:dyDescent="0.35">
      <c r="A1092" s="76" t="s">
        <v>136</v>
      </c>
      <c r="B1092" s="63">
        <v>634838</v>
      </c>
      <c r="C1092" s="63" t="s">
        <v>146</v>
      </c>
      <c r="D1092" s="64">
        <v>42626</v>
      </c>
      <c r="E1092" s="63" t="s">
        <v>138</v>
      </c>
      <c r="F1092" s="65">
        <v>21650</v>
      </c>
      <c r="G1092" s="66">
        <v>8.7757079788952294E-3</v>
      </c>
      <c r="H1092" s="65">
        <v>407</v>
      </c>
      <c r="I1092" s="67">
        <v>0.67453988006144205</v>
      </c>
      <c r="J1092" s="67">
        <v>5.91956500753823</v>
      </c>
      <c r="K1092" s="65">
        <v>70</v>
      </c>
      <c r="L1092" s="65">
        <v>10</v>
      </c>
      <c r="M1092" s="66">
        <v>5.5214723926380403E-2</v>
      </c>
      <c r="N1092" s="67">
        <v>710.86515498461995</v>
      </c>
      <c r="O1092" s="67">
        <v>78.985017220513299</v>
      </c>
      <c r="P1092" s="67">
        <v>109.950000450015</v>
      </c>
      <c r="Q1092" s="77">
        <v>0.15467068498018299</v>
      </c>
    </row>
    <row r="1093" spans="1:17" x14ac:dyDescent="0.35">
      <c r="A1093" s="76" t="s">
        <v>136</v>
      </c>
      <c r="B1093" s="63">
        <v>634838</v>
      </c>
      <c r="C1093" s="63" t="s">
        <v>146</v>
      </c>
      <c r="D1093" s="64">
        <v>42627</v>
      </c>
      <c r="E1093" s="63" t="s">
        <v>138</v>
      </c>
      <c r="F1093" s="65">
        <v>4163</v>
      </c>
      <c r="G1093" s="66">
        <v>8.5617422283514304E-3</v>
      </c>
      <c r="H1093" s="65">
        <v>163</v>
      </c>
      <c r="I1093" s="67">
        <v>0.68899328116602498</v>
      </c>
      <c r="J1093" s="67">
        <v>5.8989828704095704</v>
      </c>
      <c r="K1093" s="65">
        <v>17</v>
      </c>
      <c r="L1093" s="65">
        <v>26</v>
      </c>
      <c r="M1093" s="66">
        <v>0.16778523489932901</v>
      </c>
      <c r="N1093" s="67">
        <v>2314.1370356655898</v>
      </c>
      <c r="O1093" s="67">
        <v>92.565481426623506</v>
      </c>
      <c r="P1093" s="67">
        <v>102.65999889373801</v>
      </c>
      <c r="Q1093" s="77">
        <v>4.4362108773826701E-2</v>
      </c>
    </row>
    <row r="1094" spans="1:17" x14ac:dyDescent="0.35">
      <c r="A1094" s="76" t="s">
        <v>136</v>
      </c>
      <c r="B1094" s="63">
        <v>634838</v>
      </c>
      <c r="C1094" s="63" t="s">
        <v>146</v>
      </c>
      <c r="D1094" s="64">
        <v>42628</v>
      </c>
      <c r="E1094" s="63" t="s">
        <v>138</v>
      </c>
      <c r="F1094" s="65">
        <v>26674</v>
      </c>
      <c r="G1094" s="66">
        <v>8.7470591783796806E-3</v>
      </c>
      <c r="H1094" s="65">
        <v>208</v>
      </c>
      <c r="I1094" s="67">
        <v>0.70579309247691102</v>
      </c>
      <c r="J1094" s="67">
        <v>6.1736139475871399</v>
      </c>
      <c r="K1094" s="65">
        <v>42</v>
      </c>
      <c r="L1094" s="65">
        <v>21</v>
      </c>
      <c r="M1094" s="66">
        <v>0.13793103448275901</v>
      </c>
      <c r="N1094" s="67">
        <v>1719.2873907253199</v>
      </c>
      <c r="O1094" s="67">
        <v>85.964369536266204</v>
      </c>
      <c r="P1094" s="67">
        <v>102.339998409152</v>
      </c>
      <c r="Q1094" s="77">
        <v>5.9524660601376997E-2</v>
      </c>
    </row>
    <row r="1095" spans="1:17" x14ac:dyDescent="0.35">
      <c r="A1095" s="76" t="s">
        <v>136</v>
      </c>
      <c r="B1095" s="63">
        <v>634838</v>
      </c>
      <c r="C1095" s="63" t="s">
        <v>146</v>
      </c>
      <c r="D1095" s="64">
        <v>42629</v>
      </c>
      <c r="E1095" s="63" t="s">
        <v>138</v>
      </c>
      <c r="F1095" s="65">
        <v>7580</v>
      </c>
      <c r="G1095" s="66">
        <v>9.8972211648267992E-3</v>
      </c>
      <c r="H1095" s="65">
        <v>168</v>
      </c>
      <c r="I1095" s="67">
        <v>0.68489010632038105</v>
      </c>
      <c r="J1095" s="67">
        <v>6.7785088558545503</v>
      </c>
      <c r="K1095" s="65">
        <v>98</v>
      </c>
      <c r="L1095" s="65">
        <v>46</v>
      </c>
      <c r="M1095" s="66">
        <v>0.24175824175824201</v>
      </c>
      <c r="N1095" s="67">
        <v>4296.3224399740602</v>
      </c>
      <c r="O1095" s="67">
        <v>97.643691817592199</v>
      </c>
      <c r="P1095" s="67">
        <v>124.649999350309</v>
      </c>
      <c r="Q1095" s="77">
        <v>2.9013185367684401E-2</v>
      </c>
    </row>
    <row r="1096" spans="1:17" x14ac:dyDescent="0.35">
      <c r="A1096" s="76" t="s">
        <v>136</v>
      </c>
      <c r="B1096" s="63">
        <v>634838</v>
      </c>
      <c r="C1096" s="63" t="s">
        <v>146</v>
      </c>
      <c r="D1096" s="64">
        <v>42630</v>
      </c>
      <c r="E1096" s="63" t="s">
        <v>138</v>
      </c>
      <c r="F1096" s="65">
        <v>16474</v>
      </c>
      <c r="G1096" s="66">
        <v>1.1055912721605299E-2</v>
      </c>
      <c r="H1096" s="65">
        <v>259</v>
      </c>
      <c r="I1096" s="67">
        <v>0.73422907463516995</v>
      </c>
      <c r="J1096" s="67">
        <v>8.1175725668314591</v>
      </c>
      <c r="K1096" s="65">
        <v>25</v>
      </c>
      <c r="L1096" s="65">
        <v>15</v>
      </c>
      <c r="M1096" s="66">
        <v>6.6079295154184994E-2</v>
      </c>
      <c r="N1096" s="67">
        <v>1433.41565050138</v>
      </c>
      <c r="O1096" s="67">
        <v>95.561043366758696</v>
      </c>
      <c r="P1096" s="67">
        <v>166.66999994218301</v>
      </c>
      <c r="Q1096" s="77">
        <v>0.116274717583756</v>
      </c>
    </row>
    <row r="1097" spans="1:17" x14ac:dyDescent="0.35">
      <c r="A1097" s="76" t="s">
        <v>136</v>
      </c>
      <c r="B1097" s="63">
        <v>634838</v>
      </c>
      <c r="C1097" s="63" t="s">
        <v>146</v>
      </c>
      <c r="D1097" s="64">
        <v>42631</v>
      </c>
      <c r="E1097" s="63" t="s">
        <v>138</v>
      </c>
      <c r="F1097" s="65">
        <v>67191</v>
      </c>
      <c r="G1097" s="66">
        <v>9.9554624050301292E-3</v>
      </c>
      <c r="H1097" s="65">
        <v>232</v>
      </c>
      <c r="I1097" s="67">
        <v>0.762719309447627</v>
      </c>
      <c r="J1097" s="67">
        <v>7.5932234107963996</v>
      </c>
      <c r="K1097" s="65">
        <v>33</v>
      </c>
      <c r="L1097" s="65">
        <v>14</v>
      </c>
      <c r="M1097" s="66">
        <v>5.7017543859649099E-2</v>
      </c>
      <c r="N1097" s="67">
        <v>1206.3674058787201</v>
      </c>
      <c r="O1097" s="67">
        <v>92.797492759901402</v>
      </c>
      <c r="P1097" s="67">
        <v>173.900002554059</v>
      </c>
      <c r="Q1097" s="77">
        <v>0.144151774746757</v>
      </c>
    </row>
    <row r="1098" spans="1:17" x14ac:dyDescent="0.35">
      <c r="A1098" s="76" t="s">
        <v>136</v>
      </c>
      <c r="B1098" s="63">
        <v>634838</v>
      </c>
      <c r="C1098" s="63" t="s">
        <v>146</v>
      </c>
      <c r="D1098" s="64">
        <v>42632</v>
      </c>
      <c r="E1098" s="63" t="s">
        <v>138</v>
      </c>
      <c r="F1098" s="65">
        <v>25279</v>
      </c>
      <c r="G1098" s="66">
        <v>1.08811040339703E-2</v>
      </c>
      <c r="H1098" s="65">
        <v>331</v>
      </c>
      <c r="I1098" s="67">
        <v>0.78109756996476598</v>
      </c>
      <c r="J1098" s="67">
        <v>8.4992039194679894</v>
      </c>
      <c r="K1098" s="65">
        <v>13</v>
      </c>
      <c r="L1098" s="65">
        <v>9</v>
      </c>
      <c r="M1098" s="66">
        <v>3.65853658536585E-2</v>
      </c>
      <c r="N1098" s="67">
        <v>698.16562778073603</v>
      </c>
      <c r="O1098" s="67">
        <v>77.573958642304007</v>
      </c>
      <c r="P1098" s="67">
        <v>192.15000221133201</v>
      </c>
      <c r="Q1098" s="77">
        <v>0.27522122912599001</v>
      </c>
    </row>
    <row r="1099" spans="1:17" x14ac:dyDescent="0.35">
      <c r="A1099" s="76" t="s">
        <v>136</v>
      </c>
      <c r="B1099" s="63">
        <v>634838</v>
      </c>
      <c r="C1099" s="63" t="s">
        <v>146</v>
      </c>
      <c r="D1099" s="64">
        <v>42633</v>
      </c>
      <c r="E1099" s="63" t="s">
        <v>138</v>
      </c>
      <c r="F1099" s="65">
        <v>34064</v>
      </c>
      <c r="G1099" s="66">
        <v>9.6833044861299507E-3</v>
      </c>
      <c r="H1099" s="65">
        <v>393</v>
      </c>
      <c r="I1099" s="67">
        <v>0.73410628109738496</v>
      </c>
      <c r="J1099" s="67">
        <v>7.1085746450464802</v>
      </c>
      <c r="K1099" s="65">
        <v>12</v>
      </c>
      <c r="L1099" s="65">
        <v>28</v>
      </c>
      <c r="M1099" s="66">
        <v>0.13043478260869601</v>
      </c>
      <c r="N1099" s="67">
        <v>3248.8755299223099</v>
      </c>
      <c r="O1099" s="67">
        <v>120.328723330456</v>
      </c>
      <c r="P1099" s="67">
        <v>151.96000018715901</v>
      </c>
      <c r="Q1099" s="77">
        <v>4.6773106198621399E-2</v>
      </c>
    </row>
    <row r="1100" spans="1:17" x14ac:dyDescent="0.35">
      <c r="A1100" s="76" t="s">
        <v>136</v>
      </c>
      <c r="B1100" s="63">
        <v>634838</v>
      </c>
      <c r="C1100" s="63" t="s">
        <v>146</v>
      </c>
      <c r="D1100" s="64">
        <v>42634</v>
      </c>
      <c r="E1100" s="63" t="s">
        <v>138</v>
      </c>
      <c r="F1100" s="65">
        <v>66338</v>
      </c>
      <c r="G1100" s="66">
        <v>9.41880189268815E-3</v>
      </c>
      <c r="H1100" s="65">
        <v>455</v>
      </c>
      <c r="I1100" s="67">
        <v>0.77104266489286599</v>
      </c>
      <c r="J1100" s="67">
        <v>7.2622981114362402</v>
      </c>
      <c r="K1100" s="65">
        <v>81</v>
      </c>
      <c r="L1100" s="65">
        <v>17</v>
      </c>
      <c r="M1100" s="66">
        <v>8.0568720379146905E-2</v>
      </c>
      <c r="N1100" s="67">
        <v>2090.1755107459398</v>
      </c>
      <c r="O1100" s="67">
        <v>122.951500632114</v>
      </c>
      <c r="P1100" s="67">
        <v>162.69000229239501</v>
      </c>
      <c r="Q1100" s="77">
        <v>7.7835570006431501E-2</v>
      </c>
    </row>
    <row r="1101" spans="1:17" x14ac:dyDescent="0.35">
      <c r="A1101" s="76" t="s">
        <v>136</v>
      </c>
      <c r="B1101" s="63">
        <v>634838</v>
      </c>
      <c r="C1101" s="63" t="s">
        <v>146</v>
      </c>
      <c r="D1101" s="64">
        <v>42635</v>
      </c>
      <c r="E1101" s="63" t="s">
        <v>138</v>
      </c>
      <c r="F1101" s="65">
        <v>54784</v>
      </c>
      <c r="G1101" s="66">
        <v>9.97967104047311E-3</v>
      </c>
      <c r="H1101" s="65">
        <v>360</v>
      </c>
      <c r="I1101" s="67">
        <v>0.72416668067927703</v>
      </c>
      <c r="J1101" s="67">
        <v>7.2269452516505197</v>
      </c>
      <c r="K1101" s="65">
        <v>27</v>
      </c>
      <c r="L1101" s="65">
        <v>18</v>
      </c>
      <c r="M1101" s="66">
        <v>8.3333333333333301E-2</v>
      </c>
      <c r="N1101" s="67">
        <v>2602.1694550386801</v>
      </c>
      <c r="O1101" s="67">
        <v>144.564969724371</v>
      </c>
      <c r="P1101" s="67">
        <v>156.420003026724</v>
      </c>
      <c r="Q1101" s="77">
        <v>6.0111382340547401E-2</v>
      </c>
    </row>
    <row r="1102" spans="1:17" x14ac:dyDescent="0.35">
      <c r="A1102" s="76" t="s">
        <v>136</v>
      </c>
      <c r="B1102" s="63">
        <v>634838</v>
      </c>
      <c r="C1102" s="63" t="s">
        <v>146</v>
      </c>
      <c r="D1102" s="64">
        <v>42636</v>
      </c>
      <c r="E1102" s="63" t="s">
        <v>138</v>
      </c>
      <c r="F1102" s="65">
        <v>20116</v>
      </c>
      <c r="G1102" s="66">
        <v>9.6405513871924593E-3</v>
      </c>
      <c r="H1102" s="65">
        <v>217</v>
      </c>
      <c r="I1102" s="67">
        <v>0.77556563421611902</v>
      </c>
      <c r="J1102" s="67">
        <v>7.4768803508010002</v>
      </c>
      <c r="K1102" s="65">
        <v>87</v>
      </c>
      <c r="L1102" s="65">
        <v>48</v>
      </c>
      <c r="M1102" s="66">
        <v>0.21266968325791899</v>
      </c>
      <c r="N1102" s="67">
        <v>5461.5485620872896</v>
      </c>
      <c r="O1102" s="67">
        <v>116.203160895474</v>
      </c>
      <c r="P1102" s="67">
        <v>171.40000516176201</v>
      </c>
      <c r="Q1102" s="77">
        <v>3.1383041496980998E-2</v>
      </c>
    </row>
    <row r="1103" spans="1:17" x14ac:dyDescent="0.35">
      <c r="A1103" s="76" t="s">
        <v>136</v>
      </c>
      <c r="B1103" s="63">
        <v>634838</v>
      </c>
      <c r="C1103" s="63" t="s">
        <v>146</v>
      </c>
      <c r="D1103" s="64">
        <v>42637</v>
      </c>
      <c r="E1103" s="63" t="s">
        <v>138</v>
      </c>
      <c r="F1103" s="65">
        <v>39722</v>
      </c>
      <c r="G1103" s="66">
        <v>8.3864923941651404E-3</v>
      </c>
      <c r="H1103" s="65">
        <v>494</v>
      </c>
      <c r="I1103" s="67">
        <v>0.800744688098735</v>
      </c>
      <c r="J1103" s="67">
        <v>6.7154392364081801</v>
      </c>
      <c r="K1103" s="65">
        <v>85</v>
      </c>
      <c r="L1103" s="65">
        <v>24</v>
      </c>
      <c r="M1103" s="66">
        <v>0.111702127659574</v>
      </c>
      <c r="N1103" s="67">
        <v>1542.68454260607</v>
      </c>
      <c r="O1103" s="67">
        <v>73.461168695527107</v>
      </c>
      <c r="P1103" s="67">
        <v>150.54000136256201</v>
      </c>
      <c r="Q1103" s="77">
        <v>9.7583139783233797E-2</v>
      </c>
    </row>
    <row r="1104" spans="1:17" x14ac:dyDescent="0.35">
      <c r="A1104" s="76" t="s">
        <v>136</v>
      </c>
      <c r="B1104" s="63">
        <v>634838</v>
      </c>
      <c r="C1104" s="63" t="s">
        <v>146</v>
      </c>
      <c r="D1104" s="64">
        <v>42638</v>
      </c>
      <c r="E1104" s="63" t="s">
        <v>138</v>
      </c>
      <c r="F1104" s="65">
        <v>11533</v>
      </c>
      <c r="G1104" s="66">
        <v>9.5681294306962997E-3</v>
      </c>
      <c r="H1104" s="65">
        <v>486</v>
      </c>
      <c r="I1104" s="67">
        <v>0.81595455313270704</v>
      </c>
      <c r="J1104" s="67">
        <v>7.8071587739397001</v>
      </c>
      <c r="K1104" s="65">
        <v>73</v>
      </c>
      <c r="L1104" s="65">
        <v>23</v>
      </c>
      <c r="M1104" s="66">
        <v>0.104545454545455</v>
      </c>
      <c r="N1104" s="67">
        <v>3156.5666013698001</v>
      </c>
      <c r="O1104" s="67">
        <v>137.24202614651301</v>
      </c>
      <c r="P1104" s="67">
        <v>179.510001689196</v>
      </c>
      <c r="Q1104" s="77">
        <v>5.6868751513526397E-2</v>
      </c>
    </row>
    <row r="1105" spans="1:17" x14ac:dyDescent="0.35">
      <c r="A1105" s="76" t="s">
        <v>136</v>
      </c>
      <c r="B1105" s="63">
        <v>634838</v>
      </c>
      <c r="C1105" s="63" t="s">
        <v>146</v>
      </c>
      <c r="D1105" s="64">
        <v>42639</v>
      </c>
      <c r="E1105" s="63" t="s">
        <v>138</v>
      </c>
      <c r="F1105" s="65">
        <v>61210</v>
      </c>
      <c r="G1105" s="66">
        <v>9.6627421548853096E-3</v>
      </c>
      <c r="H1105" s="65">
        <v>342</v>
      </c>
      <c r="I1105" s="67">
        <v>0.79233011263377495</v>
      </c>
      <c r="J1105" s="67">
        <v>7.6560815799314001</v>
      </c>
      <c r="K1105" s="65">
        <v>55</v>
      </c>
      <c r="L1105" s="65">
        <v>18</v>
      </c>
      <c r="M1105" s="66">
        <v>8.2524271844660199E-2</v>
      </c>
      <c r="N1105" s="67">
        <v>1426.34437958687</v>
      </c>
      <c r="O1105" s="67">
        <v>83.902610563933393</v>
      </c>
      <c r="P1105" s="67">
        <v>163.22000320255799</v>
      </c>
      <c r="Q1105" s="77">
        <v>0.114432394825879</v>
      </c>
    </row>
    <row r="1106" spans="1:17" x14ac:dyDescent="0.35">
      <c r="A1106" s="76" t="s">
        <v>136</v>
      </c>
      <c r="B1106" s="63">
        <v>634838</v>
      </c>
      <c r="C1106" s="63" t="s">
        <v>146</v>
      </c>
      <c r="D1106" s="64">
        <v>42640</v>
      </c>
      <c r="E1106" s="63" t="s">
        <v>138</v>
      </c>
      <c r="F1106" s="65">
        <v>32481</v>
      </c>
      <c r="G1106" s="66">
        <v>9.2113920481248206E-3</v>
      </c>
      <c r="H1106" s="65">
        <v>457</v>
      </c>
      <c r="I1106" s="67">
        <v>0.77704081494285104</v>
      </c>
      <c r="J1106" s="67">
        <v>7.1576275838330101</v>
      </c>
      <c r="K1106" s="65">
        <v>37</v>
      </c>
      <c r="L1106" s="65">
        <v>16</v>
      </c>
      <c r="M1106" s="66">
        <v>8.1632653061224497E-2</v>
      </c>
      <c r="N1106" s="67">
        <v>1703.5011690501301</v>
      </c>
      <c r="O1106" s="67">
        <v>106.468823065633</v>
      </c>
      <c r="P1106" s="67">
        <v>152.29999972879901</v>
      </c>
      <c r="Q1106" s="77">
        <v>8.9404106375648398E-2</v>
      </c>
    </row>
    <row r="1107" spans="1:17" x14ac:dyDescent="0.35">
      <c r="A1107" s="76" t="s">
        <v>136</v>
      </c>
      <c r="B1107" s="63">
        <v>634838</v>
      </c>
      <c r="C1107" s="63" t="s">
        <v>146</v>
      </c>
      <c r="D1107" s="64">
        <v>42641</v>
      </c>
      <c r="E1107" s="63" t="s">
        <v>138</v>
      </c>
      <c r="F1107" s="65">
        <v>24713</v>
      </c>
      <c r="G1107" s="66">
        <v>8.7559088955737E-3</v>
      </c>
      <c r="H1107" s="65">
        <v>237</v>
      </c>
      <c r="I1107" s="67">
        <v>0.72926379475125502</v>
      </c>
      <c r="J1107" s="67">
        <v>6.38536734768235</v>
      </c>
      <c r="K1107" s="65">
        <v>95</v>
      </c>
      <c r="L1107" s="65">
        <v>13</v>
      </c>
      <c r="M1107" s="66">
        <v>7.9754601226993904E-2</v>
      </c>
      <c r="N1107" s="67">
        <v>1230.9286297708099</v>
      </c>
      <c r="O1107" s="67">
        <v>94.686817674677499</v>
      </c>
      <c r="P1107" s="67">
        <v>118.869998544455</v>
      </c>
      <c r="Q1107" s="77">
        <v>9.6569366955570293E-2</v>
      </c>
    </row>
    <row r="1108" spans="1:17" x14ac:dyDescent="0.35">
      <c r="A1108" s="76" t="s">
        <v>136</v>
      </c>
      <c r="B1108" s="63">
        <v>634838</v>
      </c>
      <c r="C1108" s="63" t="s">
        <v>146</v>
      </c>
      <c r="D1108" s="64">
        <v>42642</v>
      </c>
      <c r="E1108" s="63" t="s">
        <v>138</v>
      </c>
      <c r="F1108" s="65">
        <v>4919</v>
      </c>
      <c r="G1108" s="66">
        <v>8.7137168907611504E-3</v>
      </c>
      <c r="H1108" s="65">
        <v>514</v>
      </c>
      <c r="I1108" s="67">
        <v>0.757351007682598</v>
      </c>
      <c r="J1108" s="67">
        <v>6.5993422678788303</v>
      </c>
      <c r="K1108" s="65">
        <v>15</v>
      </c>
      <c r="L1108" s="65">
        <v>11</v>
      </c>
      <c r="M1108" s="66">
        <v>7.2847682119205295E-2</v>
      </c>
      <c r="N1108" s="67">
        <v>1588.0148141028101</v>
      </c>
      <c r="O1108" s="67">
        <v>144.36498310025601</v>
      </c>
      <c r="P1108" s="67">
        <v>114.360002160072</v>
      </c>
      <c r="Q1108" s="77">
        <v>7.2014442903470394E-2</v>
      </c>
    </row>
    <row r="1109" spans="1:17" x14ac:dyDescent="0.35">
      <c r="A1109" s="76" t="s">
        <v>136</v>
      </c>
      <c r="B1109" s="63">
        <v>634838</v>
      </c>
      <c r="C1109" s="63" t="s">
        <v>146</v>
      </c>
      <c r="D1109" s="64">
        <v>42643</v>
      </c>
      <c r="E1109" s="63" t="s">
        <v>138</v>
      </c>
      <c r="F1109" s="65">
        <v>10371</v>
      </c>
      <c r="G1109" s="66">
        <v>9.7005988023952106E-3</v>
      </c>
      <c r="H1109" s="65">
        <v>161</v>
      </c>
      <c r="I1109" s="67">
        <v>0.67864198467613701</v>
      </c>
      <c r="J1109" s="67">
        <v>6.5832336238044498</v>
      </c>
      <c r="K1109" s="65">
        <v>13</v>
      </c>
      <c r="L1109" s="65">
        <v>30</v>
      </c>
      <c r="M1109" s="66">
        <v>0.18518518518518501</v>
      </c>
      <c r="N1109" s="67">
        <v>2267.8366455096998</v>
      </c>
      <c r="O1109" s="67">
        <v>75.594554850323206</v>
      </c>
      <c r="P1109" s="67">
        <v>109.940001517534</v>
      </c>
      <c r="Q1109" s="77">
        <v>4.84779191372601E-2</v>
      </c>
    </row>
    <row r="1110" spans="1:17" x14ac:dyDescent="0.35">
      <c r="A1110" s="76" t="s">
        <v>136</v>
      </c>
      <c r="B1110" s="63">
        <v>634838</v>
      </c>
      <c r="C1110" s="63" t="s">
        <v>146</v>
      </c>
      <c r="D1110" s="64">
        <v>42644</v>
      </c>
      <c r="E1110" s="63" t="s">
        <v>138</v>
      </c>
      <c r="F1110" s="65">
        <v>57201</v>
      </c>
      <c r="G1110" s="66">
        <v>8.0493537015276107E-3</v>
      </c>
      <c r="H1110" s="65">
        <v>303</v>
      </c>
      <c r="I1110" s="67">
        <v>0.73284672418215002</v>
      </c>
      <c r="J1110" s="67">
        <v>5.8989424919479703</v>
      </c>
      <c r="K1110" s="65">
        <v>19</v>
      </c>
      <c r="L1110" s="65">
        <v>18</v>
      </c>
      <c r="M1110" s="66">
        <v>0.124087591240876</v>
      </c>
      <c r="N1110" s="67">
        <v>1859.0049492508001</v>
      </c>
      <c r="O1110" s="67">
        <v>109.353232308871</v>
      </c>
      <c r="P1110" s="67">
        <v>100.400001212955</v>
      </c>
      <c r="Q1110" s="77">
        <v>5.4007387798196499E-2</v>
      </c>
    </row>
    <row r="1111" spans="1:17" x14ac:dyDescent="0.35">
      <c r="A1111" s="76" t="s">
        <v>136</v>
      </c>
      <c r="B1111" s="63">
        <v>634838</v>
      </c>
      <c r="C1111" s="63" t="s">
        <v>146</v>
      </c>
      <c r="D1111" s="64">
        <v>42645</v>
      </c>
      <c r="E1111" s="63" t="s">
        <v>138</v>
      </c>
      <c r="F1111" s="65">
        <v>14685</v>
      </c>
      <c r="G1111" s="66">
        <v>8.6656127407927896E-3</v>
      </c>
      <c r="H1111" s="65">
        <v>242</v>
      </c>
      <c r="I1111" s="67">
        <v>0.69655405881034405</v>
      </c>
      <c r="J1111" s="67">
        <v>6.0360677266778398</v>
      </c>
      <c r="K1111" s="65">
        <v>58</v>
      </c>
      <c r="L1111" s="65">
        <v>21</v>
      </c>
      <c r="M1111" s="66">
        <v>0.12837837837837801</v>
      </c>
      <c r="N1111" s="67">
        <v>2143.7787369141201</v>
      </c>
      <c r="O1111" s="67">
        <v>112.830459837585</v>
      </c>
      <c r="P1111" s="67">
        <v>103.090000703931</v>
      </c>
      <c r="Q1111" s="77">
        <v>4.8087985447754097E-2</v>
      </c>
    </row>
    <row r="1112" spans="1:17" x14ac:dyDescent="0.35">
      <c r="A1112" s="76" t="s">
        <v>136</v>
      </c>
      <c r="B1112" s="63">
        <v>634838</v>
      </c>
      <c r="C1112" s="63" t="s">
        <v>146</v>
      </c>
      <c r="D1112" s="64">
        <v>42646</v>
      </c>
      <c r="E1112" s="63" t="s">
        <v>138</v>
      </c>
      <c r="F1112" s="65">
        <v>20451</v>
      </c>
      <c r="G1112" s="66">
        <v>8.4488605938002007E-3</v>
      </c>
      <c r="H1112" s="65">
        <v>425</v>
      </c>
      <c r="I1112" s="67">
        <v>0.65373238816227697</v>
      </c>
      <c r="J1112" s="67">
        <v>5.5232938132351599</v>
      </c>
      <c r="K1112" s="65">
        <v>19</v>
      </c>
      <c r="L1112" s="65">
        <v>28</v>
      </c>
      <c r="M1112" s="66">
        <v>0.190140845070423</v>
      </c>
      <c r="N1112" s="67">
        <v>2901.4669285515001</v>
      </c>
      <c r="O1112" s="67">
        <v>107.46173809450001</v>
      </c>
      <c r="P1112" s="67">
        <v>92.829999119043407</v>
      </c>
      <c r="Q1112" s="77">
        <v>3.1994160679745198E-2</v>
      </c>
    </row>
    <row r="1113" spans="1:17" x14ac:dyDescent="0.35">
      <c r="A1113" s="76" t="s">
        <v>136</v>
      </c>
      <c r="B1113" s="63">
        <v>634838</v>
      </c>
      <c r="C1113" s="63" t="s">
        <v>146</v>
      </c>
      <c r="D1113" s="64">
        <v>42647</v>
      </c>
      <c r="E1113" s="63" t="s">
        <v>138</v>
      </c>
      <c r="F1113" s="65">
        <v>32448</v>
      </c>
      <c r="G1113" s="66">
        <v>7.8277886497064592E-3</v>
      </c>
      <c r="H1113" s="65">
        <v>331</v>
      </c>
      <c r="I1113" s="67">
        <v>0.70725806333845698</v>
      </c>
      <c r="J1113" s="67">
        <v>5.5362666406141399</v>
      </c>
      <c r="K1113" s="65">
        <v>52</v>
      </c>
      <c r="L1113" s="65">
        <v>20</v>
      </c>
      <c r="M1113" s="66">
        <v>0.16129032258064499</v>
      </c>
      <c r="N1113" s="67">
        <v>2075.6450580935398</v>
      </c>
      <c r="O1113" s="67">
        <v>103.78225290467699</v>
      </c>
      <c r="P1113" s="67">
        <v>87.699999853968606</v>
      </c>
      <c r="Q1113" s="77">
        <v>4.2251925256681602E-2</v>
      </c>
    </row>
    <row r="1114" spans="1:17" x14ac:dyDescent="0.35">
      <c r="A1114" s="76" t="s">
        <v>136</v>
      </c>
      <c r="B1114" s="63">
        <v>634838</v>
      </c>
      <c r="C1114" s="63" t="s">
        <v>146</v>
      </c>
      <c r="D1114" s="64">
        <v>42648</v>
      </c>
      <c r="E1114" s="63" t="s">
        <v>138</v>
      </c>
      <c r="F1114" s="65">
        <v>27828</v>
      </c>
      <c r="G1114" s="66">
        <v>1.0504067123550899E-2</v>
      </c>
      <c r="H1114" s="65">
        <v>463</v>
      </c>
      <c r="I1114" s="67">
        <v>0.76682926705334198</v>
      </c>
      <c r="J1114" s="67">
        <v>8.0548260934316396</v>
      </c>
      <c r="K1114" s="65">
        <v>92</v>
      </c>
      <c r="L1114" s="65">
        <v>44</v>
      </c>
      <c r="M1114" s="66">
        <v>0.26829268292682901</v>
      </c>
      <c r="N1114" s="67">
        <v>3903.98555107022</v>
      </c>
      <c r="O1114" s="67">
        <v>88.726944342505107</v>
      </c>
      <c r="P1114" s="67">
        <v>125.759999796748</v>
      </c>
      <c r="Q1114" s="77">
        <v>3.2213233925077599E-2</v>
      </c>
    </row>
    <row r="1115" spans="1:17" x14ac:dyDescent="0.35">
      <c r="A1115" s="76" t="s">
        <v>136</v>
      </c>
      <c r="B1115" s="63">
        <v>634838</v>
      </c>
      <c r="C1115" s="63" t="s">
        <v>146</v>
      </c>
      <c r="D1115" s="64">
        <v>42649</v>
      </c>
      <c r="E1115" s="63" t="s">
        <v>138</v>
      </c>
      <c r="F1115" s="65">
        <v>43345</v>
      </c>
      <c r="G1115" s="66">
        <v>1.0094489113210901E-2</v>
      </c>
      <c r="H1115" s="65">
        <v>481</v>
      </c>
      <c r="I1115" s="67">
        <v>0.733720931289501</v>
      </c>
      <c r="J1115" s="67">
        <v>7.4065379530368096</v>
      </c>
      <c r="K1115" s="65">
        <v>19</v>
      </c>
      <c r="L1115" s="65">
        <v>26</v>
      </c>
      <c r="M1115" s="66">
        <v>0.15116279069767399</v>
      </c>
      <c r="N1115" s="67">
        <v>3023.7716784027202</v>
      </c>
      <c r="O1115" s="67">
        <v>116.29891070779701</v>
      </c>
      <c r="P1115" s="67">
        <v>126.200000181794</v>
      </c>
      <c r="Q1115" s="77">
        <v>4.1735955490018399E-2</v>
      </c>
    </row>
    <row r="1116" spans="1:17" x14ac:dyDescent="0.35">
      <c r="A1116" s="76" t="s">
        <v>136</v>
      </c>
      <c r="B1116" s="63">
        <v>634838</v>
      </c>
      <c r="C1116" s="63" t="s">
        <v>146</v>
      </c>
      <c r="D1116" s="64">
        <v>42650</v>
      </c>
      <c r="E1116" s="63" t="s">
        <v>138</v>
      </c>
      <c r="F1116" s="65">
        <v>47348</v>
      </c>
      <c r="G1116" s="66">
        <v>9.6476510067114093E-3</v>
      </c>
      <c r="H1116" s="65">
        <v>429</v>
      </c>
      <c r="I1116" s="67">
        <v>0.774728266360319</v>
      </c>
      <c r="J1116" s="67">
        <v>7.47430793887892</v>
      </c>
      <c r="K1116" s="65">
        <v>35</v>
      </c>
      <c r="L1116" s="65">
        <v>49</v>
      </c>
      <c r="M1116" s="66">
        <v>0.25543478260869601</v>
      </c>
      <c r="N1116" s="67">
        <v>6742.53266200702</v>
      </c>
      <c r="O1116" s="67">
        <v>143.45814174482999</v>
      </c>
      <c r="P1116" s="67">
        <v>142.55000101029901</v>
      </c>
      <c r="Q1116" s="77">
        <v>2.1141907374589802E-2</v>
      </c>
    </row>
    <row r="1117" spans="1:17" x14ac:dyDescent="0.35">
      <c r="A1117" s="76" t="s">
        <v>136</v>
      </c>
      <c r="B1117" s="63">
        <v>634838</v>
      </c>
      <c r="C1117" s="63" t="s">
        <v>146</v>
      </c>
      <c r="D1117" s="64">
        <v>42651</v>
      </c>
      <c r="E1117" s="63" t="s">
        <v>138</v>
      </c>
      <c r="F1117" s="65">
        <v>26545</v>
      </c>
      <c r="G1117" s="66">
        <v>1.0109968073784999E-2</v>
      </c>
      <c r="H1117" s="65">
        <v>520</v>
      </c>
      <c r="I1117" s="67">
        <v>0.76163742791490896</v>
      </c>
      <c r="J1117" s="67">
        <v>7.7001300800194796</v>
      </c>
      <c r="K1117" s="65">
        <v>68</v>
      </c>
      <c r="L1117" s="65">
        <v>14</v>
      </c>
      <c r="M1117" s="66">
        <v>7.6023391812865507E-2</v>
      </c>
      <c r="N1117" s="67">
        <v>1624.955797246</v>
      </c>
      <c r="O1117" s="67">
        <v>124.996599788154</v>
      </c>
      <c r="P1117" s="67">
        <v>130.24000017345</v>
      </c>
      <c r="Q1117" s="77">
        <v>8.0149872626801399E-2</v>
      </c>
    </row>
    <row r="1118" spans="1:17" x14ac:dyDescent="0.35">
      <c r="A1118" s="76" t="s">
        <v>136</v>
      </c>
      <c r="B1118" s="63">
        <v>634838</v>
      </c>
      <c r="C1118" s="63" t="s">
        <v>146</v>
      </c>
      <c r="D1118" s="64">
        <v>42652</v>
      </c>
      <c r="E1118" s="63" t="s">
        <v>138</v>
      </c>
      <c r="F1118" s="65">
        <v>54010</v>
      </c>
      <c r="G1118" s="66">
        <v>8.3188128829183305E-3</v>
      </c>
      <c r="H1118" s="65">
        <v>544</v>
      </c>
      <c r="I1118" s="67">
        <v>0.69851351801205297</v>
      </c>
      <c r="J1118" s="67">
        <v>5.8108032525312696</v>
      </c>
      <c r="K1118" s="65">
        <v>57</v>
      </c>
      <c r="L1118" s="65">
        <v>18</v>
      </c>
      <c r="M1118" s="66">
        <v>0.121621621621622</v>
      </c>
      <c r="N1118" s="67">
        <v>2718.4959484436099</v>
      </c>
      <c r="O1118" s="67">
        <v>151.027552691312</v>
      </c>
      <c r="P1118" s="67">
        <v>103.380000665784</v>
      </c>
      <c r="Q1118" s="77">
        <v>3.8028381364692103E-2</v>
      </c>
    </row>
    <row r="1119" spans="1:17" x14ac:dyDescent="0.35">
      <c r="A1119" s="76" t="s">
        <v>136</v>
      </c>
      <c r="B1119" s="63">
        <v>634838</v>
      </c>
      <c r="C1119" s="63" t="s">
        <v>146</v>
      </c>
      <c r="D1119" s="64">
        <v>42653</v>
      </c>
      <c r="E1119" s="63" t="s">
        <v>138</v>
      </c>
      <c r="F1119" s="65">
        <v>59670</v>
      </c>
      <c r="G1119" s="66">
        <v>8.9357808042202693E-3</v>
      </c>
      <c r="H1119" s="65">
        <v>463</v>
      </c>
      <c r="I1119" s="67">
        <v>0.76993976623178995</v>
      </c>
      <c r="J1119" s="67">
        <v>6.8800129834998698</v>
      </c>
      <c r="K1119" s="65">
        <v>32</v>
      </c>
      <c r="L1119" s="65">
        <v>18</v>
      </c>
      <c r="M1119" s="66">
        <v>0.102409638554217</v>
      </c>
      <c r="N1119" s="67">
        <v>1404.6924735345999</v>
      </c>
      <c r="O1119" s="67">
        <v>82.628969031447298</v>
      </c>
      <c r="P1119" s="67">
        <v>127.810001194477</v>
      </c>
      <c r="Q1119" s="77">
        <v>9.0987887813530399E-2</v>
      </c>
    </row>
    <row r="1120" spans="1:17" x14ac:dyDescent="0.35">
      <c r="A1120" s="76" t="s">
        <v>136</v>
      </c>
      <c r="B1120" s="63">
        <v>634838</v>
      </c>
      <c r="C1120" s="63" t="s">
        <v>146</v>
      </c>
      <c r="D1120" s="64">
        <v>42654</v>
      </c>
      <c r="E1120" s="63" t="s">
        <v>138</v>
      </c>
      <c r="F1120" s="65">
        <v>44529</v>
      </c>
      <c r="G1120" s="66">
        <v>1.0790288740133901E-2</v>
      </c>
      <c r="H1120" s="65">
        <v>479</v>
      </c>
      <c r="I1120" s="67">
        <v>0.820138899264512</v>
      </c>
      <c r="J1120" s="67">
        <v>8.8495355300796597</v>
      </c>
      <c r="K1120" s="65">
        <v>36</v>
      </c>
      <c r="L1120" s="65">
        <v>13</v>
      </c>
      <c r="M1120" s="66">
        <v>6.0185185185185203E-2</v>
      </c>
      <c r="N1120" s="67">
        <v>1506.36267771608</v>
      </c>
      <c r="O1120" s="67">
        <v>115.874052132006</v>
      </c>
      <c r="P1120" s="67">
        <v>177.15000224113501</v>
      </c>
      <c r="Q1120" s="77">
        <v>0.117601162629525</v>
      </c>
    </row>
    <row r="1121" spans="1:17" x14ac:dyDescent="0.35">
      <c r="A1121" s="76" t="s">
        <v>136</v>
      </c>
      <c r="B1121" s="63">
        <v>634838</v>
      </c>
      <c r="C1121" s="63" t="s">
        <v>146</v>
      </c>
      <c r="D1121" s="64">
        <v>42655</v>
      </c>
      <c r="E1121" s="63" t="s">
        <v>138</v>
      </c>
      <c r="F1121" s="65">
        <v>15300</v>
      </c>
      <c r="G1121" s="66">
        <v>1.01377696906681E-2</v>
      </c>
      <c r="H1121" s="65">
        <v>380</v>
      </c>
      <c r="I1121" s="67">
        <v>0.87220514309712005</v>
      </c>
      <c r="J1121" s="67">
        <v>8.8422148637347693</v>
      </c>
      <c r="K1121" s="65">
        <v>12</v>
      </c>
      <c r="L1121" s="65">
        <v>14</v>
      </c>
      <c r="M1121" s="66">
        <v>7.1794871794871803E-2</v>
      </c>
      <c r="N1121" s="67">
        <v>1444.2382393139501</v>
      </c>
      <c r="O1121" s="67">
        <v>103.159874236711</v>
      </c>
      <c r="P1121" s="67">
        <v>170.08000290393801</v>
      </c>
      <c r="Q1121" s="77">
        <v>0.117764506072579</v>
      </c>
    </row>
    <row r="1122" spans="1:17" x14ac:dyDescent="0.35">
      <c r="A1122" s="76" t="s">
        <v>136</v>
      </c>
      <c r="B1122" s="63">
        <v>634838</v>
      </c>
      <c r="C1122" s="63" t="s">
        <v>146</v>
      </c>
      <c r="D1122" s="64">
        <v>42656</v>
      </c>
      <c r="E1122" s="63" t="s">
        <v>138</v>
      </c>
      <c r="F1122" s="65">
        <v>1645</v>
      </c>
      <c r="G1122" s="66">
        <v>8.6269618542770994E-3</v>
      </c>
      <c r="H1122" s="65">
        <v>284</v>
      </c>
      <c r="I1122" s="67">
        <v>0.82439760917640603</v>
      </c>
      <c r="J1122" s="67">
        <v>7.1120467271220997</v>
      </c>
      <c r="K1122" s="65">
        <v>92</v>
      </c>
      <c r="L1122" s="65">
        <v>15</v>
      </c>
      <c r="M1122" s="66">
        <v>9.0361445783132502E-2</v>
      </c>
      <c r="N1122" s="67">
        <v>1267.4531468067501</v>
      </c>
      <c r="O1122" s="67">
        <v>84.496876453783102</v>
      </c>
      <c r="P1122" s="67">
        <v>136.85000312328299</v>
      </c>
      <c r="Q1122" s="77">
        <v>0.107972435484552</v>
      </c>
    </row>
    <row r="1123" spans="1:17" x14ac:dyDescent="0.35">
      <c r="A1123" s="76" t="s">
        <v>136</v>
      </c>
      <c r="B1123" s="63">
        <v>634838</v>
      </c>
      <c r="C1123" s="63" t="s">
        <v>146</v>
      </c>
      <c r="D1123" s="64">
        <v>42657</v>
      </c>
      <c r="E1123" s="63" t="s">
        <v>138</v>
      </c>
      <c r="F1123" s="65">
        <v>13819</v>
      </c>
      <c r="G1123" s="66">
        <v>8.2656206220229796E-3</v>
      </c>
      <c r="H1123" s="65">
        <v>588</v>
      </c>
      <c r="I1123" s="67">
        <v>0.84011300674266098</v>
      </c>
      <c r="J1123" s="67">
        <v>6.9440553933618601</v>
      </c>
      <c r="K1123" s="65">
        <v>30</v>
      </c>
      <c r="L1123" s="65">
        <v>34</v>
      </c>
      <c r="M1123" s="66">
        <v>0.186440677966102</v>
      </c>
      <c r="N1123" s="67">
        <v>3574.5846588900699</v>
      </c>
      <c r="O1123" s="67">
        <v>108.320747239093</v>
      </c>
      <c r="P1123" s="67">
        <v>148.70000219345101</v>
      </c>
      <c r="Q1123" s="77">
        <v>4.1599239179754999E-2</v>
      </c>
    </row>
    <row r="1124" spans="1:17" x14ac:dyDescent="0.35">
      <c r="A1124" s="76" t="s">
        <v>136</v>
      </c>
      <c r="B1124" s="63">
        <v>634838</v>
      </c>
      <c r="C1124" s="63" t="s">
        <v>146</v>
      </c>
      <c r="D1124" s="64">
        <v>42658</v>
      </c>
      <c r="E1124" s="63" t="s">
        <v>138</v>
      </c>
      <c r="F1124" s="65">
        <v>4452</v>
      </c>
      <c r="G1124" s="66">
        <v>8.3803138808471699E-3</v>
      </c>
      <c r="H1124" s="65">
        <v>165</v>
      </c>
      <c r="I1124" s="67">
        <v>0.66072727730779901</v>
      </c>
      <c r="J1124" s="67">
        <v>5.5371019734769096</v>
      </c>
      <c r="K1124" s="65">
        <v>61</v>
      </c>
      <c r="L1124" s="65">
        <v>26</v>
      </c>
      <c r="M1124" s="66">
        <v>0.15151515151515199</v>
      </c>
      <c r="N1124" s="67">
        <v>1973.0470373505</v>
      </c>
      <c r="O1124" s="67">
        <v>78.9218814940198</v>
      </c>
      <c r="P1124" s="67">
        <v>109.020000755787</v>
      </c>
      <c r="Q1124" s="77">
        <v>5.5254638481495297E-2</v>
      </c>
    </row>
    <row r="1125" spans="1:17" x14ac:dyDescent="0.35">
      <c r="A1125" s="76" t="s">
        <v>136</v>
      </c>
      <c r="B1125" s="63">
        <v>634838</v>
      </c>
      <c r="C1125" s="63" t="s">
        <v>146</v>
      </c>
      <c r="D1125" s="64">
        <v>42659</v>
      </c>
      <c r="E1125" s="63" t="s">
        <v>138</v>
      </c>
      <c r="F1125" s="65">
        <v>28308</v>
      </c>
      <c r="G1125" s="66">
        <v>8.2809655253420992E-3</v>
      </c>
      <c r="H1125" s="65">
        <v>499</v>
      </c>
      <c r="I1125" s="67">
        <v>0.647659575685542</v>
      </c>
      <c r="J1125" s="67">
        <v>5.3632466184096703</v>
      </c>
      <c r="K1125" s="65">
        <v>88</v>
      </c>
      <c r="L1125" s="65">
        <v>12</v>
      </c>
      <c r="M1125" s="66">
        <v>8.5106382978723402E-2</v>
      </c>
      <c r="N1125" s="67">
        <v>949.88153106376603</v>
      </c>
      <c r="O1125" s="67">
        <v>79.156794255313798</v>
      </c>
      <c r="P1125" s="67">
        <v>91.320000171661405</v>
      </c>
      <c r="Q1125" s="77">
        <v>9.6138304815120201E-2</v>
      </c>
    </row>
    <row r="1126" spans="1:17" x14ac:dyDescent="0.35">
      <c r="A1126" s="76" t="s">
        <v>136</v>
      </c>
      <c r="B1126" s="63">
        <v>634838</v>
      </c>
      <c r="C1126" s="63" t="s">
        <v>146</v>
      </c>
      <c r="D1126" s="64">
        <v>42660</v>
      </c>
      <c r="E1126" s="63" t="s">
        <v>138</v>
      </c>
      <c r="F1126" s="65">
        <v>53318</v>
      </c>
      <c r="G1126" s="66">
        <v>8.5569590779439996E-3</v>
      </c>
      <c r="H1126" s="65">
        <v>384</v>
      </c>
      <c r="I1126" s="67">
        <v>0.70115646152269295</v>
      </c>
      <c r="J1126" s="67">
        <v>5.9997671484856996</v>
      </c>
      <c r="K1126" s="65">
        <v>39</v>
      </c>
      <c r="L1126" s="65">
        <v>14</v>
      </c>
      <c r="M1126" s="66">
        <v>9.5238095238095205E-2</v>
      </c>
      <c r="N1126" s="67">
        <v>978.83693992396297</v>
      </c>
      <c r="O1126" s="67">
        <v>69.916924280283098</v>
      </c>
      <c r="P1126" s="67">
        <v>103.069999843836</v>
      </c>
      <c r="Q1126" s="77">
        <v>0.10529843699180599</v>
      </c>
    </row>
    <row r="1127" spans="1:17" x14ac:dyDescent="0.35">
      <c r="A1127" s="76" t="s">
        <v>136</v>
      </c>
      <c r="B1127" s="63">
        <v>634838</v>
      </c>
      <c r="C1127" s="63" t="s">
        <v>146</v>
      </c>
      <c r="D1127" s="64">
        <v>42661</v>
      </c>
      <c r="E1127" s="63" t="s">
        <v>138</v>
      </c>
      <c r="F1127" s="65">
        <v>54803</v>
      </c>
      <c r="G1127" s="66">
        <v>9.9848912829271497E-3</v>
      </c>
      <c r="H1127" s="65">
        <v>437</v>
      </c>
      <c r="I1127" s="67">
        <v>0.71105263735118696</v>
      </c>
      <c r="J1127" s="67">
        <v>7.0997832803902199</v>
      </c>
      <c r="K1127" s="65">
        <v>89</v>
      </c>
      <c r="L1127" s="65">
        <v>15</v>
      </c>
      <c r="M1127" s="66">
        <v>9.8684210526315805E-2</v>
      </c>
      <c r="N1127" s="67">
        <v>1481.47020039941</v>
      </c>
      <c r="O1127" s="67">
        <v>98.764680026627303</v>
      </c>
      <c r="P1127" s="67">
        <v>108.08000087738</v>
      </c>
      <c r="Q1127" s="77">
        <v>7.2954556121507905E-2</v>
      </c>
    </row>
    <row r="1128" spans="1:17" x14ac:dyDescent="0.35">
      <c r="A1128" s="76" t="s">
        <v>136</v>
      </c>
      <c r="B1128" s="63">
        <v>634838</v>
      </c>
      <c r="C1128" s="63" t="s">
        <v>146</v>
      </c>
      <c r="D1128" s="64">
        <v>42662</v>
      </c>
      <c r="E1128" s="63" t="s">
        <v>138</v>
      </c>
      <c r="F1128" s="65">
        <v>22152</v>
      </c>
      <c r="G1128" s="66">
        <v>8.8215024121295702E-3</v>
      </c>
      <c r="H1128" s="65">
        <v>242</v>
      </c>
      <c r="I1128" s="67">
        <v>0.68218750972300801</v>
      </c>
      <c r="J1128" s="67">
        <v>6.0179187625461701</v>
      </c>
      <c r="K1128" s="65">
        <v>24</v>
      </c>
      <c r="L1128" s="65">
        <v>14</v>
      </c>
      <c r="M1128" s="66">
        <v>0.109375</v>
      </c>
      <c r="N1128" s="67">
        <v>1335.7417800056501</v>
      </c>
      <c r="O1128" s="67">
        <v>95.410127143260794</v>
      </c>
      <c r="P1128" s="67">
        <v>87.320001244544997</v>
      </c>
      <c r="Q1128" s="77">
        <v>6.5371917350803804E-2</v>
      </c>
    </row>
    <row r="1129" spans="1:17" x14ac:dyDescent="0.35">
      <c r="A1129" s="76" t="s">
        <v>136</v>
      </c>
      <c r="B1129" s="63">
        <v>634838</v>
      </c>
      <c r="C1129" s="63" t="s">
        <v>146</v>
      </c>
      <c r="D1129" s="64">
        <v>42663</v>
      </c>
      <c r="E1129" s="63" t="s">
        <v>138</v>
      </c>
      <c r="F1129" s="65">
        <v>68376</v>
      </c>
      <c r="G1129" s="66">
        <v>9.6032849857606503E-3</v>
      </c>
      <c r="H1129" s="65">
        <v>222</v>
      </c>
      <c r="I1129" s="67">
        <v>0.71006896824672305</v>
      </c>
      <c r="J1129" s="67">
        <v>6.8189946616183104</v>
      </c>
      <c r="K1129" s="65">
        <v>99</v>
      </c>
      <c r="L1129" s="65">
        <v>18</v>
      </c>
      <c r="M1129" s="66">
        <v>0.12413793103448301</v>
      </c>
      <c r="N1129" s="67">
        <v>1529.76827260756</v>
      </c>
      <c r="O1129" s="67">
        <v>84.987126255975596</v>
      </c>
      <c r="P1129" s="67">
        <v>102.960000395775</v>
      </c>
      <c r="Q1129" s="77">
        <v>6.7304311534893302E-2</v>
      </c>
    </row>
    <row r="1130" spans="1:17" x14ac:dyDescent="0.35">
      <c r="A1130" s="76" t="s">
        <v>136</v>
      </c>
      <c r="B1130" s="63">
        <v>634838</v>
      </c>
      <c r="C1130" s="63" t="s">
        <v>146</v>
      </c>
      <c r="D1130" s="64">
        <v>42664</v>
      </c>
      <c r="E1130" s="63" t="s">
        <v>138</v>
      </c>
      <c r="F1130" s="65">
        <v>392</v>
      </c>
      <c r="G1130" s="66">
        <v>9.3782117163412095E-3</v>
      </c>
      <c r="H1130" s="65">
        <v>321</v>
      </c>
      <c r="I1130" s="67">
        <v>0.70075342324498602</v>
      </c>
      <c r="J1130" s="67">
        <v>6.5718139641423399</v>
      </c>
      <c r="K1130" s="65">
        <v>15</v>
      </c>
      <c r="L1130" s="65">
        <v>33</v>
      </c>
      <c r="M1130" s="66">
        <v>0.22602739726027399</v>
      </c>
      <c r="N1130" s="67">
        <v>4821.8152682323598</v>
      </c>
      <c r="O1130" s="67">
        <v>146.11561418885901</v>
      </c>
      <c r="P1130" s="67">
        <v>102.309999793768</v>
      </c>
      <c r="Q1130" s="77">
        <v>2.1218150033208101E-2</v>
      </c>
    </row>
    <row r="1131" spans="1:17" x14ac:dyDescent="0.35">
      <c r="A1131" s="76" t="s">
        <v>136</v>
      </c>
      <c r="B1131" s="63">
        <v>634838</v>
      </c>
      <c r="C1131" s="63" t="s">
        <v>146</v>
      </c>
      <c r="D1131" s="64">
        <v>42665</v>
      </c>
      <c r="E1131" s="63" t="s">
        <v>138</v>
      </c>
      <c r="F1131" s="65">
        <v>35286</v>
      </c>
      <c r="G1131" s="66">
        <v>9.1638029782359701E-3</v>
      </c>
      <c r="H1131" s="65">
        <v>248</v>
      </c>
      <c r="I1131" s="67">
        <v>0.67555555556383395</v>
      </c>
      <c r="J1131" s="67">
        <v>6.1906580120397203</v>
      </c>
      <c r="K1131" s="65">
        <v>10</v>
      </c>
      <c r="L1131" s="65">
        <v>26</v>
      </c>
      <c r="M1131" s="66">
        <v>0.180555555555556</v>
      </c>
      <c r="N1131" s="67">
        <v>1711.9531776425499</v>
      </c>
      <c r="O1131" s="67">
        <v>65.844352986252005</v>
      </c>
      <c r="P1131" s="67">
        <v>97.280000001192093</v>
      </c>
      <c r="Q1131" s="77">
        <v>5.6823984015235598E-2</v>
      </c>
    </row>
    <row r="1132" spans="1:17" x14ac:dyDescent="0.35">
      <c r="A1132" s="76" t="s">
        <v>136</v>
      </c>
      <c r="B1132" s="63">
        <v>634838</v>
      </c>
      <c r="C1132" s="63" t="s">
        <v>146</v>
      </c>
      <c r="D1132" s="64">
        <v>42666</v>
      </c>
      <c r="E1132" s="63" t="s">
        <v>138</v>
      </c>
      <c r="F1132" s="65">
        <v>46939</v>
      </c>
      <c r="G1132" s="66">
        <v>7.7694086946207197E-3</v>
      </c>
      <c r="H1132" s="65">
        <v>485</v>
      </c>
      <c r="I1132" s="67">
        <v>0.68381680605065698</v>
      </c>
      <c r="J1132" s="67">
        <v>5.3128522384577499</v>
      </c>
      <c r="K1132" s="65">
        <v>90</v>
      </c>
      <c r="L1132" s="65">
        <v>20</v>
      </c>
      <c r="M1132" s="66">
        <v>0.15267175572519101</v>
      </c>
      <c r="N1132" s="67">
        <v>2038.63536312876</v>
      </c>
      <c r="O1132" s="67">
        <v>101.931768156438</v>
      </c>
      <c r="P1132" s="67">
        <v>89.580001592636094</v>
      </c>
      <c r="Q1132" s="77">
        <v>4.39411594701049E-2</v>
      </c>
    </row>
    <row r="1133" spans="1:17" x14ac:dyDescent="0.35">
      <c r="A1133" s="76" t="s">
        <v>136</v>
      </c>
      <c r="B1133" s="63">
        <v>634838</v>
      </c>
      <c r="C1133" s="63" t="s">
        <v>146</v>
      </c>
      <c r="D1133" s="64">
        <v>42667</v>
      </c>
      <c r="E1133" s="63" t="s">
        <v>138</v>
      </c>
      <c r="F1133" s="65">
        <v>56665</v>
      </c>
      <c r="G1133" s="66">
        <v>9.2083038195390401E-3</v>
      </c>
      <c r="H1133" s="65">
        <v>162</v>
      </c>
      <c r="I1133" s="67">
        <v>0.678165695723697</v>
      </c>
      <c r="J1133" s="67">
        <v>6.2447557662128697</v>
      </c>
      <c r="K1133" s="65">
        <v>31</v>
      </c>
      <c r="L1133" s="65">
        <v>16</v>
      </c>
      <c r="M1133" s="66">
        <v>9.4674556213017694E-2</v>
      </c>
      <c r="N1133" s="67">
        <v>2315.7916569633899</v>
      </c>
      <c r="O1133" s="67">
        <v>144.73697856021201</v>
      </c>
      <c r="P1133" s="67">
        <v>114.610002577305</v>
      </c>
      <c r="Q1133" s="77">
        <v>4.9490636272344297E-2</v>
      </c>
    </row>
    <row r="1134" spans="1:17" x14ac:dyDescent="0.35">
      <c r="A1134" s="76" t="s">
        <v>136</v>
      </c>
      <c r="B1134" s="63">
        <v>634838</v>
      </c>
      <c r="C1134" s="63" t="s">
        <v>146</v>
      </c>
      <c r="D1134" s="64">
        <v>42668</v>
      </c>
      <c r="E1134" s="63" t="s">
        <v>138</v>
      </c>
      <c r="F1134" s="65">
        <v>10944</v>
      </c>
      <c r="G1134" s="66">
        <v>7.0023148148148102E-3</v>
      </c>
      <c r="H1134" s="65">
        <v>546</v>
      </c>
      <c r="I1134" s="67">
        <v>0.72743802967150395</v>
      </c>
      <c r="J1134" s="67">
        <v>5.0937500920284702</v>
      </c>
      <c r="K1134" s="65">
        <v>17</v>
      </c>
      <c r="L1134" s="65">
        <v>16</v>
      </c>
      <c r="M1134" s="66">
        <v>0.13223140495867799</v>
      </c>
      <c r="N1134" s="67">
        <v>1673.59662249805</v>
      </c>
      <c r="O1134" s="67">
        <v>104.599788906128</v>
      </c>
      <c r="P1134" s="67">
        <v>88.020001590251894</v>
      </c>
      <c r="Q1134" s="77">
        <v>5.25933193261773E-2</v>
      </c>
    </row>
    <row r="1135" spans="1:17" x14ac:dyDescent="0.35">
      <c r="A1135" s="76" t="s">
        <v>136</v>
      </c>
      <c r="B1135" s="63">
        <v>634838</v>
      </c>
      <c r="C1135" s="63" t="s">
        <v>146</v>
      </c>
      <c r="D1135" s="64">
        <v>42669</v>
      </c>
      <c r="E1135" s="63" t="s">
        <v>138</v>
      </c>
      <c r="F1135" s="65">
        <v>14511</v>
      </c>
      <c r="G1135" s="66">
        <v>9.3513513513513499E-3</v>
      </c>
      <c r="H1135" s="65">
        <v>558</v>
      </c>
      <c r="I1135" s="67">
        <v>0.71959538645827004</v>
      </c>
      <c r="J1135" s="67">
        <v>6.7291892895827399</v>
      </c>
      <c r="K1135" s="65">
        <v>52</v>
      </c>
      <c r="L1135" s="65">
        <v>16</v>
      </c>
      <c r="M1135" s="66">
        <v>9.2485549132948E-2</v>
      </c>
      <c r="N1135" s="67">
        <v>1755.1752247545701</v>
      </c>
      <c r="O1135" s="67">
        <v>109.698451547161</v>
      </c>
      <c r="P1135" s="67">
        <v>124.490001857281</v>
      </c>
      <c r="Q1135" s="77">
        <v>7.0927392377412496E-2</v>
      </c>
    </row>
    <row r="1136" spans="1:17" x14ac:dyDescent="0.35">
      <c r="A1136" s="76" t="s">
        <v>136</v>
      </c>
      <c r="B1136" s="63">
        <v>634838</v>
      </c>
      <c r="C1136" s="63" t="s">
        <v>146</v>
      </c>
      <c r="D1136" s="64">
        <v>42670</v>
      </c>
      <c r="E1136" s="63" t="s">
        <v>138</v>
      </c>
      <c r="F1136" s="65">
        <v>52141</v>
      </c>
      <c r="G1136" s="66">
        <v>7.2439162422184497E-3</v>
      </c>
      <c r="H1136" s="65">
        <v>455</v>
      </c>
      <c r="I1136" s="67">
        <v>0.73265624977648303</v>
      </c>
      <c r="J1136" s="67">
        <v>5.3073005077187201</v>
      </c>
      <c r="K1136" s="65">
        <v>40</v>
      </c>
      <c r="L1136" s="65">
        <v>18</v>
      </c>
      <c r="M1136" s="66">
        <v>0.140625</v>
      </c>
      <c r="N1136" s="67">
        <v>2878.8211717332501</v>
      </c>
      <c r="O1136" s="67">
        <v>159.934509540736</v>
      </c>
      <c r="P1136" s="67">
        <v>93.779999971389799</v>
      </c>
      <c r="Q1136" s="77">
        <v>3.25758337795354E-2</v>
      </c>
    </row>
    <row r="1137" spans="1:17" x14ac:dyDescent="0.35">
      <c r="A1137" s="76" t="s">
        <v>136</v>
      </c>
      <c r="B1137" s="63">
        <v>634838</v>
      </c>
      <c r="C1137" s="63" t="s">
        <v>146</v>
      </c>
      <c r="D1137" s="64">
        <v>42671</v>
      </c>
      <c r="E1137" s="63" t="s">
        <v>138</v>
      </c>
      <c r="F1137" s="65">
        <v>38205</v>
      </c>
      <c r="G1137" s="66">
        <v>8.4064327485380095E-3</v>
      </c>
      <c r="H1137" s="65">
        <v>245</v>
      </c>
      <c r="I1137" s="67">
        <v>0.69478261341219405</v>
      </c>
      <c r="J1137" s="67">
        <v>5.8406433145030903</v>
      </c>
      <c r="K1137" s="65">
        <v>75</v>
      </c>
      <c r="L1137" s="65">
        <v>45</v>
      </c>
      <c r="M1137" s="66">
        <v>0.26086956521739102</v>
      </c>
      <c r="N1137" s="67">
        <v>4281.9385151005199</v>
      </c>
      <c r="O1137" s="67">
        <v>101.950917026203</v>
      </c>
      <c r="P1137" s="67">
        <v>111.860000759363</v>
      </c>
      <c r="Q1137" s="77">
        <v>2.6123682151175699E-2</v>
      </c>
    </row>
    <row r="1138" spans="1:17" x14ac:dyDescent="0.35">
      <c r="A1138" s="76" t="s">
        <v>136</v>
      </c>
      <c r="B1138" s="63">
        <v>634838</v>
      </c>
      <c r="C1138" s="63" t="s">
        <v>146</v>
      </c>
      <c r="D1138" s="64">
        <v>42672</v>
      </c>
      <c r="E1138" s="63" t="s">
        <v>138</v>
      </c>
      <c r="F1138" s="65">
        <v>14079</v>
      </c>
      <c r="G1138" s="66">
        <v>5.8609105853763103E-3</v>
      </c>
      <c r="H1138" s="65">
        <v>302</v>
      </c>
      <c r="I1138" s="67">
        <v>0.70365853934753197</v>
      </c>
      <c r="J1138" s="67">
        <v>4.12407978175239</v>
      </c>
      <c r="K1138" s="65">
        <v>87</v>
      </c>
      <c r="L1138" s="65">
        <v>29</v>
      </c>
      <c r="M1138" s="66">
        <v>0.34146341463414598</v>
      </c>
      <c r="N1138" s="67">
        <v>2605.1527638871898</v>
      </c>
      <c r="O1138" s="67">
        <v>93.041170138828306</v>
      </c>
      <c r="P1138" s="67">
        <v>57.7000002264977</v>
      </c>
      <c r="Q1138" s="77">
        <v>2.21484133392633E-2</v>
      </c>
    </row>
    <row r="1139" spans="1:17" x14ac:dyDescent="0.35">
      <c r="A1139" s="76" t="s">
        <v>136</v>
      </c>
      <c r="B1139" s="63">
        <v>634838</v>
      </c>
      <c r="C1139" s="63" t="s">
        <v>146</v>
      </c>
      <c r="D1139" s="64">
        <v>42673</v>
      </c>
      <c r="E1139" s="63" t="s">
        <v>138</v>
      </c>
      <c r="F1139" s="65">
        <v>10295</v>
      </c>
      <c r="G1139" s="66">
        <v>7.8713403930007406E-3</v>
      </c>
      <c r="H1139" s="65">
        <v>326</v>
      </c>
      <c r="I1139" s="67">
        <v>0.72302158166178698</v>
      </c>
      <c r="J1139" s="67">
        <v>5.6911489807456999</v>
      </c>
      <c r="K1139" s="65">
        <v>11</v>
      </c>
      <c r="L1139" s="65">
        <v>16</v>
      </c>
      <c r="M1139" s="66">
        <v>0.115107913669065</v>
      </c>
      <c r="N1139" s="67">
        <v>1907.9285706256801</v>
      </c>
      <c r="O1139" s="67">
        <v>119.24553566410501</v>
      </c>
      <c r="P1139" s="67">
        <v>100.499999850988</v>
      </c>
      <c r="Q1139" s="77">
        <v>5.2674927876377897E-2</v>
      </c>
    </row>
    <row r="1140" spans="1:17" x14ac:dyDescent="0.35">
      <c r="A1140" s="76" t="s">
        <v>136</v>
      </c>
      <c r="B1140" s="63">
        <v>634838</v>
      </c>
      <c r="C1140" s="63" t="s">
        <v>146</v>
      </c>
      <c r="D1140" s="64">
        <v>42674</v>
      </c>
      <c r="E1140" s="63" t="s">
        <v>138</v>
      </c>
      <c r="F1140" s="65">
        <v>22984</v>
      </c>
      <c r="G1140" s="66">
        <v>7.6407967032966996E-3</v>
      </c>
      <c r="H1140" s="65">
        <v>432</v>
      </c>
      <c r="I1140" s="67">
        <v>0.68460674232311503</v>
      </c>
      <c r="J1140" s="67">
        <v>5.2309409397971498</v>
      </c>
      <c r="K1140" s="65">
        <v>19</v>
      </c>
      <c r="L1140" s="65">
        <v>33</v>
      </c>
      <c r="M1140" s="66">
        <v>0.185393258426966</v>
      </c>
      <c r="N1140" s="67">
        <v>3743.6852702912402</v>
      </c>
      <c r="O1140" s="67">
        <v>113.445008190644</v>
      </c>
      <c r="P1140" s="67">
        <v>121.86000013351401</v>
      </c>
      <c r="Q1140" s="77">
        <v>3.2550813258945301E-2</v>
      </c>
    </row>
    <row r="1141" spans="1:17" x14ac:dyDescent="0.35">
      <c r="A1141" s="76" t="s">
        <v>136</v>
      </c>
      <c r="B1141" s="63">
        <v>634838</v>
      </c>
      <c r="C1141" s="63" t="s">
        <v>146</v>
      </c>
      <c r="D1141" s="64">
        <v>42675</v>
      </c>
      <c r="E1141" s="63" t="s">
        <v>138</v>
      </c>
      <c r="F1141" s="65">
        <v>45422</v>
      </c>
      <c r="G1141" s="66">
        <v>8.2556591211717708E-3</v>
      </c>
      <c r="H1141" s="65">
        <v>326</v>
      </c>
      <c r="I1141" s="67">
        <v>0.70720430423495595</v>
      </c>
      <c r="J1141" s="67">
        <v>5.8384376647892502</v>
      </c>
      <c r="K1141" s="65">
        <v>39</v>
      </c>
      <c r="L1141" s="65">
        <v>18</v>
      </c>
      <c r="M1141" s="66">
        <v>9.6774193548387094E-2</v>
      </c>
      <c r="N1141" s="67">
        <v>2050.7620214446802</v>
      </c>
      <c r="O1141" s="67">
        <v>113.931223413593</v>
      </c>
      <c r="P1141" s="67">
        <v>131.540000587702</v>
      </c>
      <c r="Q1141" s="77">
        <v>6.4142011219340406E-2</v>
      </c>
    </row>
    <row r="1142" spans="1:17" x14ac:dyDescent="0.35">
      <c r="A1142" s="76" t="s">
        <v>136</v>
      </c>
      <c r="B1142" s="63">
        <v>634838</v>
      </c>
      <c r="C1142" s="63" t="s">
        <v>146</v>
      </c>
      <c r="D1142" s="64">
        <v>42676</v>
      </c>
      <c r="E1142" s="63" t="s">
        <v>138</v>
      </c>
      <c r="F1142" s="65">
        <v>32252</v>
      </c>
      <c r="G1142" s="66">
        <v>9.2666261056769793E-3</v>
      </c>
      <c r="H1142" s="65">
        <v>594</v>
      </c>
      <c r="I1142" s="67">
        <v>0.68661616035182105</v>
      </c>
      <c r="J1142" s="67">
        <v>6.3626152360958699</v>
      </c>
      <c r="K1142" s="65">
        <v>64</v>
      </c>
      <c r="L1142" s="65">
        <v>16</v>
      </c>
      <c r="M1142" s="66">
        <v>7.0707070707070704E-2</v>
      </c>
      <c r="N1142" s="67">
        <v>1596.9404663539001</v>
      </c>
      <c r="O1142" s="67">
        <v>114.067176168136</v>
      </c>
      <c r="P1142" s="67">
        <v>135.94999974966001</v>
      </c>
      <c r="Q1142" s="77">
        <v>8.5131539098673201E-2</v>
      </c>
    </row>
    <row r="1143" spans="1:17" x14ac:dyDescent="0.35">
      <c r="A1143" s="76" t="s">
        <v>136</v>
      </c>
      <c r="B1143" s="63">
        <v>634838</v>
      </c>
      <c r="C1143" s="63" t="s">
        <v>146</v>
      </c>
      <c r="D1143" s="64">
        <v>42677</v>
      </c>
      <c r="E1143" s="63" t="s">
        <v>138</v>
      </c>
      <c r="F1143" s="65">
        <v>30305</v>
      </c>
      <c r="G1143" s="66">
        <v>9.7640001751390197E-3</v>
      </c>
      <c r="H1143" s="65">
        <v>590</v>
      </c>
      <c r="I1143" s="67">
        <v>0.72295964606139695</v>
      </c>
      <c r="J1143" s="67">
        <v>7.0589781107619203</v>
      </c>
      <c r="K1143" s="65">
        <v>91</v>
      </c>
      <c r="L1143" s="65">
        <v>17</v>
      </c>
      <c r="M1143" s="66">
        <v>7.6233183856502199E-2</v>
      </c>
      <c r="N1143" s="67">
        <v>1853.0402549293301</v>
      </c>
      <c r="O1143" s="67">
        <v>109.002367937019</v>
      </c>
      <c r="P1143" s="67">
        <v>161.220001071692</v>
      </c>
      <c r="Q1143" s="77">
        <v>8.7002967497778499E-2</v>
      </c>
    </row>
    <row r="1144" spans="1:17" x14ac:dyDescent="0.35">
      <c r="A1144" s="76" t="s">
        <v>136</v>
      </c>
      <c r="B1144" s="63">
        <v>634838</v>
      </c>
      <c r="C1144" s="63" t="s">
        <v>146</v>
      </c>
      <c r="D1144" s="64">
        <v>42678</v>
      </c>
      <c r="E1144" s="63" t="s">
        <v>138</v>
      </c>
      <c r="F1144" s="65">
        <v>30299</v>
      </c>
      <c r="G1144" s="66">
        <v>8.3935649335509406E-3</v>
      </c>
      <c r="H1144" s="65">
        <v>291</v>
      </c>
      <c r="I1144" s="67">
        <v>0.68074075201595297</v>
      </c>
      <c r="J1144" s="67">
        <v>5.7138417049601999</v>
      </c>
      <c r="K1144" s="65">
        <v>14</v>
      </c>
      <c r="L1144" s="65">
        <v>39</v>
      </c>
      <c r="M1144" s="66">
        <v>0.171296296296296</v>
      </c>
      <c r="N1144" s="67">
        <v>4819.8854716770602</v>
      </c>
      <c r="O1144" s="67">
        <v>130.26717491019099</v>
      </c>
      <c r="P1144" s="67">
        <v>147.04000243544601</v>
      </c>
      <c r="Q1144" s="77">
        <v>3.0506949449212499E-2</v>
      </c>
    </row>
    <row r="1145" spans="1:17" x14ac:dyDescent="0.35">
      <c r="A1145" s="76" t="s">
        <v>136</v>
      </c>
      <c r="B1145" s="63">
        <v>937733</v>
      </c>
      <c r="C1145" s="63" t="s">
        <v>147</v>
      </c>
      <c r="D1145" s="64">
        <v>42552</v>
      </c>
      <c r="E1145" s="63" t="s">
        <v>138</v>
      </c>
      <c r="F1145" s="65">
        <v>16693</v>
      </c>
      <c r="G1145" s="66">
        <v>2.07515423443634E-2</v>
      </c>
      <c r="H1145" s="65">
        <v>236</v>
      </c>
      <c r="I1145" s="67">
        <v>0.42216216913751697</v>
      </c>
      <c r="J1145" s="67">
        <v>8.7605161290454898</v>
      </c>
      <c r="K1145" s="65">
        <v>78</v>
      </c>
      <c r="L1145" s="65">
        <v>0</v>
      </c>
      <c r="M1145" s="66">
        <v>0</v>
      </c>
      <c r="N1145" s="67">
        <v>0</v>
      </c>
      <c r="O1145" s="67">
        <v>0</v>
      </c>
      <c r="P1145" s="67">
        <v>15.620000258088099</v>
      </c>
      <c r="Q1145" s="77">
        <v>0</v>
      </c>
    </row>
    <row r="1146" spans="1:17" x14ac:dyDescent="0.35">
      <c r="A1146" s="76" t="s">
        <v>136</v>
      </c>
      <c r="B1146" s="63">
        <v>937733</v>
      </c>
      <c r="C1146" s="63" t="s">
        <v>147</v>
      </c>
      <c r="D1146" s="64">
        <v>42553</v>
      </c>
      <c r="E1146" s="63" t="s">
        <v>138</v>
      </c>
      <c r="F1146" s="65">
        <v>19437</v>
      </c>
      <c r="G1146" s="66">
        <v>8.6289549376797701E-3</v>
      </c>
      <c r="H1146" s="65">
        <v>321</v>
      </c>
      <c r="I1146" s="67">
        <v>0.62944444848431502</v>
      </c>
      <c r="J1146" s="67">
        <v>5.4314477817438496</v>
      </c>
      <c r="K1146" s="65">
        <v>18</v>
      </c>
      <c r="L1146" s="65">
        <v>3</v>
      </c>
      <c r="M1146" s="66">
        <v>5.5555555555555601E-2</v>
      </c>
      <c r="N1146" s="67">
        <v>182.211083975934</v>
      </c>
      <c r="O1146" s="67">
        <v>182.211083975934</v>
      </c>
      <c r="P1146" s="67">
        <v>11.3300000727177</v>
      </c>
      <c r="Q1146" s="77">
        <v>6.2180630428685199E-2</v>
      </c>
    </row>
    <row r="1147" spans="1:17" x14ac:dyDescent="0.35">
      <c r="A1147" s="76" t="s">
        <v>136</v>
      </c>
      <c r="B1147" s="63">
        <v>937733</v>
      </c>
      <c r="C1147" s="63" t="s">
        <v>147</v>
      </c>
      <c r="D1147" s="64">
        <v>42554</v>
      </c>
      <c r="E1147" s="63" t="s">
        <v>138</v>
      </c>
      <c r="F1147" s="65">
        <v>49586</v>
      </c>
      <c r="G1147" s="66">
        <v>1.29564193168433E-2</v>
      </c>
      <c r="H1147" s="65">
        <v>406</v>
      </c>
      <c r="I1147" s="67">
        <v>0.57727273689074998</v>
      </c>
      <c r="J1147" s="67">
        <v>7.4793876393383298</v>
      </c>
      <c r="K1147" s="65">
        <v>14</v>
      </c>
      <c r="L1147" s="65">
        <v>0</v>
      </c>
      <c r="M1147" s="66">
        <v>0</v>
      </c>
      <c r="N1147" s="67">
        <v>0</v>
      </c>
      <c r="O1147" s="67">
        <v>0</v>
      </c>
      <c r="P1147" s="67">
        <v>12.7000002115965</v>
      </c>
      <c r="Q1147" s="77">
        <v>0</v>
      </c>
    </row>
    <row r="1148" spans="1:17" x14ac:dyDescent="0.35">
      <c r="A1148" s="76" t="s">
        <v>136</v>
      </c>
      <c r="B1148" s="63">
        <v>937733</v>
      </c>
      <c r="C1148" s="63" t="s">
        <v>147</v>
      </c>
      <c r="D1148" s="64">
        <v>42555</v>
      </c>
      <c r="E1148" s="63" t="s">
        <v>138</v>
      </c>
      <c r="F1148" s="65">
        <v>52906</v>
      </c>
      <c r="G1148" s="66">
        <v>1.9059720457433298E-2</v>
      </c>
      <c r="H1148" s="65">
        <v>249</v>
      </c>
      <c r="I1148" s="67">
        <v>0.54100000709295304</v>
      </c>
      <c r="J1148" s="67">
        <v>10.3113089026611</v>
      </c>
      <c r="K1148" s="65">
        <v>44</v>
      </c>
      <c r="L1148" s="65">
        <v>3</v>
      </c>
      <c r="M1148" s="66">
        <v>3.3333333333333298E-2</v>
      </c>
      <c r="N1148" s="67">
        <v>54.412655167205003</v>
      </c>
      <c r="O1148" s="67">
        <v>54.412655167205003</v>
      </c>
      <c r="P1148" s="67">
        <v>16.2300002127886</v>
      </c>
      <c r="Q1148" s="77">
        <v>0.29827620363158702</v>
      </c>
    </row>
    <row r="1149" spans="1:17" x14ac:dyDescent="0.35">
      <c r="A1149" s="76" t="s">
        <v>136</v>
      </c>
      <c r="B1149" s="63">
        <v>937733</v>
      </c>
      <c r="C1149" s="63" t="s">
        <v>147</v>
      </c>
      <c r="D1149" s="64">
        <v>42556</v>
      </c>
      <c r="E1149" s="63" t="s">
        <v>138</v>
      </c>
      <c r="F1149" s="65">
        <v>25649</v>
      </c>
      <c r="G1149" s="66">
        <v>1.6252390057361399E-2</v>
      </c>
      <c r="H1149" s="65">
        <v>219</v>
      </c>
      <c r="I1149" s="67">
        <v>0.45000000911600502</v>
      </c>
      <c r="J1149" s="67">
        <v>7.3135756739694804</v>
      </c>
      <c r="K1149" s="65">
        <v>41</v>
      </c>
      <c r="L1149" s="65">
        <v>3</v>
      </c>
      <c r="M1149" s="66">
        <v>0.17647058823529399</v>
      </c>
      <c r="N1149" s="67">
        <v>355.64872694876902</v>
      </c>
      <c r="O1149" s="67">
        <v>118.54957564959</v>
      </c>
      <c r="P1149" s="67">
        <v>7.65000015497208</v>
      </c>
      <c r="Q1149" s="77">
        <v>2.1509988860649101E-2</v>
      </c>
    </row>
    <row r="1150" spans="1:17" x14ac:dyDescent="0.35">
      <c r="A1150" s="76" t="s">
        <v>136</v>
      </c>
      <c r="B1150" s="63">
        <v>937733</v>
      </c>
      <c r="C1150" s="63" t="s">
        <v>147</v>
      </c>
      <c r="D1150" s="64">
        <v>42557</v>
      </c>
      <c r="E1150" s="63" t="s">
        <v>138</v>
      </c>
      <c r="F1150" s="65">
        <v>54989</v>
      </c>
      <c r="G1150" s="66">
        <v>7.0733863837312101E-3</v>
      </c>
      <c r="H1150" s="65">
        <v>593</v>
      </c>
      <c r="I1150" s="67">
        <v>0.26375000551342997</v>
      </c>
      <c r="J1150" s="67">
        <v>1.86560569770773</v>
      </c>
      <c r="K1150" s="65">
        <v>51</v>
      </c>
      <c r="L1150" s="65">
        <v>1</v>
      </c>
      <c r="M1150" s="66">
        <v>0</v>
      </c>
      <c r="N1150" s="67">
        <v>0</v>
      </c>
      <c r="O1150" s="67">
        <v>0</v>
      </c>
      <c r="P1150" s="67">
        <v>2.1100000441074398</v>
      </c>
      <c r="Q1150" s="77">
        <v>0</v>
      </c>
    </row>
    <row r="1151" spans="1:17" x14ac:dyDescent="0.35">
      <c r="A1151" s="76" t="s">
        <v>136</v>
      </c>
      <c r="B1151" s="63">
        <v>937733</v>
      </c>
      <c r="C1151" s="63" t="s">
        <v>147</v>
      </c>
      <c r="D1151" s="64">
        <v>42558</v>
      </c>
      <c r="E1151" s="63" t="s">
        <v>138</v>
      </c>
      <c r="F1151" s="65">
        <v>56637</v>
      </c>
      <c r="G1151" s="66">
        <v>1.2526096033402901E-2</v>
      </c>
      <c r="H1151" s="65">
        <v>212</v>
      </c>
      <c r="I1151" s="67">
        <v>0.538333346446355</v>
      </c>
      <c r="J1151" s="67">
        <v>6.74321519557021</v>
      </c>
      <c r="K1151" s="65">
        <v>42</v>
      </c>
      <c r="L1151" s="65">
        <v>0</v>
      </c>
      <c r="M1151" s="66">
        <v>0</v>
      </c>
      <c r="N1151" s="67">
        <v>0</v>
      </c>
      <c r="O1151" s="67">
        <v>0</v>
      </c>
      <c r="P1151" s="67">
        <v>6.4600001573562604</v>
      </c>
      <c r="Q1151" s="77">
        <v>0</v>
      </c>
    </row>
    <row r="1152" spans="1:17" x14ac:dyDescent="0.35">
      <c r="A1152" s="76" t="s">
        <v>136</v>
      </c>
      <c r="B1152" s="63">
        <v>937733</v>
      </c>
      <c r="C1152" s="63" t="s">
        <v>147</v>
      </c>
      <c r="D1152" s="64">
        <v>42559</v>
      </c>
      <c r="E1152" s="63" t="s">
        <v>138</v>
      </c>
      <c r="F1152" s="65">
        <v>43536</v>
      </c>
      <c r="G1152" s="66">
        <v>1.6416845110635299E-2</v>
      </c>
      <c r="H1152" s="65">
        <v>410</v>
      </c>
      <c r="I1152" s="67">
        <v>0.389565230711647</v>
      </c>
      <c r="J1152" s="67">
        <v>6.3954320530819899</v>
      </c>
      <c r="K1152" s="65">
        <v>22</v>
      </c>
      <c r="L1152" s="65">
        <v>1</v>
      </c>
      <c r="M1152" s="66">
        <v>0</v>
      </c>
      <c r="N1152" s="67">
        <v>0</v>
      </c>
      <c r="O1152" s="67">
        <v>0</v>
      </c>
      <c r="P1152" s="67">
        <v>8.9600003063678706</v>
      </c>
      <c r="Q1152" s="77">
        <v>0</v>
      </c>
    </row>
    <row r="1153" spans="1:17" x14ac:dyDescent="0.35">
      <c r="A1153" s="76" t="s">
        <v>136</v>
      </c>
      <c r="B1153" s="63">
        <v>937733</v>
      </c>
      <c r="C1153" s="63" t="s">
        <v>147</v>
      </c>
      <c r="D1153" s="64">
        <v>42560</v>
      </c>
      <c r="E1153" s="63" t="s">
        <v>138</v>
      </c>
      <c r="F1153" s="65">
        <v>17587</v>
      </c>
      <c r="G1153" s="66">
        <v>1.11034004163775E-2</v>
      </c>
      <c r="H1153" s="65">
        <v>537</v>
      </c>
      <c r="I1153" s="67">
        <v>0.45375001244246999</v>
      </c>
      <c r="J1153" s="67">
        <v>5.0381680770850199</v>
      </c>
      <c r="K1153" s="65">
        <v>68</v>
      </c>
      <c r="L1153" s="65">
        <v>1</v>
      </c>
      <c r="M1153" s="66">
        <v>0</v>
      </c>
      <c r="N1153" s="67">
        <v>0</v>
      </c>
      <c r="O1153" s="67">
        <v>0</v>
      </c>
      <c r="P1153" s="67">
        <v>7.26000019907951</v>
      </c>
      <c r="Q1153" s="77">
        <v>0</v>
      </c>
    </row>
    <row r="1154" spans="1:17" x14ac:dyDescent="0.35">
      <c r="A1154" s="76" t="s">
        <v>136</v>
      </c>
      <c r="B1154" s="63">
        <v>937733</v>
      </c>
      <c r="C1154" s="63" t="s">
        <v>147</v>
      </c>
      <c r="D1154" s="64">
        <v>42561</v>
      </c>
      <c r="E1154" s="63" t="s">
        <v>138</v>
      </c>
      <c r="F1154" s="65">
        <v>38331</v>
      </c>
      <c r="G1154" s="66">
        <v>1.48601398601399E-2</v>
      </c>
      <c r="H1154" s="65">
        <v>530</v>
      </c>
      <c r="I1154" s="67">
        <v>0.38529412448406197</v>
      </c>
      <c r="J1154" s="67">
        <v>5.7255245771233003</v>
      </c>
      <c r="K1154" s="65">
        <v>62</v>
      </c>
      <c r="L1154" s="65">
        <v>2</v>
      </c>
      <c r="M1154" s="66">
        <v>0</v>
      </c>
      <c r="N1154" s="67">
        <v>0</v>
      </c>
      <c r="O1154" s="67">
        <v>0</v>
      </c>
      <c r="P1154" s="67">
        <v>6.55000011622906</v>
      </c>
      <c r="Q1154" s="77">
        <v>0</v>
      </c>
    </row>
    <row r="1155" spans="1:17" x14ac:dyDescent="0.35">
      <c r="A1155" s="76" t="s">
        <v>136</v>
      </c>
      <c r="B1155" s="63">
        <v>937733</v>
      </c>
      <c r="C1155" s="63" t="s">
        <v>147</v>
      </c>
      <c r="D1155" s="64">
        <v>42562</v>
      </c>
      <c r="E1155" s="63" t="s">
        <v>138</v>
      </c>
      <c r="F1155" s="65">
        <v>20159</v>
      </c>
      <c r="G1155" s="66">
        <v>1.6650342801175302E-2</v>
      </c>
      <c r="H1155" s="65">
        <v>564</v>
      </c>
      <c r="I1155" s="67">
        <v>0.32823529751861802</v>
      </c>
      <c r="J1155" s="67">
        <v>5.4652302231307601</v>
      </c>
      <c r="K1155" s="65">
        <v>44</v>
      </c>
      <c r="L1155" s="65">
        <v>1</v>
      </c>
      <c r="M1155" s="66">
        <v>0</v>
      </c>
      <c r="N1155" s="67">
        <v>0</v>
      </c>
      <c r="O1155" s="67">
        <v>0</v>
      </c>
      <c r="P1155" s="67">
        <v>5.5800000578165099</v>
      </c>
      <c r="Q1155" s="77">
        <v>0</v>
      </c>
    </row>
    <row r="1156" spans="1:17" x14ac:dyDescent="0.35">
      <c r="A1156" s="76" t="s">
        <v>136</v>
      </c>
      <c r="B1156" s="63">
        <v>937733</v>
      </c>
      <c r="C1156" s="63" t="s">
        <v>147</v>
      </c>
      <c r="D1156" s="64">
        <v>42563</v>
      </c>
      <c r="E1156" s="63" t="s">
        <v>138</v>
      </c>
      <c r="F1156" s="65">
        <v>55791</v>
      </c>
      <c r="G1156" s="66">
        <v>1.4985014985015E-2</v>
      </c>
      <c r="H1156" s="65">
        <v>337</v>
      </c>
      <c r="I1156" s="67">
        <v>0.34000000854333201</v>
      </c>
      <c r="J1156" s="67">
        <v>5.0949052229270597</v>
      </c>
      <c r="K1156" s="65">
        <v>20</v>
      </c>
      <c r="L1156" s="65">
        <v>0</v>
      </c>
      <c r="M1156" s="66">
        <v>0</v>
      </c>
      <c r="N1156" s="67">
        <v>0</v>
      </c>
      <c r="O1156" s="67">
        <v>0</v>
      </c>
      <c r="P1156" s="67">
        <v>5.1000001281499898</v>
      </c>
      <c r="Q1156" s="77">
        <v>0</v>
      </c>
    </row>
    <row r="1157" spans="1:17" x14ac:dyDescent="0.35">
      <c r="A1157" s="76" t="s">
        <v>136</v>
      </c>
      <c r="B1157" s="63">
        <v>937733</v>
      </c>
      <c r="C1157" s="63" t="s">
        <v>147</v>
      </c>
      <c r="D1157" s="64">
        <v>42564</v>
      </c>
      <c r="E1157" s="63" t="s">
        <v>138</v>
      </c>
      <c r="F1157" s="65">
        <v>891</v>
      </c>
      <c r="G1157" s="66">
        <v>8.1775700934579396E-3</v>
      </c>
      <c r="H1157" s="65">
        <v>201</v>
      </c>
      <c r="I1157" s="67">
        <v>0.270000001149518</v>
      </c>
      <c r="J1157" s="67">
        <v>2.20794393463391</v>
      </c>
      <c r="K1157" s="65">
        <v>61</v>
      </c>
      <c r="L1157" s="65">
        <v>0</v>
      </c>
      <c r="M1157" s="66">
        <v>0</v>
      </c>
      <c r="N1157" s="67">
        <v>0</v>
      </c>
      <c r="O1157" s="67">
        <v>0</v>
      </c>
      <c r="P1157" s="67">
        <v>1.8900000080466299</v>
      </c>
      <c r="Q1157" s="77">
        <v>0</v>
      </c>
    </row>
    <row r="1158" spans="1:17" x14ac:dyDescent="0.35">
      <c r="A1158" s="76" t="s">
        <v>136</v>
      </c>
      <c r="B1158" s="63">
        <v>937733</v>
      </c>
      <c r="C1158" s="63" t="s">
        <v>147</v>
      </c>
      <c r="D1158" s="64">
        <v>42565</v>
      </c>
      <c r="E1158" s="63" t="s">
        <v>138</v>
      </c>
      <c r="F1158" s="65">
        <v>38969</v>
      </c>
      <c r="G1158" s="66">
        <v>2.37797246558198E-2</v>
      </c>
      <c r="H1158" s="65">
        <v>175</v>
      </c>
      <c r="I1158" s="67">
        <v>0.34210528590177203</v>
      </c>
      <c r="J1158" s="67">
        <v>8.1351695020446506</v>
      </c>
      <c r="K1158" s="65">
        <v>33</v>
      </c>
      <c r="L1158" s="65">
        <v>0</v>
      </c>
      <c r="M1158" s="66">
        <v>0</v>
      </c>
      <c r="N1158" s="67">
        <v>0</v>
      </c>
      <c r="O1158" s="67">
        <v>0</v>
      </c>
      <c r="P1158" s="67">
        <v>6.5000004321336702</v>
      </c>
      <c r="Q1158" s="77">
        <v>0</v>
      </c>
    </row>
    <row r="1159" spans="1:17" x14ac:dyDescent="0.35">
      <c r="A1159" s="76" t="s">
        <v>136</v>
      </c>
      <c r="B1159" s="63">
        <v>937733</v>
      </c>
      <c r="C1159" s="63" t="s">
        <v>147</v>
      </c>
      <c r="D1159" s="64">
        <v>42566</v>
      </c>
      <c r="E1159" s="63" t="s">
        <v>138</v>
      </c>
      <c r="F1159" s="65">
        <v>9746</v>
      </c>
      <c r="G1159" s="66">
        <v>1.53989734017732E-2</v>
      </c>
      <c r="H1159" s="65">
        <v>549</v>
      </c>
      <c r="I1159" s="67">
        <v>0.29878789683182999</v>
      </c>
      <c r="J1159" s="67">
        <v>4.6010268760851201</v>
      </c>
      <c r="K1159" s="65">
        <v>9</v>
      </c>
      <c r="L1159" s="65">
        <v>5</v>
      </c>
      <c r="M1159" s="66">
        <v>6.0606060606060601E-2</v>
      </c>
      <c r="N1159" s="67">
        <v>128.446709719182</v>
      </c>
      <c r="O1159" s="67">
        <v>64.223354859590799</v>
      </c>
      <c r="P1159" s="67">
        <v>9.8600005954503995</v>
      </c>
      <c r="Q1159" s="77">
        <v>7.6763356702612098E-2</v>
      </c>
    </row>
    <row r="1160" spans="1:17" x14ac:dyDescent="0.35">
      <c r="A1160" s="76" t="s">
        <v>136</v>
      </c>
      <c r="B1160" s="63">
        <v>937733</v>
      </c>
      <c r="C1160" s="63" t="s">
        <v>147</v>
      </c>
      <c r="D1160" s="64">
        <v>42567</v>
      </c>
      <c r="E1160" s="63" t="s">
        <v>138</v>
      </c>
      <c r="F1160" s="65">
        <v>4595</v>
      </c>
      <c r="G1160" s="66">
        <v>1.16222760290557E-2</v>
      </c>
      <c r="H1160" s="65">
        <v>226</v>
      </c>
      <c r="I1160" s="67">
        <v>0.28750001390774998</v>
      </c>
      <c r="J1160" s="67">
        <v>3.3414045199932301</v>
      </c>
      <c r="K1160" s="65">
        <v>97</v>
      </c>
      <c r="L1160" s="65">
        <v>1</v>
      </c>
      <c r="M1160" s="66">
        <v>0</v>
      </c>
      <c r="N1160" s="67">
        <v>0</v>
      </c>
      <c r="O1160" s="67">
        <v>0</v>
      </c>
      <c r="P1160" s="67">
        <v>6.9000003337860099</v>
      </c>
      <c r="Q1160" s="77">
        <v>0</v>
      </c>
    </row>
    <row r="1161" spans="1:17" x14ac:dyDescent="0.35">
      <c r="A1161" s="76" t="s">
        <v>136</v>
      </c>
      <c r="B1161" s="63">
        <v>937733</v>
      </c>
      <c r="C1161" s="63" t="s">
        <v>147</v>
      </c>
      <c r="D1161" s="64">
        <v>42568</v>
      </c>
      <c r="E1161" s="63" t="s">
        <v>138</v>
      </c>
      <c r="F1161" s="65">
        <v>8798</v>
      </c>
      <c r="G1161" s="66">
        <v>2.1604938271604899E-2</v>
      </c>
      <c r="H1161" s="65">
        <v>282</v>
      </c>
      <c r="I1161" s="67">
        <v>0.28190477813283599</v>
      </c>
      <c r="J1161" s="67">
        <v>6.0905353300304101</v>
      </c>
      <c r="K1161" s="65">
        <v>87</v>
      </c>
      <c r="L1161" s="65">
        <v>0</v>
      </c>
      <c r="M1161" s="66">
        <v>0</v>
      </c>
      <c r="N1161" s="67">
        <v>0</v>
      </c>
      <c r="O1161" s="67">
        <v>0</v>
      </c>
      <c r="P1161" s="67">
        <v>11.840000681579101</v>
      </c>
      <c r="Q1161" s="77">
        <v>0</v>
      </c>
    </row>
    <row r="1162" spans="1:17" x14ac:dyDescent="0.35">
      <c r="A1162" s="76" t="s">
        <v>136</v>
      </c>
      <c r="B1162" s="63">
        <v>937733</v>
      </c>
      <c r="C1162" s="63" t="s">
        <v>147</v>
      </c>
      <c r="D1162" s="64">
        <v>42569</v>
      </c>
      <c r="E1162" s="63" t="s">
        <v>138</v>
      </c>
      <c r="F1162" s="65">
        <v>18558</v>
      </c>
      <c r="G1162" s="66">
        <v>1.3023255813953499E-2</v>
      </c>
      <c r="H1162" s="65">
        <v>222</v>
      </c>
      <c r="I1162" s="67">
        <v>0.26785715403301402</v>
      </c>
      <c r="J1162" s="67">
        <v>3.4883722385694802</v>
      </c>
      <c r="K1162" s="65">
        <v>60</v>
      </c>
      <c r="L1162" s="65">
        <v>1</v>
      </c>
      <c r="M1162" s="66">
        <v>0</v>
      </c>
      <c r="N1162" s="67">
        <v>0</v>
      </c>
      <c r="O1162" s="67">
        <v>0</v>
      </c>
      <c r="P1162" s="67">
        <v>7.5000003129243904</v>
      </c>
      <c r="Q1162" s="77">
        <v>0</v>
      </c>
    </row>
    <row r="1163" spans="1:17" x14ac:dyDescent="0.35">
      <c r="A1163" s="76" t="s">
        <v>136</v>
      </c>
      <c r="B1163" s="63">
        <v>937733</v>
      </c>
      <c r="C1163" s="63" t="s">
        <v>147</v>
      </c>
      <c r="D1163" s="64">
        <v>42570</v>
      </c>
      <c r="E1163" s="63" t="s">
        <v>138</v>
      </c>
      <c r="F1163" s="65">
        <v>14878</v>
      </c>
      <c r="G1163" s="66">
        <v>1.38888888888889E-2</v>
      </c>
      <c r="H1163" s="65">
        <v>430</v>
      </c>
      <c r="I1163" s="67">
        <v>0.30942859053611799</v>
      </c>
      <c r="J1163" s="67">
        <v>4.29761931300163</v>
      </c>
      <c r="K1163" s="65">
        <v>23</v>
      </c>
      <c r="L1163" s="65">
        <v>0</v>
      </c>
      <c r="M1163" s="66">
        <v>0</v>
      </c>
      <c r="N1163" s="67">
        <v>0</v>
      </c>
      <c r="O1163" s="67">
        <v>0</v>
      </c>
      <c r="P1163" s="67">
        <v>10.8300006687641</v>
      </c>
      <c r="Q1163" s="77">
        <v>0</v>
      </c>
    </row>
    <row r="1164" spans="1:17" x14ac:dyDescent="0.35">
      <c r="A1164" s="76" t="s">
        <v>136</v>
      </c>
      <c r="B1164" s="63">
        <v>937733</v>
      </c>
      <c r="C1164" s="63" t="s">
        <v>147</v>
      </c>
      <c r="D1164" s="64">
        <v>42571</v>
      </c>
      <c r="E1164" s="63" t="s">
        <v>138</v>
      </c>
      <c r="F1164" s="65">
        <v>14386</v>
      </c>
      <c r="G1164" s="66">
        <v>1.8231186966640799E-2</v>
      </c>
      <c r="H1164" s="65">
        <v>496</v>
      </c>
      <c r="I1164" s="67">
        <v>0.28638299760666303</v>
      </c>
      <c r="J1164" s="67">
        <v>5.22110197343412</v>
      </c>
      <c r="K1164" s="65">
        <v>46</v>
      </c>
      <c r="L1164" s="65">
        <v>4</v>
      </c>
      <c r="M1164" s="66">
        <v>8.5106382978723402E-2</v>
      </c>
      <c r="N1164" s="67">
        <v>470.52468164592199</v>
      </c>
      <c r="O1164" s="67">
        <v>117.63117041148</v>
      </c>
      <c r="P1164" s="67">
        <v>13.4600008875132</v>
      </c>
      <c r="Q1164" s="77">
        <v>2.8606365218566899E-2</v>
      </c>
    </row>
    <row r="1165" spans="1:17" x14ac:dyDescent="0.35">
      <c r="A1165" s="76" t="s">
        <v>136</v>
      </c>
      <c r="B1165" s="63">
        <v>937733</v>
      </c>
      <c r="C1165" s="63" t="s">
        <v>147</v>
      </c>
      <c r="D1165" s="64">
        <v>42572</v>
      </c>
      <c r="E1165" s="63" t="s">
        <v>138</v>
      </c>
      <c r="F1165" s="65">
        <v>57144</v>
      </c>
      <c r="G1165" s="66">
        <v>1.49198060425214E-2</v>
      </c>
      <c r="H1165" s="65">
        <v>543</v>
      </c>
      <c r="I1165" s="67">
        <v>0.275750016979873</v>
      </c>
      <c r="J1165" s="67">
        <v>4.1141367695616999</v>
      </c>
      <c r="K1165" s="65">
        <v>75</v>
      </c>
      <c r="L1165" s="65">
        <v>2</v>
      </c>
      <c r="M1165" s="66">
        <v>0</v>
      </c>
      <c r="N1165" s="67">
        <v>0</v>
      </c>
      <c r="O1165" s="67">
        <v>0</v>
      </c>
      <c r="P1165" s="67">
        <v>11.030000679194901</v>
      </c>
      <c r="Q1165" s="77">
        <v>0</v>
      </c>
    </row>
    <row r="1166" spans="1:17" x14ac:dyDescent="0.35">
      <c r="A1166" s="76" t="s">
        <v>136</v>
      </c>
      <c r="B1166" s="63">
        <v>937733</v>
      </c>
      <c r="C1166" s="63" t="s">
        <v>147</v>
      </c>
      <c r="D1166" s="64">
        <v>42573</v>
      </c>
      <c r="E1166" s="63" t="s">
        <v>138</v>
      </c>
      <c r="F1166" s="65">
        <v>20104</v>
      </c>
      <c r="G1166" s="66">
        <v>1.4421385860007E-2</v>
      </c>
      <c r="H1166" s="65">
        <v>434</v>
      </c>
      <c r="I1166" s="67">
        <v>0.28804879726433202</v>
      </c>
      <c r="J1166" s="67">
        <v>4.1540628518598703</v>
      </c>
      <c r="K1166" s="65">
        <v>97</v>
      </c>
      <c r="L1166" s="65">
        <v>4</v>
      </c>
      <c r="M1166" s="66">
        <v>0</v>
      </c>
      <c r="N1166" s="67">
        <v>0</v>
      </c>
      <c r="O1166" s="67">
        <v>0</v>
      </c>
      <c r="P1166" s="67">
        <v>11.810000687837601</v>
      </c>
      <c r="Q1166" s="77">
        <v>0</v>
      </c>
    </row>
    <row r="1167" spans="1:17" x14ac:dyDescent="0.35">
      <c r="A1167" s="76" t="s">
        <v>136</v>
      </c>
      <c r="B1167" s="63">
        <v>937733</v>
      </c>
      <c r="C1167" s="63" t="s">
        <v>147</v>
      </c>
      <c r="D1167" s="64">
        <v>42574</v>
      </c>
      <c r="E1167" s="63" t="s">
        <v>138</v>
      </c>
      <c r="F1167" s="65">
        <v>23982</v>
      </c>
      <c r="G1167" s="66">
        <v>1.69555388093444E-2</v>
      </c>
      <c r="H1167" s="65">
        <v>181</v>
      </c>
      <c r="I1167" s="67">
        <v>0.29044445653756501</v>
      </c>
      <c r="J1167" s="67">
        <v>4.9246422547816104</v>
      </c>
      <c r="K1167" s="65">
        <v>71</v>
      </c>
      <c r="L1167" s="65">
        <v>2</v>
      </c>
      <c r="M1167" s="66">
        <v>2.2222222222222199E-2</v>
      </c>
      <c r="N1167" s="67">
        <v>51.603423600086003</v>
      </c>
      <c r="O1167" s="67">
        <v>51.603423600086003</v>
      </c>
      <c r="P1167" s="67">
        <v>13.0700005441904</v>
      </c>
      <c r="Q1167" s="77">
        <v>0.253277779503154</v>
      </c>
    </row>
    <row r="1168" spans="1:17" x14ac:dyDescent="0.35">
      <c r="A1168" s="76" t="s">
        <v>136</v>
      </c>
      <c r="B1168" s="63">
        <v>937733</v>
      </c>
      <c r="C1168" s="63" t="s">
        <v>147</v>
      </c>
      <c r="D1168" s="64">
        <v>42575</v>
      </c>
      <c r="E1168" s="63" t="s">
        <v>138</v>
      </c>
      <c r="F1168" s="65">
        <v>804</v>
      </c>
      <c r="G1168" s="66">
        <v>1.9634860489149201E-2</v>
      </c>
      <c r="H1168" s="65">
        <v>201</v>
      </c>
      <c r="I1168" s="67">
        <v>0.29824562357705903</v>
      </c>
      <c r="J1168" s="67">
        <v>5.8560112104348603</v>
      </c>
      <c r="K1168" s="65">
        <v>81</v>
      </c>
      <c r="L1168" s="65">
        <v>4</v>
      </c>
      <c r="M1168" s="66">
        <v>5.2631578947368397E-2</v>
      </c>
      <c r="N1168" s="67">
        <v>156.97121651090799</v>
      </c>
      <c r="O1168" s="67">
        <v>52.323738836969397</v>
      </c>
      <c r="P1168" s="67">
        <v>17.000000543892401</v>
      </c>
      <c r="Q1168" s="77">
        <v>0.10830011336958099</v>
      </c>
    </row>
    <row r="1169" spans="1:17" x14ac:dyDescent="0.35">
      <c r="A1169" s="76" t="s">
        <v>136</v>
      </c>
      <c r="B1169" s="63">
        <v>937733</v>
      </c>
      <c r="C1169" s="63" t="s">
        <v>147</v>
      </c>
      <c r="D1169" s="64">
        <v>42576</v>
      </c>
      <c r="E1169" s="63" t="s">
        <v>138</v>
      </c>
      <c r="F1169" s="65">
        <v>15036</v>
      </c>
      <c r="G1169" s="66">
        <v>1.50772710139465E-2</v>
      </c>
      <c r="H1169" s="65">
        <v>553</v>
      </c>
      <c r="I1169" s="67">
        <v>0.31400000937283001</v>
      </c>
      <c r="J1169" s="67">
        <v>4.7342632396958999</v>
      </c>
      <c r="K1169" s="65">
        <v>13</v>
      </c>
      <c r="L1169" s="65">
        <v>6</v>
      </c>
      <c r="M1169" s="66">
        <v>0.05</v>
      </c>
      <c r="N1169" s="67">
        <v>81.986344791095505</v>
      </c>
      <c r="O1169" s="67">
        <v>40.993172395547703</v>
      </c>
      <c r="P1169" s="67">
        <v>12.5600003749132</v>
      </c>
      <c r="Q1169" s="77">
        <v>0.15319624758143099</v>
      </c>
    </row>
    <row r="1170" spans="1:17" x14ac:dyDescent="0.35">
      <c r="A1170" s="76" t="s">
        <v>136</v>
      </c>
      <c r="B1170" s="63">
        <v>937733</v>
      </c>
      <c r="C1170" s="63" t="s">
        <v>147</v>
      </c>
      <c r="D1170" s="64">
        <v>42577</v>
      </c>
      <c r="E1170" s="63" t="s">
        <v>138</v>
      </c>
      <c r="F1170" s="65">
        <v>20471</v>
      </c>
      <c r="G1170" s="66">
        <v>4.8691418137553301E-3</v>
      </c>
      <c r="H1170" s="65">
        <v>166</v>
      </c>
      <c r="I1170" s="67">
        <v>0.35250001400709202</v>
      </c>
      <c r="J1170" s="67">
        <v>1.7163725575512701</v>
      </c>
      <c r="K1170" s="65">
        <v>65</v>
      </c>
      <c r="L1170" s="65">
        <v>1</v>
      </c>
      <c r="M1170" s="66">
        <v>0</v>
      </c>
      <c r="N1170" s="67">
        <v>0</v>
      </c>
      <c r="O1170" s="67">
        <v>0</v>
      </c>
      <c r="P1170" s="67">
        <v>2.82000011205673</v>
      </c>
      <c r="Q1170" s="77">
        <v>0</v>
      </c>
    </row>
    <row r="1171" spans="1:17" x14ac:dyDescent="0.35">
      <c r="A1171" s="76" t="s">
        <v>136</v>
      </c>
      <c r="B1171" s="63">
        <v>937733</v>
      </c>
      <c r="C1171" s="63" t="s">
        <v>147</v>
      </c>
      <c r="D1171" s="64">
        <v>42578</v>
      </c>
      <c r="E1171" s="63" t="s">
        <v>138</v>
      </c>
      <c r="F1171" s="65">
        <v>66578</v>
      </c>
      <c r="G1171" s="66">
        <v>1.640838650866E-2</v>
      </c>
      <c r="H1171" s="65">
        <v>293</v>
      </c>
      <c r="I1171" s="67">
        <v>0.21250001030663601</v>
      </c>
      <c r="J1171" s="67">
        <v>3.48678230220552</v>
      </c>
      <c r="K1171" s="65">
        <v>38</v>
      </c>
      <c r="L1171" s="65">
        <v>5</v>
      </c>
      <c r="M1171" s="66">
        <v>5.5555555555555601E-2</v>
      </c>
      <c r="N1171" s="67">
        <v>155.28567855983999</v>
      </c>
      <c r="O1171" s="67">
        <v>77.642839279919997</v>
      </c>
      <c r="P1171" s="67">
        <v>7.6500003710389102</v>
      </c>
      <c r="Q1171" s="77">
        <v>4.9264043162170597E-2</v>
      </c>
    </row>
    <row r="1172" spans="1:17" x14ac:dyDescent="0.35">
      <c r="A1172" s="76" t="s">
        <v>136</v>
      </c>
      <c r="B1172" s="63">
        <v>937733</v>
      </c>
      <c r="C1172" s="63" t="s">
        <v>147</v>
      </c>
      <c r="D1172" s="64">
        <v>42579</v>
      </c>
      <c r="E1172" s="63" t="s">
        <v>138</v>
      </c>
      <c r="F1172" s="65">
        <v>37071</v>
      </c>
      <c r="G1172" s="66">
        <v>2.9061102831594601E-2</v>
      </c>
      <c r="H1172" s="65">
        <v>218</v>
      </c>
      <c r="I1172" s="67">
        <v>0.25846154414690498</v>
      </c>
      <c r="J1172" s="67">
        <v>7.5111775124659301</v>
      </c>
      <c r="K1172" s="65">
        <v>49</v>
      </c>
      <c r="L1172" s="65">
        <v>1</v>
      </c>
      <c r="M1172" s="66">
        <v>2.5641025641025599E-2</v>
      </c>
      <c r="N1172" s="67">
        <v>226.07830218080099</v>
      </c>
      <c r="O1172" s="67">
        <v>226.07830218080099</v>
      </c>
      <c r="P1172" s="67">
        <v>10.0800002217293</v>
      </c>
      <c r="Q1172" s="77">
        <v>4.4586323076984298E-2</v>
      </c>
    </row>
    <row r="1173" spans="1:17" x14ac:dyDescent="0.35">
      <c r="A1173" s="76" t="s">
        <v>136</v>
      </c>
      <c r="B1173" s="63">
        <v>937733</v>
      </c>
      <c r="C1173" s="63" t="s">
        <v>147</v>
      </c>
      <c r="D1173" s="64">
        <v>42580</v>
      </c>
      <c r="E1173" s="63" t="s">
        <v>138</v>
      </c>
      <c r="F1173" s="65">
        <v>410</v>
      </c>
      <c r="G1173" s="66">
        <v>2.40213523131673E-2</v>
      </c>
      <c r="H1173" s="65">
        <v>152</v>
      </c>
      <c r="I1173" s="67">
        <v>0.26962963740030899</v>
      </c>
      <c r="J1173" s="67">
        <v>6.4768685140643703</v>
      </c>
      <c r="K1173" s="65">
        <v>21</v>
      </c>
      <c r="L1173" s="65">
        <v>2</v>
      </c>
      <c r="M1173" s="66">
        <v>3.7037037037037E-2</v>
      </c>
      <c r="N1173" s="67">
        <v>43.089289025949597</v>
      </c>
      <c r="O1173" s="67">
        <v>43.089289025949597</v>
      </c>
      <c r="P1173" s="67">
        <v>7.2800002098083496</v>
      </c>
      <c r="Q1173" s="77">
        <v>0.16895150452410901</v>
      </c>
    </row>
    <row r="1174" spans="1:17" x14ac:dyDescent="0.35">
      <c r="A1174" s="76" t="s">
        <v>136</v>
      </c>
      <c r="B1174" s="63">
        <v>937733</v>
      </c>
      <c r="C1174" s="63" t="s">
        <v>147</v>
      </c>
      <c r="D1174" s="64">
        <v>42581</v>
      </c>
      <c r="E1174" s="63" t="s">
        <v>138</v>
      </c>
      <c r="F1174" s="65">
        <v>32022</v>
      </c>
      <c r="G1174" s="66">
        <v>2.0435967302452299E-2</v>
      </c>
      <c r="H1174" s="65">
        <v>363</v>
      </c>
      <c r="I1174" s="67">
        <v>0.28166668117046401</v>
      </c>
      <c r="J1174" s="67">
        <v>5.7561310865898498</v>
      </c>
      <c r="K1174" s="65">
        <v>20</v>
      </c>
      <c r="L1174" s="65">
        <v>0</v>
      </c>
      <c r="M1174" s="66">
        <v>0</v>
      </c>
      <c r="N1174" s="67">
        <v>0</v>
      </c>
      <c r="O1174" s="67">
        <v>0</v>
      </c>
      <c r="P1174" s="67">
        <v>8.4500004351139104</v>
      </c>
      <c r="Q1174" s="77">
        <v>0</v>
      </c>
    </row>
    <row r="1175" spans="1:17" x14ac:dyDescent="0.35">
      <c r="A1175" s="76" t="s">
        <v>136</v>
      </c>
      <c r="B1175" s="63">
        <v>937733</v>
      </c>
      <c r="C1175" s="63" t="s">
        <v>147</v>
      </c>
      <c r="D1175" s="64">
        <v>42582</v>
      </c>
      <c r="E1175" s="63" t="s">
        <v>138</v>
      </c>
      <c r="F1175" s="65">
        <v>52899</v>
      </c>
      <c r="G1175" s="66">
        <v>1.6776512881965199E-2</v>
      </c>
      <c r="H1175" s="65">
        <v>309</v>
      </c>
      <c r="I1175" s="67">
        <v>0.28035714849829702</v>
      </c>
      <c r="J1175" s="67">
        <v>4.7034153133327203</v>
      </c>
      <c r="K1175" s="65">
        <v>35</v>
      </c>
      <c r="L1175" s="65">
        <v>2</v>
      </c>
      <c r="M1175" s="66">
        <v>3.5714285714285698E-2</v>
      </c>
      <c r="N1175" s="67">
        <v>60.463304475963497</v>
      </c>
      <c r="O1175" s="67">
        <v>60.463304475963497</v>
      </c>
      <c r="P1175" s="67">
        <v>7.8500001579523104</v>
      </c>
      <c r="Q1175" s="77">
        <v>0.12983081599638599</v>
      </c>
    </row>
    <row r="1176" spans="1:17" x14ac:dyDescent="0.35">
      <c r="A1176" s="76" t="s">
        <v>136</v>
      </c>
      <c r="B1176" s="63">
        <v>937733</v>
      </c>
      <c r="C1176" s="63" t="s">
        <v>147</v>
      </c>
      <c r="D1176" s="64">
        <v>42583</v>
      </c>
      <c r="E1176" s="63" t="s">
        <v>138</v>
      </c>
      <c r="F1176" s="65">
        <v>11217</v>
      </c>
      <c r="G1176" s="66">
        <v>1.48387096774194E-2</v>
      </c>
      <c r="H1176" s="65">
        <v>396</v>
      </c>
      <c r="I1176" s="67">
        <v>0.234782618025075</v>
      </c>
      <c r="J1176" s="67">
        <v>3.4838711061785301</v>
      </c>
      <c r="K1176" s="65">
        <v>75</v>
      </c>
      <c r="L1176" s="65">
        <v>3</v>
      </c>
      <c r="M1176" s="66">
        <v>0</v>
      </c>
      <c r="N1176" s="67">
        <v>0</v>
      </c>
      <c r="O1176" s="67">
        <v>0</v>
      </c>
      <c r="P1176" s="67">
        <v>5.4000002145767203</v>
      </c>
      <c r="Q1176" s="77">
        <v>0</v>
      </c>
    </row>
    <row r="1177" spans="1:17" x14ac:dyDescent="0.35">
      <c r="A1177" s="76" t="s">
        <v>136</v>
      </c>
      <c r="B1177" s="63">
        <v>937733</v>
      </c>
      <c r="C1177" s="63" t="s">
        <v>147</v>
      </c>
      <c r="D1177" s="64">
        <v>42584</v>
      </c>
      <c r="E1177" s="63" t="s">
        <v>138</v>
      </c>
      <c r="F1177" s="65">
        <v>67433</v>
      </c>
      <c r="G1177" s="66">
        <v>9.7529258777633299E-3</v>
      </c>
      <c r="H1177" s="65">
        <v>344</v>
      </c>
      <c r="I1177" s="67">
        <v>0.26066667685906098</v>
      </c>
      <c r="J1177" s="67">
        <v>2.5422627782093099</v>
      </c>
      <c r="K1177" s="65">
        <v>72</v>
      </c>
      <c r="L1177" s="65">
        <v>1</v>
      </c>
      <c r="M1177" s="66">
        <v>0</v>
      </c>
      <c r="N1177" s="67">
        <v>0</v>
      </c>
      <c r="O1177" s="67">
        <v>0</v>
      </c>
      <c r="P1177" s="67">
        <v>3.9100001528859099</v>
      </c>
      <c r="Q1177" s="77">
        <v>0</v>
      </c>
    </row>
    <row r="1178" spans="1:17" x14ac:dyDescent="0.35">
      <c r="A1178" s="76" t="s">
        <v>136</v>
      </c>
      <c r="B1178" s="63">
        <v>937733</v>
      </c>
      <c r="C1178" s="63" t="s">
        <v>147</v>
      </c>
      <c r="D1178" s="64">
        <v>42585</v>
      </c>
      <c r="E1178" s="63" t="s">
        <v>138</v>
      </c>
      <c r="F1178" s="65">
        <v>28985</v>
      </c>
      <c r="G1178" s="66">
        <v>1.38728323699422E-2</v>
      </c>
      <c r="H1178" s="65">
        <v>558</v>
      </c>
      <c r="I1178" s="67">
        <v>0.23958334171523701</v>
      </c>
      <c r="J1178" s="67">
        <v>3.3236995382460601</v>
      </c>
      <c r="K1178" s="65">
        <v>99</v>
      </c>
      <c r="L1178" s="65">
        <v>2</v>
      </c>
      <c r="M1178" s="66">
        <v>0</v>
      </c>
      <c r="N1178" s="67">
        <v>0</v>
      </c>
      <c r="O1178" s="67">
        <v>0</v>
      </c>
      <c r="P1178" s="67">
        <v>5.7500002011656797</v>
      </c>
      <c r="Q1178" s="77">
        <v>0</v>
      </c>
    </row>
    <row r="1179" spans="1:17" x14ac:dyDescent="0.35">
      <c r="A1179" s="76" t="s">
        <v>136</v>
      </c>
      <c r="B1179" s="63">
        <v>937733</v>
      </c>
      <c r="C1179" s="63" t="s">
        <v>147</v>
      </c>
      <c r="D1179" s="64">
        <v>42586</v>
      </c>
      <c r="E1179" s="63" t="s">
        <v>138</v>
      </c>
      <c r="F1179" s="65">
        <v>48666</v>
      </c>
      <c r="G1179" s="66">
        <v>1.143583227446E-2</v>
      </c>
      <c r="H1179" s="65">
        <v>195</v>
      </c>
      <c r="I1179" s="67">
        <v>0.32777778887086401</v>
      </c>
      <c r="J1179" s="67">
        <v>3.74841181682056</v>
      </c>
      <c r="K1179" s="65">
        <v>97</v>
      </c>
      <c r="L1179" s="65">
        <v>2</v>
      </c>
      <c r="M1179" s="66">
        <v>5.5555555555555601E-2</v>
      </c>
      <c r="N1179" s="67">
        <v>312.683215982484</v>
      </c>
      <c r="O1179" s="67">
        <v>312.683215982484</v>
      </c>
      <c r="P1179" s="67">
        <v>5.90000019967556</v>
      </c>
      <c r="Q1179" s="77">
        <v>1.88689379477473E-2</v>
      </c>
    </row>
    <row r="1180" spans="1:17" x14ac:dyDescent="0.35">
      <c r="A1180" s="76" t="s">
        <v>136</v>
      </c>
      <c r="B1180" s="63">
        <v>937733</v>
      </c>
      <c r="C1180" s="63" t="s">
        <v>147</v>
      </c>
      <c r="D1180" s="64">
        <v>42587</v>
      </c>
      <c r="E1180" s="63" t="s">
        <v>138</v>
      </c>
      <c r="F1180" s="65">
        <v>13597</v>
      </c>
      <c r="G1180" s="66">
        <v>2.6259758694109299E-2</v>
      </c>
      <c r="H1180" s="65">
        <v>166</v>
      </c>
      <c r="I1180" s="67">
        <v>0.30108109358194701</v>
      </c>
      <c r="J1180" s="67">
        <v>7.9063168648204698</v>
      </c>
      <c r="K1180" s="65">
        <v>90</v>
      </c>
      <c r="L1180" s="65">
        <v>0</v>
      </c>
      <c r="M1180" s="66">
        <v>0</v>
      </c>
      <c r="N1180" s="67">
        <v>0</v>
      </c>
      <c r="O1180" s="67">
        <v>0</v>
      </c>
      <c r="P1180" s="67">
        <v>11.140000462532001</v>
      </c>
      <c r="Q1180" s="77">
        <v>0</v>
      </c>
    </row>
    <row r="1181" spans="1:17" x14ac:dyDescent="0.35">
      <c r="A1181" s="76" t="s">
        <v>136</v>
      </c>
      <c r="B1181" s="63">
        <v>937733</v>
      </c>
      <c r="C1181" s="63" t="s">
        <v>147</v>
      </c>
      <c r="D1181" s="64">
        <v>42588</v>
      </c>
      <c r="E1181" s="63" t="s">
        <v>138</v>
      </c>
      <c r="F1181" s="65">
        <v>45062</v>
      </c>
      <c r="G1181" s="66">
        <v>1.6141429669485001E-2</v>
      </c>
      <c r="H1181" s="65">
        <v>510</v>
      </c>
      <c r="I1181" s="67">
        <v>0.248095249136289</v>
      </c>
      <c r="J1181" s="67">
        <v>4.0046120152667699</v>
      </c>
      <c r="K1181" s="65">
        <v>27</v>
      </c>
      <c r="L1181" s="65">
        <v>1</v>
      </c>
      <c r="M1181" s="66">
        <v>0</v>
      </c>
      <c r="N1181" s="67">
        <v>0</v>
      </c>
      <c r="O1181" s="67">
        <v>0</v>
      </c>
      <c r="P1181" s="67">
        <v>5.21000023186207</v>
      </c>
      <c r="Q1181" s="77">
        <v>0</v>
      </c>
    </row>
    <row r="1182" spans="1:17" x14ac:dyDescent="0.35">
      <c r="A1182" s="76" t="s">
        <v>136</v>
      </c>
      <c r="B1182" s="63">
        <v>937733</v>
      </c>
      <c r="C1182" s="63" t="s">
        <v>147</v>
      </c>
      <c r="D1182" s="64">
        <v>42589</v>
      </c>
      <c r="E1182" s="63" t="s">
        <v>138</v>
      </c>
      <c r="F1182" s="65">
        <v>45347</v>
      </c>
      <c r="G1182" s="66">
        <v>1.0348071495766701E-2</v>
      </c>
      <c r="H1182" s="65">
        <v>212</v>
      </c>
      <c r="I1182" s="67">
        <v>0.26363637366078102</v>
      </c>
      <c r="J1182" s="67">
        <v>2.7281280435264299</v>
      </c>
      <c r="K1182" s="65">
        <v>81</v>
      </c>
      <c r="L1182" s="65">
        <v>1</v>
      </c>
      <c r="M1182" s="66">
        <v>0</v>
      </c>
      <c r="N1182" s="67">
        <v>0</v>
      </c>
      <c r="O1182" s="67">
        <v>0</v>
      </c>
      <c r="P1182" s="67">
        <v>2.9000001102685902</v>
      </c>
      <c r="Q1182" s="77">
        <v>0</v>
      </c>
    </row>
    <row r="1183" spans="1:17" x14ac:dyDescent="0.35">
      <c r="A1183" s="76" t="s">
        <v>136</v>
      </c>
      <c r="B1183" s="63">
        <v>937733</v>
      </c>
      <c r="C1183" s="63" t="s">
        <v>147</v>
      </c>
      <c r="D1183" s="64">
        <v>42590</v>
      </c>
      <c r="E1183" s="63" t="s">
        <v>138</v>
      </c>
      <c r="F1183" s="65">
        <v>51236</v>
      </c>
      <c r="G1183" s="66">
        <v>1.7274472168905999E-2</v>
      </c>
      <c r="H1183" s="65">
        <v>553</v>
      </c>
      <c r="I1183" s="67">
        <v>0.30055556943019202</v>
      </c>
      <c r="J1183" s="67">
        <v>5.1919388193315399</v>
      </c>
      <c r="K1183" s="65">
        <v>11</v>
      </c>
      <c r="L1183" s="65">
        <v>2</v>
      </c>
      <c r="M1183" s="66">
        <v>0</v>
      </c>
      <c r="N1183" s="67">
        <v>0</v>
      </c>
      <c r="O1183" s="67">
        <v>0</v>
      </c>
      <c r="P1183" s="67">
        <v>5.4100002497434598</v>
      </c>
      <c r="Q1183" s="77">
        <v>0</v>
      </c>
    </row>
    <row r="1184" spans="1:17" x14ac:dyDescent="0.35">
      <c r="A1184" s="76" t="s">
        <v>136</v>
      </c>
      <c r="B1184" s="63">
        <v>937733</v>
      </c>
      <c r="C1184" s="63" t="s">
        <v>147</v>
      </c>
      <c r="D1184" s="64">
        <v>42591</v>
      </c>
      <c r="E1184" s="63" t="s">
        <v>138</v>
      </c>
      <c r="F1184" s="65">
        <v>6633</v>
      </c>
      <c r="G1184" s="66">
        <v>1.13636363636364E-2</v>
      </c>
      <c r="H1184" s="65">
        <v>360</v>
      </c>
      <c r="I1184" s="67">
        <v>0.30833334475755703</v>
      </c>
      <c r="J1184" s="67">
        <v>3.5037880086086002</v>
      </c>
      <c r="K1184" s="65">
        <v>55</v>
      </c>
      <c r="L1184" s="65">
        <v>3</v>
      </c>
      <c r="M1184" s="66">
        <v>0</v>
      </c>
      <c r="N1184" s="67">
        <v>0</v>
      </c>
      <c r="O1184" s="67">
        <v>0</v>
      </c>
      <c r="P1184" s="67">
        <v>3.7000001370906799</v>
      </c>
      <c r="Q1184" s="77">
        <v>0</v>
      </c>
    </row>
    <row r="1185" spans="1:17" x14ac:dyDescent="0.35">
      <c r="A1185" s="76" t="s">
        <v>136</v>
      </c>
      <c r="B1185" s="63">
        <v>937733</v>
      </c>
      <c r="C1185" s="63" t="s">
        <v>147</v>
      </c>
      <c r="D1185" s="64">
        <v>42592</v>
      </c>
      <c r="E1185" s="63" t="s">
        <v>138</v>
      </c>
      <c r="F1185" s="65">
        <v>34936</v>
      </c>
      <c r="G1185" s="66">
        <v>1.27931769722815E-2</v>
      </c>
      <c r="H1185" s="65">
        <v>234</v>
      </c>
      <c r="I1185" s="67">
        <v>0.29333334043622</v>
      </c>
      <c r="J1185" s="67">
        <v>3.75266533607105</v>
      </c>
      <c r="K1185" s="65">
        <v>57</v>
      </c>
      <c r="L1185" s="65">
        <v>5</v>
      </c>
      <c r="M1185" s="66">
        <v>0.16666666666666699</v>
      </c>
      <c r="N1185" s="67">
        <v>359.88963745980197</v>
      </c>
      <c r="O1185" s="67">
        <v>179.94481872990099</v>
      </c>
      <c r="P1185" s="67">
        <v>3.5200000852346398</v>
      </c>
      <c r="Q1185" s="77">
        <v>9.7807764349086192E-3</v>
      </c>
    </row>
    <row r="1186" spans="1:17" x14ac:dyDescent="0.35">
      <c r="A1186" s="76" t="s">
        <v>136</v>
      </c>
      <c r="B1186" s="63">
        <v>937733</v>
      </c>
      <c r="C1186" s="63" t="s">
        <v>147</v>
      </c>
      <c r="D1186" s="64">
        <v>42593</v>
      </c>
      <c r="E1186" s="63" t="s">
        <v>138</v>
      </c>
      <c r="F1186" s="65">
        <v>52461</v>
      </c>
      <c r="G1186" s="66">
        <v>6.4724919093851101E-3</v>
      </c>
      <c r="H1186" s="65">
        <v>286</v>
      </c>
      <c r="I1186" s="67">
        <v>0.30750001035630697</v>
      </c>
      <c r="J1186" s="67">
        <v>1.9902913291670401</v>
      </c>
      <c r="K1186" s="65">
        <v>69</v>
      </c>
      <c r="L1186" s="65">
        <v>2</v>
      </c>
      <c r="M1186" s="66">
        <v>0</v>
      </c>
      <c r="N1186" s="67">
        <v>0</v>
      </c>
      <c r="O1186" s="67">
        <v>0</v>
      </c>
      <c r="P1186" s="67">
        <v>2.4600000828504598</v>
      </c>
      <c r="Q1186" s="77">
        <v>0</v>
      </c>
    </row>
    <row r="1187" spans="1:17" x14ac:dyDescent="0.35">
      <c r="A1187" s="76" t="s">
        <v>136</v>
      </c>
      <c r="B1187" s="63">
        <v>937733</v>
      </c>
      <c r="C1187" s="63" t="s">
        <v>147</v>
      </c>
      <c r="D1187" s="64">
        <v>42594</v>
      </c>
      <c r="E1187" s="63" t="s">
        <v>138</v>
      </c>
      <c r="F1187" s="65">
        <v>22004</v>
      </c>
      <c r="G1187" s="66">
        <v>1.1227544910179601E-2</v>
      </c>
      <c r="H1187" s="65">
        <v>488</v>
      </c>
      <c r="I1187" s="67">
        <v>0.35333334505558001</v>
      </c>
      <c r="J1187" s="67">
        <v>3.9670659998755302</v>
      </c>
      <c r="K1187" s="65">
        <v>20</v>
      </c>
      <c r="L1187" s="65">
        <v>2</v>
      </c>
      <c r="M1187" s="66">
        <v>6.6666666666666693E-2</v>
      </c>
      <c r="N1187" s="67">
        <v>222.88325573374701</v>
      </c>
      <c r="O1187" s="67">
        <v>222.88325573374701</v>
      </c>
      <c r="P1187" s="67">
        <v>5.3000001758337003</v>
      </c>
      <c r="Q1187" s="77">
        <v>2.37792657792338E-2</v>
      </c>
    </row>
    <row r="1188" spans="1:17" x14ac:dyDescent="0.35">
      <c r="A1188" s="76" t="s">
        <v>136</v>
      </c>
      <c r="B1188" s="63">
        <v>937733</v>
      </c>
      <c r="C1188" s="63" t="s">
        <v>147</v>
      </c>
      <c r="D1188" s="64">
        <v>42595</v>
      </c>
      <c r="E1188" s="63" t="s">
        <v>138</v>
      </c>
      <c r="F1188" s="65">
        <v>45246</v>
      </c>
      <c r="G1188" s="66">
        <v>1.7948717948717899E-2</v>
      </c>
      <c r="H1188" s="65">
        <v>315</v>
      </c>
      <c r="I1188" s="67">
        <v>0.28619048496087401</v>
      </c>
      <c r="J1188" s="67">
        <v>5.1367522941695301</v>
      </c>
      <c r="K1188" s="65">
        <v>63</v>
      </c>
      <c r="L1188" s="65">
        <v>2</v>
      </c>
      <c r="M1188" s="66">
        <v>0</v>
      </c>
      <c r="N1188" s="67">
        <v>0</v>
      </c>
      <c r="O1188" s="67">
        <v>0</v>
      </c>
      <c r="P1188" s="67">
        <v>6.0100001841783497</v>
      </c>
      <c r="Q1188" s="77">
        <v>0</v>
      </c>
    </row>
    <row r="1189" spans="1:17" x14ac:dyDescent="0.35">
      <c r="A1189" s="76" t="s">
        <v>136</v>
      </c>
      <c r="B1189" s="63">
        <v>937733</v>
      </c>
      <c r="C1189" s="63" t="s">
        <v>147</v>
      </c>
      <c r="D1189" s="64">
        <v>42596</v>
      </c>
      <c r="E1189" s="63" t="s">
        <v>138</v>
      </c>
      <c r="F1189" s="65">
        <v>62033</v>
      </c>
      <c r="G1189" s="66">
        <v>1.05448154657294E-2</v>
      </c>
      <c r="H1189" s="65">
        <v>504</v>
      </c>
      <c r="I1189" s="67">
        <v>0.27500000596046398</v>
      </c>
      <c r="J1189" s="67">
        <v>2.8998243159275701</v>
      </c>
      <c r="K1189" s="65">
        <v>35</v>
      </c>
      <c r="L1189" s="65">
        <v>0</v>
      </c>
      <c r="M1189" s="66">
        <v>0</v>
      </c>
      <c r="N1189" s="67">
        <v>0</v>
      </c>
      <c r="O1189" s="67">
        <v>0</v>
      </c>
      <c r="P1189" s="67">
        <v>3.3000000715255702</v>
      </c>
      <c r="Q1189" s="77">
        <v>0</v>
      </c>
    </row>
    <row r="1190" spans="1:17" x14ac:dyDescent="0.35">
      <c r="A1190" s="76" t="s">
        <v>136</v>
      </c>
      <c r="B1190" s="63">
        <v>937733</v>
      </c>
      <c r="C1190" s="63" t="s">
        <v>147</v>
      </c>
      <c r="D1190" s="64">
        <v>42597</v>
      </c>
      <c r="E1190" s="63" t="s">
        <v>138</v>
      </c>
      <c r="F1190" s="65">
        <v>66476</v>
      </c>
      <c r="G1190" s="66">
        <v>1.5567765567765599E-2</v>
      </c>
      <c r="H1190" s="65">
        <v>229</v>
      </c>
      <c r="I1190" s="67">
        <v>0.23352942045997199</v>
      </c>
      <c r="J1190" s="67">
        <v>3.6355312708969998</v>
      </c>
      <c r="K1190" s="65">
        <v>26</v>
      </c>
      <c r="L1190" s="65">
        <v>0</v>
      </c>
      <c r="M1190" s="66">
        <v>0</v>
      </c>
      <c r="N1190" s="67">
        <v>0</v>
      </c>
      <c r="O1190" s="67">
        <v>0</v>
      </c>
      <c r="P1190" s="67">
        <v>3.9700001478195199</v>
      </c>
      <c r="Q1190" s="77">
        <v>0</v>
      </c>
    </row>
    <row r="1191" spans="1:17" x14ac:dyDescent="0.35">
      <c r="A1191" s="76" t="s">
        <v>136</v>
      </c>
      <c r="B1191" s="63">
        <v>937733</v>
      </c>
      <c r="C1191" s="63" t="s">
        <v>147</v>
      </c>
      <c r="D1191" s="64">
        <v>42598</v>
      </c>
      <c r="E1191" s="63" t="s">
        <v>138</v>
      </c>
      <c r="F1191" s="65">
        <v>57524</v>
      </c>
      <c r="G1191" s="66">
        <v>1.4018691588785E-2</v>
      </c>
      <c r="H1191" s="65">
        <v>299</v>
      </c>
      <c r="I1191" s="67">
        <v>0.30555556714534798</v>
      </c>
      <c r="J1191" s="67">
        <v>4.28348925904693</v>
      </c>
      <c r="K1191" s="65">
        <v>45</v>
      </c>
      <c r="L1191" s="65">
        <v>4</v>
      </c>
      <c r="M1191" s="66">
        <v>5.5555555555555601E-2</v>
      </c>
      <c r="N1191" s="67">
        <v>473.788584238662</v>
      </c>
      <c r="O1191" s="67">
        <v>473.788584238662</v>
      </c>
      <c r="P1191" s="67">
        <v>5.5000002086162603</v>
      </c>
      <c r="Q1191" s="77">
        <v>1.1608553670524401E-2</v>
      </c>
    </row>
    <row r="1192" spans="1:17" x14ac:dyDescent="0.35">
      <c r="A1192" s="76" t="s">
        <v>136</v>
      </c>
      <c r="B1192" s="63">
        <v>937733</v>
      </c>
      <c r="C1192" s="63" t="s">
        <v>147</v>
      </c>
      <c r="D1192" s="64">
        <v>42599</v>
      </c>
      <c r="E1192" s="63" t="s">
        <v>138</v>
      </c>
      <c r="F1192" s="65">
        <v>66222</v>
      </c>
      <c r="G1192" s="66">
        <v>1.55210643015521E-2</v>
      </c>
      <c r="H1192" s="65">
        <v>331</v>
      </c>
      <c r="I1192" s="67">
        <v>0.31285715316023099</v>
      </c>
      <c r="J1192" s="67">
        <v>4.8558759914004899</v>
      </c>
      <c r="K1192" s="65">
        <v>65</v>
      </c>
      <c r="L1192" s="65">
        <v>2</v>
      </c>
      <c r="M1192" s="66">
        <v>0</v>
      </c>
      <c r="N1192" s="67">
        <v>0</v>
      </c>
      <c r="O1192" s="67">
        <v>0</v>
      </c>
      <c r="P1192" s="67">
        <v>6.5700002163648596</v>
      </c>
      <c r="Q1192" s="77">
        <v>0</v>
      </c>
    </row>
    <row r="1193" spans="1:17" x14ac:dyDescent="0.35">
      <c r="A1193" s="76" t="s">
        <v>136</v>
      </c>
      <c r="B1193" s="63">
        <v>937733</v>
      </c>
      <c r="C1193" s="63" t="s">
        <v>147</v>
      </c>
      <c r="D1193" s="64">
        <v>42600</v>
      </c>
      <c r="E1193" s="63" t="s">
        <v>138</v>
      </c>
      <c r="F1193" s="65">
        <v>27531</v>
      </c>
      <c r="G1193" s="66">
        <v>1.48456057007126E-2</v>
      </c>
      <c r="H1193" s="65">
        <v>230</v>
      </c>
      <c r="I1193" s="67">
        <v>0.30360001027584099</v>
      </c>
      <c r="J1193" s="67">
        <v>4.5071260432874203</v>
      </c>
      <c r="K1193" s="65">
        <v>82</v>
      </c>
      <c r="L1193" s="65">
        <v>1</v>
      </c>
      <c r="M1193" s="66">
        <v>0.04</v>
      </c>
      <c r="N1193" s="67">
        <v>22.374547993567401</v>
      </c>
      <c r="O1193" s="67">
        <v>22.374547993567401</v>
      </c>
      <c r="P1193" s="67">
        <v>7.5900002568960199</v>
      </c>
      <c r="Q1193" s="77">
        <v>0.339224741392681</v>
      </c>
    </row>
    <row r="1194" spans="1:17" x14ac:dyDescent="0.35">
      <c r="A1194" s="76" t="s">
        <v>136</v>
      </c>
      <c r="B1194" s="63">
        <v>937733</v>
      </c>
      <c r="C1194" s="63" t="s">
        <v>147</v>
      </c>
      <c r="D1194" s="64">
        <v>42601</v>
      </c>
      <c r="E1194" s="63" t="s">
        <v>138</v>
      </c>
      <c r="F1194" s="65">
        <v>47637</v>
      </c>
      <c r="G1194" s="66">
        <v>1.1759384893713301E-2</v>
      </c>
      <c r="H1194" s="65">
        <v>162</v>
      </c>
      <c r="I1194" s="67">
        <v>0.27269231699980201</v>
      </c>
      <c r="J1194" s="67">
        <v>3.2066939131591399</v>
      </c>
      <c r="K1194" s="65">
        <v>86</v>
      </c>
      <c r="L1194" s="65">
        <v>1</v>
      </c>
      <c r="M1194" s="66">
        <v>0</v>
      </c>
      <c r="N1194" s="67">
        <v>0</v>
      </c>
      <c r="O1194" s="67">
        <v>0</v>
      </c>
      <c r="P1194" s="67">
        <v>7.0900002419948596</v>
      </c>
      <c r="Q1194" s="77">
        <v>0</v>
      </c>
    </row>
    <row r="1195" spans="1:17" x14ac:dyDescent="0.35">
      <c r="A1195" s="76" t="s">
        <v>136</v>
      </c>
      <c r="B1195" s="63">
        <v>937733</v>
      </c>
      <c r="C1195" s="63" t="s">
        <v>147</v>
      </c>
      <c r="D1195" s="64">
        <v>42602</v>
      </c>
      <c r="E1195" s="63" t="s">
        <v>138</v>
      </c>
      <c r="F1195" s="65">
        <v>56211</v>
      </c>
      <c r="G1195" s="66">
        <v>9.2402464065708401E-3</v>
      </c>
      <c r="H1195" s="65">
        <v>423</v>
      </c>
      <c r="I1195" s="67">
        <v>0.21666667610406901</v>
      </c>
      <c r="J1195" s="67">
        <v>2.0020534752942698</v>
      </c>
      <c r="K1195" s="65">
        <v>42</v>
      </c>
      <c r="L1195" s="65">
        <v>1</v>
      </c>
      <c r="M1195" s="66">
        <v>0</v>
      </c>
      <c r="N1195" s="67">
        <v>0</v>
      </c>
      <c r="O1195" s="67">
        <v>0</v>
      </c>
      <c r="P1195" s="67">
        <v>3.9000001698732398</v>
      </c>
      <c r="Q1195" s="77">
        <v>0</v>
      </c>
    </row>
    <row r="1196" spans="1:17" x14ac:dyDescent="0.35">
      <c r="A1196" s="76" t="s">
        <v>136</v>
      </c>
      <c r="B1196" s="63">
        <v>937733</v>
      </c>
      <c r="C1196" s="63" t="s">
        <v>147</v>
      </c>
      <c r="D1196" s="64">
        <v>42603</v>
      </c>
      <c r="E1196" s="63" t="s">
        <v>138</v>
      </c>
      <c r="F1196" s="65">
        <v>9333</v>
      </c>
      <c r="G1196" s="66">
        <v>9.4043887147335394E-3</v>
      </c>
      <c r="H1196" s="65">
        <v>527</v>
      </c>
      <c r="I1196" s="67">
        <v>0.260000006606181</v>
      </c>
      <c r="J1196" s="67">
        <v>2.4451411279578199</v>
      </c>
      <c r="K1196" s="65">
        <v>44</v>
      </c>
      <c r="L1196" s="65">
        <v>2</v>
      </c>
      <c r="M1196" s="66">
        <v>0</v>
      </c>
      <c r="N1196" s="67">
        <v>0</v>
      </c>
      <c r="O1196" s="67">
        <v>0</v>
      </c>
      <c r="P1196" s="67">
        <v>3.1200000792741802</v>
      </c>
      <c r="Q1196" s="77">
        <v>0</v>
      </c>
    </row>
    <row r="1197" spans="1:17" x14ac:dyDescent="0.35">
      <c r="A1197" s="76" t="s">
        <v>136</v>
      </c>
      <c r="B1197" s="63">
        <v>937733</v>
      </c>
      <c r="C1197" s="63" t="s">
        <v>147</v>
      </c>
      <c r="D1197" s="64">
        <v>42604</v>
      </c>
      <c r="E1197" s="63" t="s">
        <v>138</v>
      </c>
      <c r="F1197" s="65">
        <v>15852</v>
      </c>
      <c r="G1197" s="66">
        <v>1.1159330440173599E-2</v>
      </c>
      <c r="H1197" s="65">
        <v>302</v>
      </c>
      <c r="I1197" s="67">
        <v>0.31833334763844801</v>
      </c>
      <c r="J1197" s="67">
        <v>3.5523870164240998</v>
      </c>
      <c r="K1197" s="65">
        <v>91</v>
      </c>
      <c r="L1197" s="65">
        <v>2</v>
      </c>
      <c r="M1197" s="66">
        <v>5.5555555555555601E-2</v>
      </c>
      <c r="N1197" s="67">
        <v>12.8901533102821</v>
      </c>
      <c r="O1197" s="67">
        <v>12.8901533102821</v>
      </c>
      <c r="P1197" s="67">
        <v>5.7300002574920699</v>
      </c>
      <c r="Q1197" s="77">
        <v>0.44452537681777798</v>
      </c>
    </row>
    <row r="1198" spans="1:17" x14ac:dyDescent="0.35">
      <c r="A1198" s="76" t="s">
        <v>136</v>
      </c>
      <c r="B1198" s="63">
        <v>937733</v>
      </c>
      <c r="C1198" s="63" t="s">
        <v>147</v>
      </c>
      <c r="D1198" s="64">
        <v>42605</v>
      </c>
      <c r="E1198" s="63" t="s">
        <v>138</v>
      </c>
      <c r="F1198" s="65">
        <v>46185</v>
      </c>
      <c r="G1198" s="66">
        <v>1.1954261954262E-2</v>
      </c>
      <c r="H1198" s="65">
        <v>335</v>
      </c>
      <c r="I1198" s="67">
        <v>0.31521740296612599</v>
      </c>
      <c r="J1198" s="67">
        <v>3.76819140759922</v>
      </c>
      <c r="K1198" s="65">
        <v>46</v>
      </c>
      <c r="L1198" s="65">
        <v>1</v>
      </c>
      <c r="M1198" s="66">
        <v>4.3478260869565202E-2</v>
      </c>
      <c r="N1198" s="67">
        <v>132.60907316068099</v>
      </c>
      <c r="O1198" s="67">
        <v>132.60907316068099</v>
      </c>
      <c r="P1198" s="67">
        <v>7.2500002682208997</v>
      </c>
      <c r="Q1198" s="77">
        <v>5.4671977530799498E-2</v>
      </c>
    </row>
    <row r="1199" spans="1:17" x14ac:dyDescent="0.35">
      <c r="A1199" s="76" t="s">
        <v>136</v>
      </c>
      <c r="B1199" s="63">
        <v>937733</v>
      </c>
      <c r="C1199" s="63" t="s">
        <v>147</v>
      </c>
      <c r="D1199" s="64">
        <v>42606</v>
      </c>
      <c r="E1199" s="63" t="s">
        <v>138</v>
      </c>
      <c r="F1199" s="65">
        <v>27175</v>
      </c>
      <c r="G1199" s="66">
        <v>1.49975810353169E-2</v>
      </c>
      <c r="H1199" s="65">
        <v>162</v>
      </c>
      <c r="I1199" s="67">
        <v>0.31064517363425198</v>
      </c>
      <c r="J1199" s="67">
        <v>4.6589261648097802</v>
      </c>
      <c r="K1199" s="65">
        <v>28</v>
      </c>
      <c r="L1199" s="65">
        <v>2</v>
      </c>
      <c r="M1199" s="66">
        <v>3.2258064516128997E-2</v>
      </c>
      <c r="N1199" s="67">
        <v>125.711332170855</v>
      </c>
      <c r="O1199" s="67">
        <v>125.711332170855</v>
      </c>
      <c r="P1199" s="67">
        <v>9.6300003826618195</v>
      </c>
      <c r="Q1199" s="77">
        <v>7.6604075514637104E-2</v>
      </c>
    </row>
    <row r="1200" spans="1:17" x14ac:dyDescent="0.35">
      <c r="A1200" s="76" t="s">
        <v>136</v>
      </c>
      <c r="B1200" s="63">
        <v>937733</v>
      </c>
      <c r="C1200" s="63" t="s">
        <v>147</v>
      </c>
      <c r="D1200" s="64">
        <v>42607</v>
      </c>
      <c r="E1200" s="63" t="s">
        <v>138</v>
      </c>
      <c r="F1200" s="65">
        <v>29886</v>
      </c>
      <c r="G1200" s="66">
        <v>1.4382402707275799E-2</v>
      </c>
      <c r="H1200" s="65">
        <v>465</v>
      </c>
      <c r="I1200" s="67">
        <v>0.29941177411990999</v>
      </c>
      <c r="J1200" s="67">
        <v>4.3062607106924498</v>
      </c>
      <c r="K1200" s="65">
        <v>62</v>
      </c>
      <c r="L1200" s="65">
        <v>3</v>
      </c>
      <c r="M1200" s="66">
        <v>5.8823529411764698E-2</v>
      </c>
      <c r="N1200" s="67">
        <v>104.112778065184</v>
      </c>
      <c r="O1200" s="67">
        <v>52.056389032591802</v>
      </c>
      <c r="P1200" s="67">
        <v>10.1800003200769</v>
      </c>
      <c r="Q1200" s="77">
        <v>9.7778586925260799E-2</v>
      </c>
    </row>
    <row r="1201" spans="1:17" x14ac:dyDescent="0.35">
      <c r="A1201" s="76" t="s">
        <v>136</v>
      </c>
      <c r="B1201" s="63">
        <v>937733</v>
      </c>
      <c r="C1201" s="63" t="s">
        <v>147</v>
      </c>
      <c r="D1201" s="64">
        <v>42608</v>
      </c>
      <c r="E1201" s="63" t="s">
        <v>138</v>
      </c>
      <c r="F1201" s="65">
        <v>37300</v>
      </c>
      <c r="G1201" s="66">
        <v>1.52505446623094E-2</v>
      </c>
      <c r="H1201" s="65">
        <v>384</v>
      </c>
      <c r="I1201" s="67">
        <v>0.307023820600339</v>
      </c>
      <c r="J1201" s="67">
        <v>4.6822804884583302</v>
      </c>
      <c r="K1201" s="65">
        <v>30</v>
      </c>
      <c r="L1201" s="65">
        <v>3</v>
      </c>
      <c r="M1201" s="66">
        <v>1.1904761904761901E-2</v>
      </c>
      <c r="N1201" s="67">
        <v>30.091396383754901</v>
      </c>
      <c r="O1201" s="67">
        <v>30.091396383754901</v>
      </c>
      <c r="P1201" s="67">
        <v>25.790000930428501</v>
      </c>
      <c r="Q1201" s="77">
        <v>0.85705563814750296</v>
      </c>
    </row>
    <row r="1202" spans="1:17" x14ac:dyDescent="0.35">
      <c r="A1202" s="76" t="s">
        <v>136</v>
      </c>
      <c r="B1202" s="63">
        <v>937733</v>
      </c>
      <c r="C1202" s="63" t="s">
        <v>147</v>
      </c>
      <c r="D1202" s="64">
        <v>42609</v>
      </c>
      <c r="E1202" s="63" t="s">
        <v>138</v>
      </c>
      <c r="F1202" s="65">
        <v>66347</v>
      </c>
      <c r="G1202" s="66">
        <v>7.3009891662741402E-3</v>
      </c>
      <c r="H1202" s="65">
        <v>404</v>
      </c>
      <c r="I1202" s="67">
        <v>0.326451622190014</v>
      </c>
      <c r="J1202" s="67">
        <v>2.38341975692191</v>
      </c>
      <c r="K1202" s="65">
        <v>45</v>
      </c>
      <c r="L1202" s="65">
        <v>3</v>
      </c>
      <c r="M1202" s="66">
        <v>0</v>
      </c>
      <c r="N1202" s="67">
        <v>0</v>
      </c>
      <c r="O1202" s="67">
        <v>0</v>
      </c>
      <c r="P1202" s="67">
        <v>10.120000287890401</v>
      </c>
      <c r="Q1202" s="77">
        <v>0</v>
      </c>
    </row>
    <row r="1203" spans="1:17" x14ac:dyDescent="0.35">
      <c r="A1203" s="76" t="s">
        <v>136</v>
      </c>
      <c r="B1203" s="63">
        <v>937733</v>
      </c>
      <c r="C1203" s="63" t="s">
        <v>147</v>
      </c>
      <c r="D1203" s="64">
        <v>42610</v>
      </c>
      <c r="E1203" s="63" t="s">
        <v>138</v>
      </c>
      <c r="F1203" s="65">
        <v>33783</v>
      </c>
      <c r="G1203" s="66">
        <v>1.26867775585001E-2</v>
      </c>
      <c r="H1203" s="65">
        <v>405</v>
      </c>
      <c r="I1203" s="67">
        <v>0.36311112129026002</v>
      </c>
      <c r="J1203" s="67">
        <v>4.6067100248270902</v>
      </c>
      <c r="K1203" s="65">
        <v>77</v>
      </c>
      <c r="L1203" s="65">
        <v>0</v>
      </c>
      <c r="M1203" s="66">
        <v>0</v>
      </c>
      <c r="N1203" s="67">
        <v>0</v>
      </c>
      <c r="O1203" s="67">
        <v>0</v>
      </c>
      <c r="P1203" s="67">
        <v>16.340000458061699</v>
      </c>
      <c r="Q1203" s="77">
        <v>0</v>
      </c>
    </row>
    <row r="1204" spans="1:17" x14ac:dyDescent="0.35">
      <c r="A1204" s="76" t="s">
        <v>136</v>
      </c>
      <c r="B1204" s="63">
        <v>937733</v>
      </c>
      <c r="C1204" s="63" t="s">
        <v>147</v>
      </c>
      <c r="D1204" s="64">
        <v>42611</v>
      </c>
      <c r="E1204" s="63" t="s">
        <v>138</v>
      </c>
      <c r="F1204" s="65">
        <v>1220</v>
      </c>
      <c r="G1204" s="66">
        <v>4.5551169146674803E-3</v>
      </c>
      <c r="H1204" s="65">
        <v>154</v>
      </c>
      <c r="I1204" s="67">
        <v>0.285333342850208</v>
      </c>
      <c r="J1204" s="67">
        <v>1.2997267363356</v>
      </c>
      <c r="K1204" s="65">
        <v>12</v>
      </c>
      <c r="L1204" s="65">
        <v>1</v>
      </c>
      <c r="M1204" s="66">
        <v>0</v>
      </c>
      <c r="N1204" s="67">
        <v>0</v>
      </c>
      <c r="O1204" s="67">
        <v>0</v>
      </c>
      <c r="P1204" s="67">
        <v>4.2800001427531198</v>
      </c>
      <c r="Q1204" s="77">
        <v>0</v>
      </c>
    </row>
    <row r="1205" spans="1:17" x14ac:dyDescent="0.35">
      <c r="A1205" s="76" t="s">
        <v>136</v>
      </c>
      <c r="B1205" s="63">
        <v>937733</v>
      </c>
      <c r="C1205" s="63" t="s">
        <v>147</v>
      </c>
      <c r="D1205" s="64">
        <v>42612</v>
      </c>
      <c r="E1205" s="63" t="s">
        <v>138</v>
      </c>
      <c r="F1205" s="65">
        <v>67463</v>
      </c>
      <c r="G1205" s="66">
        <v>6.5653075328265401E-3</v>
      </c>
      <c r="H1205" s="65">
        <v>186</v>
      </c>
      <c r="I1205" s="67">
        <v>0.26789474565731902</v>
      </c>
      <c r="J1205" s="67">
        <v>1.7588113916686401</v>
      </c>
      <c r="K1205" s="65">
        <v>12</v>
      </c>
      <c r="L1205" s="65">
        <v>4</v>
      </c>
      <c r="M1205" s="66">
        <v>0</v>
      </c>
      <c r="N1205" s="67">
        <v>0</v>
      </c>
      <c r="O1205" s="67">
        <v>0</v>
      </c>
      <c r="P1205" s="67">
        <v>5.09000016748905</v>
      </c>
      <c r="Q1205" s="77">
        <v>0</v>
      </c>
    </row>
    <row r="1206" spans="1:17" x14ac:dyDescent="0.35">
      <c r="A1206" s="76" t="s">
        <v>136</v>
      </c>
      <c r="B1206" s="63">
        <v>937733</v>
      </c>
      <c r="C1206" s="63" t="s">
        <v>147</v>
      </c>
      <c r="D1206" s="64">
        <v>42613</v>
      </c>
      <c r="E1206" s="63" t="s">
        <v>138</v>
      </c>
      <c r="F1206" s="65">
        <v>18901</v>
      </c>
      <c r="G1206" s="66">
        <v>7.76096235933256E-3</v>
      </c>
      <c r="H1206" s="65">
        <v>274</v>
      </c>
      <c r="I1206" s="67">
        <v>0.25700001008808598</v>
      </c>
      <c r="J1206" s="67">
        <v>1.9945674046417201</v>
      </c>
      <c r="K1206" s="65">
        <v>75</v>
      </c>
      <c r="L1206" s="65">
        <v>4</v>
      </c>
      <c r="M1206" s="66">
        <v>0.1</v>
      </c>
      <c r="N1206" s="67">
        <v>711.45889326958297</v>
      </c>
      <c r="O1206" s="67">
        <v>355.729446634792</v>
      </c>
      <c r="P1206" s="67">
        <v>5.1400002017617199</v>
      </c>
      <c r="Q1206" s="77">
        <v>7.2245919622148796E-3</v>
      </c>
    </row>
    <row r="1207" spans="1:17" x14ac:dyDescent="0.35">
      <c r="A1207" s="76" t="s">
        <v>136</v>
      </c>
      <c r="B1207" s="63">
        <v>937733</v>
      </c>
      <c r="C1207" s="63" t="s">
        <v>147</v>
      </c>
      <c r="D1207" s="64">
        <v>42614</v>
      </c>
      <c r="E1207" s="63" t="s">
        <v>138</v>
      </c>
      <c r="F1207" s="65">
        <v>49560</v>
      </c>
      <c r="G1207" s="66">
        <v>1.8685955394816201E-2</v>
      </c>
      <c r="H1207" s="65">
        <v>235</v>
      </c>
      <c r="I1207" s="67">
        <v>0.369677424430847</v>
      </c>
      <c r="J1207" s="67">
        <v>6.9077758633853303</v>
      </c>
      <c r="K1207" s="65">
        <v>90</v>
      </c>
      <c r="L1207" s="65">
        <v>4</v>
      </c>
      <c r="M1207" s="66">
        <v>3.2258064516128997E-2</v>
      </c>
      <c r="N1207" s="67">
        <v>105.74124836923799</v>
      </c>
      <c r="O1207" s="67">
        <v>105.74124836923799</v>
      </c>
      <c r="P1207" s="67">
        <v>11.4600001573563</v>
      </c>
      <c r="Q1207" s="77">
        <v>0.10837776491288501</v>
      </c>
    </row>
    <row r="1208" spans="1:17" x14ac:dyDescent="0.35">
      <c r="A1208" s="76" t="s">
        <v>136</v>
      </c>
      <c r="B1208" s="63">
        <v>937733</v>
      </c>
      <c r="C1208" s="63" t="s">
        <v>147</v>
      </c>
      <c r="D1208" s="64">
        <v>42615</v>
      </c>
      <c r="E1208" s="63" t="s">
        <v>138</v>
      </c>
      <c r="F1208" s="65">
        <v>13497</v>
      </c>
      <c r="G1208" s="66">
        <v>1.30086724482989E-2</v>
      </c>
      <c r="H1208" s="65">
        <v>153</v>
      </c>
      <c r="I1208" s="67">
        <v>0.29641026430405099</v>
      </c>
      <c r="J1208" s="67">
        <v>3.85590403864509</v>
      </c>
      <c r="K1208" s="65">
        <v>94</v>
      </c>
      <c r="L1208" s="65">
        <v>2</v>
      </c>
      <c r="M1208" s="66">
        <v>0</v>
      </c>
      <c r="N1208" s="67">
        <v>0</v>
      </c>
      <c r="O1208" s="67">
        <v>0</v>
      </c>
      <c r="P1208" s="67">
        <v>11.560000307857999</v>
      </c>
      <c r="Q1208" s="77">
        <v>0</v>
      </c>
    </row>
    <row r="1209" spans="1:17" x14ac:dyDescent="0.35">
      <c r="A1209" s="76" t="s">
        <v>136</v>
      </c>
      <c r="B1209" s="63">
        <v>937733</v>
      </c>
      <c r="C1209" s="63" t="s">
        <v>147</v>
      </c>
      <c r="D1209" s="64">
        <v>42616</v>
      </c>
      <c r="E1209" s="63" t="s">
        <v>138</v>
      </c>
      <c r="F1209" s="65">
        <v>56715</v>
      </c>
      <c r="G1209" s="66">
        <v>1.00584036340039E-2</v>
      </c>
      <c r="H1209" s="65">
        <v>434</v>
      </c>
      <c r="I1209" s="67">
        <v>0.28645162164203603</v>
      </c>
      <c r="J1209" s="67">
        <v>2.88124603209056</v>
      </c>
      <c r="K1209" s="65">
        <v>32</v>
      </c>
      <c r="L1209" s="65">
        <v>2</v>
      </c>
      <c r="M1209" s="66">
        <v>0</v>
      </c>
      <c r="N1209" s="67">
        <v>0</v>
      </c>
      <c r="O1209" s="67">
        <v>0</v>
      </c>
      <c r="P1209" s="67">
        <v>8.8800002709031105</v>
      </c>
      <c r="Q1209" s="77">
        <v>0</v>
      </c>
    </row>
    <row r="1210" spans="1:17" x14ac:dyDescent="0.35">
      <c r="A1210" s="76" t="s">
        <v>136</v>
      </c>
      <c r="B1210" s="63">
        <v>937733</v>
      </c>
      <c r="C1210" s="63" t="s">
        <v>147</v>
      </c>
      <c r="D1210" s="64">
        <v>42617</v>
      </c>
      <c r="E1210" s="63" t="s">
        <v>138</v>
      </c>
      <c r="F1210" s="65">
        <v>5880</v>
      </c>
      <c r="G1210" s="66">
        <v>8.5971082454083594E-3</v>
      </c>
      <c r="H1210" s="65">
        <v>443</v>
      </c>
      <c r="I1210" s="67">
        <v>0.32318182831460801</v>
      </c>
      <c r="J1210" s="67">
        <v>2.7784291609696599</v>
      </c>
      <c r="K1210" s="65">
        <v>80</v>
      </c>
      <c r="L1210" s="65">
        <v>0</v>
      </c>
      <c r="M1210" s="66">
        <v>0</v>
      </c>
      <c r="N1210" s="67">
        <v>0</v>
      </c>
      <c r="O1210" s="67">
        <v>0</v>
      </c>
      <c r="P1210" s="67">
        <v>7.1100002229213697</v>
      </c>
      <c r="Q1210" s="77">
        <v>0</v>
      </c>
    </row>
    <row r="1211" spans="1:17" x14ac:dyDescent="0.35">
      <c r="A1211" s="76" t="s">
        <v>136</v>
      </c>
      <c r="B1211" s="63">
        <v>937733</v>
      </c>
      <c r="C1211" s="63" t="s">
        <v>147</v>
      </c>
      <c r="D1211" s="64">
        <v>42618</v>
      </c>
      <c r="E1211" s="63" t="s">
        <v>138</v>
      </c>
      <c r="F1211" s="65">
        <v>8225</v>
      </c>
      <c r="G1211" s="66">
        <v>9.7431355181576609E-3</v>
      </c>
      <c r="H1211" s="65">
        <v>287</v>
      </c>
      <c r="I1211" s="67">
        <v>0.28136364743113501</v>
      </c>
      <c r="J1211" s="67">
        <v>2.7413641468046799</v>
      </c>
      <c r="K1211" s="65">
        <v>33</v>
      </c>
      <c r="L1211" s="65">
        <v>2</v>
      </c>
      <c r="M1211" s="66">
        <v>4.5454545454545497E-2</v>
      </c>
      <c r="N1211" s="67">
        <v>387.46803607330099</v>
      </c>
      <c r="O1211" s="67">
        <v>387.46803607330099</v>
      </c>
      <c r="P1211" s="67">
        <v>6.1900002434849704</v>
      </c>
      <c r="Q1211" s="77">
        <v>1.5975511957621098E-2</v>
      </c>
    </row>
    <row r="1212" spans="1:17" x14ac:dyDescent="0.35">
      <c r="A1212" s="76" t="s">
        <v>136</v>
      </c>
      <c r="B1212" s="63">
        <v>937733</v>
      </c>
      <c r="C1212" s="63" t="s">
        <v>147</v>
      </c>
      <c r="D1212" s="64">
        <v>42619</v>
      </c>
      <c r="E1212" s="63" t="s">
        <v>138</v>
      </c>
      <c r="F1212" s="65">
        <v>26721</v>
      </c>
      <c r="G1212" s="66">
        <v>1.5839493136219601E-2</v>
      </c>
      <c r="H1212" s="65">
        <v>482</v>
      </c>
      <c r="I1212" s="67">
        <v>0.36033335377772702</v>
      </c>
      <c r="J1212" s="67">
        <v>5.7074976839133003</v>
      </c>
      <c r="K1212" s="65">
        <v>26</v>
      </c>
      <c r="L1212" s="65">
        <v>2</v>
      </c>
      <c r="M1212" s="66">
        <v>3.3333333333333298E-2</v>
      </c>
      <c r="N1212" s="67">
        <v>105.78533993142401</v>
      </c>
      <c r="O1212" s="67">
        <v>105.78533993142401</v>
      </c>
      <c r="P1212" s="67">
        <v>10.8100006133318</v>
      </c>
      <c r="Q1212" s="77">
        <v>0.10218807842692899</v>
      </c>
    </row>
    <row r="1213" spans="1:17" x14ac:dyDescent="0.35">
      <c r="A1213" s="76" t="s">
        <v>136</v>
      </c>
      <c r="B1213" s="63">
        <v>937733</v>
      </c>
      <c r="C1213" s="63" t="s">
        <v>147</v>
      </c>
      <c r="D1213" s="64">
        <v>42620</v>
      </c>
      <c r="E1213" s="63" t="s">
        <v>138</v>
      </c>
      <c r="F1213" s="65">
        <v>5466</v>
      </c>
      <c r="G1213" s="66">
        <v>7.2551390568319201E-3</v>
      </c>
      <c r="H1213" s="65">
        <v>493</v>
      </c>
      <c r="I1213" s="67">
        <v>0.30250001388291498</v>
      </c>
      <c r="J1213" s="67">
        <v>2.1946796654141401</v>
      </c>
      <c r="K1213" s="65">
        <v>25</v>
      </c>
      <c r="L1213" s="65">
        <v>0</v>
      </c>
      <c r="M1213" s="66">
        <v>0</v>
      </c>
      <c r="N1213" s="67">
        <v>0</v>
      </c>
      <c r="O1213" s="67">
        <v>0</v>
      </c>
      <c r="P1213" s="67">
        <v>3.6300001665949799</v>
      </c>
      <c r="Q1213" s="77">
        <v>0</v>
      </c>
    </row>
    <row r="1214" spans="1:17" x14ac:dyDescent="0.35">
      <c r="A1214" s="76" t="s">
        <v>136</v>
      </c>
      <c r="B1214" s="63">
        <v>937733</v>
      </c>
      <c r="C1214" s="63" t="s">
        <v>147</v>
      </c>
      <c r="D1214" s="64">
        <v>42621</v>
      </c>
      <c r="E1214" s="63" t="s">
        <v>138</v>
      </c>
      <c r="F1214" s="65">
        <v>15392</v>
      </c>
      <c r="G1214" s="66">
        <v>9.3645484949832804E-3</v>
      </c>
      <c r="H1214" s="65">
        <v>328</v>
      </c>
      <c r="I1214" s="67">
        <v>0.39357145556381801</v>
      </c>
      <c r="J1214" s="67">
        <v>3.6856189818685299</v>
      </c>
      <c r="K1214" s="65">
        <v>37</v>
      </c>
      <c r="L1214" s="65">
        <v>1</v>
      </c>
      <c r="M1214" s="66">
        <v>0</v>
      </c>
      <c r="N1214" s="67">
        <v>0</v>
      </c>
      <c r="O1214" s="67">
        <v>0</v>
      </c>
      <c r="P1214" s="67">
        <v>5.5100003778934497</v>
      </c>
      <c r="Q1214" s="77">
        <v>0</v>
      </c>
    </row>
    <row r="1215" spans="1:17" x14ac:dyDescent="0.35">
      <c r="A1215" s="76" t="s">
        <v>136</v>
      </c>
      <c r="B1215" s="63">
        <v>937733</v>
      </c>
      <c r="C1215" s="63" t="s">
        <v>147</v>
      </c>
      <c r="D1215" s="64">
        <v>42622</v>
      </c>
      <c r="E1215" s="63" t="s">
        <v>138</v>
      </c>
      <c r="F1215" s="65">
        <v>62154</v>
      </c>
      <c r="G1215" s="66">
        <v>1.1033681765389099E-2</v>
      </c>
      <c r="H1215" s="65">
        <v>420</v>
      </c>
      <c r="I1215" s="67">
        <v>0.312631593723046</v>
      </c>
      <c r="J1215" s="67">
        <v>3.4494775149465</v>
      </c>
      <c r="K1215" s="65">
        <v>39</v>
      </c>
      <c r="L1215" s="65">
        <v>3</v>
      </c>
      <c r="M1215" s="66">
        <v>5.2631578947368397E-2</v>
      </c>
      <c r="N1215" s="67">
        <v>61.689740672230499</v>
      </c>
      <c r="O1215" s="67">
        <v>61.689740672230499</v>
      </c>
      <c r="P1215" s="67">
        <v>5.9400002807378796</v>
      </c>
      <c r="Q1215" s="77">
        <v>9.6288300388523998E-2</v>
      </c>
    </row>
    <row r="1216" spans="1:17" x14ac:dyDescent="0.35">
      <c r="A1216" s="76" t="s">
        <v>136</v>
      </c>
      <c r="B1216" s="63">
        <v>937733</v>
      </c>
      <c r="C1216" s="63" t="s">
        <v>147</v>
      </c>
      <c r="D1216" s="64">
        <v>42623</v>
      </c>
      <c r="E1216" s="63" t="s">
        <v>138</v>
      </c>
      <c r="F1216" s="65">
        <v>50363</v>
      </c>
      <c r="G1216" s="66">
        <v>1.1695906432748499E-2</v>
      </c>
      <c r="H1216" s="65">
        <v>437</v>
      </c>
      <c r="I1216" s="67">
        <v>0.309090924533931</v>
      </c>
      <c r="J1216" s="67">
        <v>3.61509853256059</v>
      </c>
      <c r="K1216" s="65">
        <v>99</v>
      </c>
      <c r="L1216" s="65">
        <v>2</v>
      </c>
      <c r="M1216" s="66">
        <v>4.5454545454545497E-2</v>
      </c>
      <c r="N1216" s="67">
        <v>106.579062063781</v>
      </c>
      <c r="O1216" s="67">
        <v>106.579062063781</v>
      </c>
      <c r="P1216" s="67">
        <v>6.8000003397464797</v>
      </c>
      <c r="Q1216" s="77">
        <v>6.3802403662335694E-2</v>
      </c>
    </row>
    <row r="1217" spans="1:17" x14ac:dyDescent="0.35">
      <c r="A1217" s="76" t="s">
        <v>136</v>
      </c>
      <c r="B1217" s="63">
        <v>937733</v>
      </c>
      <c r="C1217" s="63" t="s">
        <v>147</v>
      </c>
      <c r="D1217" s="64">
        <v>42624</v>
      </c>
      <c r="E1217" s="63" t="s">
        <v>138</v>
      </c>
      <c r="F1217" s="65">
        <v>663</v>
      </c>
      <c r="G1217" s="66">
        <v>9.9420049710024893E-3</v>
      </c>
      <c r="H1217" s="65">
        <v>241</v>
      </c>
      <c r="I1217" s="67">
        <v>0.53291668339321996</v>
      </c>
      <c r="J1217" s="67">
        <v>5.2982603154255496</v>
      </c>
      <c r="K1217" s="65">
        <v>9</v>
      </c>
      <c r="L1217" s="65">
        <v>1</v>
      </c>
      <c r="M1217" s="66">
        <v>4.1666666666666699E-2</v>
      </c>
      <c r="N1217" s="67">
        <v>101.243498590491</v>
      </c>
      <c r="O1217" s="67">
        <v>101.243498590491</v>
      </c>
      <c r="P1217" s="67">
        <v>12.7900004014373</v>
      </c>
      <c r="Q1217" s="77">
        <v>0.12632910339428499</v>
      </c>
    </row>
    <row r="1218" spans="1:17" x14ac:dyDescent="0.35">
      <c r="A1218" s="76" t="s">
        <v>136</v>
      </c>
      <c r="B1218" s="63">
        <v>937733</v>
      </c>
      <c r="C1218" s="63" t="s">
        <v>147</v>
      </c>
      <c r="D1218" s="64">
        <v>42625</v>
      </c>
      <c r="E1218" s="63" t="s">
        <v>138</v>
      </c>
      <c r="F1218" s="65">
        <v>25932</v>
      </c>
      <c r="G1218" s="66">
        <v>9.4786729857819895E-3</v>
      </c>
      <c r="H1218" s="65">
        <v>228</v>
      </c>
      <c r="I1218" s="67">
        <v>0.36071429508073</v>
      </c>
      <c r="J1218" s="67">
        <v>3.41909284436711</v>
      </c>
      <c r="K1218" s="65">
        <v>9</v>
      </c>
      <c r="L1218" s="65">
        <v>2</v>
      </c>
      <c r="M1218" s="66">
        <v>7.1428571428571397E-2</v>
      </c>
      <c r="N1218" s="67">
        <v>29.940912569838101</v>
      </c>
      <c r="O1218" s="67">
        <v>29.940912569838101</v>
      </c>
      <c r="P1218" s="67">
        <v>5.0500001311302203</v>
      </c>
      <c r="Q1218" s="77">
        <v>0.168665538144535</v>
      </c>
    </row>
    <row r="1219" spans="1:17" x14ac:dyDescent="0.35">
      <c r="A1219" s="76" t="s">
        <v>136</v>
      </c>
      <c r="B1219" s="63">
        <v>937733</v>
      </c>
      <c r="C1219" s="63" t="s">
        <v>147</v>
      </c>
      <c r="D1219" s="64">
        <v>42626</v>
      </c>
      <c r="E1219" s="63" t="s">
        <v>138</v>
      </c>
      <c r="F1219" s="65">
        <v>41191</v>
      </c>
      <c r="G1219" s="66">
        <v>1.4367816091954E-2</v>
      </c>
      <c r="H1219" s="65">
        <v>376</v>
      </c>
      <c r="I1219" s="67">
        <v>0.62999999880790702</v>
      </c>
      <c r="J1219" s="67">
        <v>9.0517241208032608</v>
      </c>
      <c r="K1219" s="65">
        <v>29</v>
      </c>
      <c r="L1219" s="65">
        <v>3</v>
      </c>
      <c r="M1219" s="66">
        <v>0.04</v>
      </c>
      <c r="N1219" s="67">
        <v>54.502160011518299</v>
      </c>
      <c r="O1219" s="67">
        <v>54.502160011518299</v>
      </c>
      <c r="P1219" s="67">
        <v>15.749999970197701</v>
      </c>
      <c r="Q1219" s="77">
        <v>0.28897937195276602</v>
      </c>
    </row>
    <row r="1220" spans="1:17" x14ac:dyDescent="0.35">
      <c r="A1220" s="76" t="s">
        <v>136</v>
      </c>
      <c r="B1220" s="63">
        <v>937733</v>
      </c>
      <c r="C1220" s="63" t="s">
        <v>147</v>
      </c>
      <c r="D1220" s="64">
        <v>42627</v>
      </c>
      <c r="E1220" s="63" t="s">
        <v>138</v>
      </c>
      <c r="F1220" s="65">
        <v>63272</v>
      </c>
      <c r="G1220" s="66">
        <v>7.3563218390804604E-3</v>
      </c>
      <c r="H1220" s="65">
        <v>528</v>
      </c>
      <c r="I1220" s="67">
        <v>0.425625016447157</v>
      </c>
      <c r="J1220" s="67">
        <v>3.1310346037492001</v>
      </c>
      <c r="K1220" s="65">
        <v>46</v>
      </c>
      <c r="L1220" s="65">
        <v>3</v>
      </c>
      <c r="M1220" s="66">
        <v>6.25E-2</v>
      </c>
      <c r="N1220" s="67">
        <v>7.89311209918435</v>
      </c>
      <c r="O1220" s="67">
        <v>7.89311209918435</v>
      </c>
      <c r="P1220" s="67">
        <v>6.8100002631545102</v>
      </c>
      <c r="Q1220" s="77">
        <v>0.86277759362599604</v>
      </c>
    </row>
    <row r="1221" spans="1:17" x14ac:dyDescent="0.35">
      <c r="A1221" s="76" t="s">
        <v>136</v>
      </c>
      <c r="B1221" s="63">
        <v>937733</v>
      </c>
      <c r="C1221" s="63" t="s">
        <v>147</v>
      </c>
      <c r="D1221" s="64">
        <v>42628</v>
      </c>
      <c r="E1221" s="63" t="s">
        <v>138</v>
      </c>
      <c r="F1221" s="65">
        <v>15893</v>
      </c>
      <c r="G1221" s="66">
        <v>1.4050387596899199E-2</v>
      </c>
      <c r="H1221" s="65">
        <v>517</v>
      </c>
      <c r="I1221" s="67">
        <v>0.31034483940436902</v>
      </c>
      <c r="J1221" s="67">
        <v>4.3604652823288301</v>
      </c>
      <c r="K1221" s="65">
        <v>11</v>
      </c>
      <c r="L1221" s="65">
        <v>1</v>
      </c>
      <c r="M1221" s="66">
        <v>0</v>
      </c>
      <c r="N1221" s="67">
        <v>0</v>
      </c>
      <c r="O1221" s="67">
        <v>0</v>
      </c>
      <c r="P1221" s="67">
        <v>9.0000003427267092</v>
      </c>
      <c r="Q1221" s="77">
        <v>0</v>
      </c>
    </row>
    <row r="1222" spans="1:17" x14ac:dyDescent="0.35">
      <c r="A1222" s="76" t="s">
        <v>136</v>
      </c>
      <c r="B1222" s="63">
        <v>937733</v>
      </c>
      <c r="C1222" s="63" t="s">
        <v>147</v>
      </c>
      <c r="D1222" s="64">
        <v>42629</v>
      </c>
      <c r="E1222" s="63" t="s">
        <v>138</v>
      </c>
      <c r="F1222" s="65">
        <v>57813</v>
      </c>
      <c r="G1222" s="66">
        <v>1.2929442186922799E-2</v>
      </c>
      <c r="H1222" s="65">
        <v>292</v>
      </c>
      <c r="I1222" s="67">
        <v>0.48028573117085899</v>
      </c>
      <c r="J1222" s="67">
        <v>6.2098265943775601</v>
      </c>
      <c r="K1222" s="65">
        <v>30</v>
      </c>
      <c r="L1222" s="65">
        <v>7</v>
      </c>
      <c r="M1222" s="66">
        <v>5.7142857142857099E-2</v>
      </c>
      <c r="N1222" s="67">
        <v>386.71841054947203</v>
      </c>
      <c r="O1222" s="67">
        <v>193.35920527473601</v>
      </c>
      <c r="P1222" s="67">
        <v>16.810000590980099</v>
      </c>
      <c r="Q1222" s="77">
        <v>4.3468322511709297E-2</v>
      </c>
    </row>
    <row r="1223" spans="1:17" x14ac:dyDescent="0.35">
      <c r="A1223" s="76" t="s">
        <v>136</v>
      </c>
      <c r="B1223" s="63">
        <v>937733</v>
      </c>
      <c r="C1223" s="63" t="s">
        <v>147</v>
      </c>
      <c r="D1223" s="64">
        <v>42630</v>
      </c>
      <c r="E1223" s="63" t="s">
        <v>138</v>
      </c>
      <c r="F1223" s="65">
        <v>58885</v>
      </c>
      <c r="G1223" s="66">
        <v>1.3000702740688701E-2</v>
      </c>
      <c r="H1223" s="65">
        <v>273</v>
      </c>
      <c r="I1223" s="67">
        <v>0.46297299016166399</v>
      </c>
      <c r="J1223" s="67">
        <v>6.0189742220595797</v>
      </c>
      <c r="K1223" s="65">
        <v>68</v>
      </c>
      <c r="L1223" s="65">
        <v>1</v>
      </c>
      <c r="M1223" s="66">
        <v>2.7027027027027001E-2</v>
      </c>
      <c r="N1223" s="67">
        <v>55.472265213756899</v>
      </c>
      <c r="O1223" s="67">
        <v>55.472265213756899</v>
      </c>
      <c r="P1223" s="67">
        <v>17.130000635981599</v>
      </c>
      <c r="Q1223" s="77">
        <v>0.308802976946638</v>
      </c>
    </row>
    <row r="1224" spans="1:17" x14ac:dyDescent="0.35">
      <c r="A1224" s="76" t="s">
        <v>136</v>
      </c>
      <c r="B1224" s="63">
        <v>937733</v>
      </c>
      <c r="C1224" s="63" t="s">
        <v>147</v>
      </c>
      <c r="D1224" s="64">
        <v>42631</v>
      </c>
      <c r="E1224" s="63" t="s">
        <v>138</v>
      </c>
      <c r="F1224" s="65">
        <v>19425</v>
      </c>
      <c r="G1224" s="66">
        <v>9.5938599296450308E-3</v>
      </c>
      <c r="H1224" s="65">
        <v>582</v>
      </c>
      <c r="I1224" s="67">
        <v>0.43633334661523498</v>
      </c>
      <c r="J1224" s="67">
        <v>4.1861210100598196</v>
      </c>
      <c r="K1224" s="65">
        <v>80</v>
      </c>
      <c r="L1224" s="65">
        <v>1</v>
      </c>
      <c r="M1224" s="66">
        <v>0</v>
      </c>
      <c r="N1224" s="67">
        <v>0</v>
      </c>
      <c r="O1224" s="67">
        <v>0</v>
      </c>
      <c r="P1224" s="67">
        <v>13.0900003984571</v>
      </c>
      <c r="Q1224" s="77">
        <v>0</v>
      </c>
    </row>
    <row r="1225" spans="1:17" x14ac:dyDescent="0.35">
      <c r="A1225" s="76" t="s">
        <v>136</v>
      </c>
      <c r="B1225" s="63">
        <v>937733</v>
      </c>
      <c r="C1225" s="63" t="s">
        <v>147</v>
      </c>
      <c r="D1225" s="64">
        <v>42632</v>
      </c>
      <c r="E1225" s="63" t="s">
        <v>138</v>
      </c>
      <c r="F1225" s="65">
        <v>18044</v>
      </c>
      <c r="G1225" s="66">
        <v>1.09199205823958E-2</v>
      </c>
      <c r="H1225" s="65">
        <v>294</v>
      </c>
      <c r="I1225" s="67">
        <v>0.74060607317722205</v>
      </c>
      <c r="J1225" s="67">
        <v>8.08735950193525</v>
      </c>
      <c r="K1225" s="65">
        <v>88</v>
      </c>
      <c r="L1225" s="65">
        <v>0</v>
      </c>
      <c r="M1225" s="66">
        <v>0</v>
      </c>
      <c r="N1225" s="67">
        <v>0</v>
      </c>
      <c r="O1225" s="67">
        <v>0</v>
      </c>
      <c r="P1225" s="67">
        <v>24.440000414848299</v>
      </c>
      <c r="Q1225" s="77">
        <v>0</v>
      </c>
    </row>
    <row r="1226" spans="1:17" x14ac:dyDescent="0.35">
      <c r="A1226" s="76" t="s">
        <v>136</v>
      </c>
      <c r="B1226" s="63">
        <v>937733</v>
      </c>
      <c r="C1226" s="63" t="s">
        <v>147</v>
      </c>
      <c r="D1226" s="64">
        <v>42633</v>
      </c>
      <c r="E1226" s="63" t="s">
        <v>138</v>
      </c>
      <c r="F1226" s="65">
        <v>25965</v>
      </c>
      <c r="G1226" s="66">
        <v>1.06169296987088E-2</v>
      </c>
      <c r="H1226" s="65">
        <v>571</v>
      </c>
      <c r="I1226" s="67">
        <v>0.456756767388937</v>
      </c>
      <c r="J1226" s="67">
        <v>4.8493544887778102</v>
      </c>
      <c r="K1226" s="65">
        <v>92</v>
      </c>
      <c r="L1226" s="65">
        <v>3</v>
      </c>
      <c r="M1226" s="66">
        <v>2.7027027027027001E-2</v>
      </c>
      <c r="N1226" s="67">
        <v>84.487170871997407</v>
      </c>
      <c r="O1226" s="67">
        <v>84.487170871997407</v>
      </c>
      <c r="P1226" s="67">
        <v>16.900000393390702</v>
      </c>
      <c r="Q1226" s="77">
        <v>0.200030374067029</v>
      </c>
    </row>
    <row r="1227" spans="1:17" x14ac:dyDescent="0.35">
      <c r="A1227" s="76" t="s">
        <v>136</v>
      </c>
      <c r="B1227" s="63">
        <v>937733</v>
      </c>
      <c r="C1227" s="63" t="s">
        <v>147</v>
      </c>
      <c r="D1227" s="64">
        <v>42634</v>
      </c>
      <c r="E1227" s="63" t="s">
        <v>138</v>
      </c>
      <c r="F1227" s="65">
        <v>53622</v>
      </c>
      <c r="G1227" s="66">
        <v>1.00225507391631E-2</v>
      </c>
      <c r="H1227" s="65">
        <v>598</v>
      </c>
      <c r="I1227" s="67">
        <v>0.67075000926852202</v>
      </c>
      <c r="J1227" s="67">
        <v>6.7226260011879004</v>
      </c>
      <c r="K1227" s="65">
        <v>37</v>
      </c>
      <c r="L1227" s="65">
        <v>2</v>
      </c>
      <c r="M1227" s="66">
        <v>2.5000000000000001E-2</v>
      </c>
      <c r="N1227" s="67">
        <v>148.02893209587799</v>
      </c>
      <c r="O1227" s="67">
        <v>148.02893209587799</v>
      </c>
      <c r="P1227" s="67">
        <v>26.830000370740901</v>
      </c>
      <c r="Q1227" s="77">
        <v>0.181248354567357</v>
      </c>
    </row>
    <row r="1228" spans="1:17" x14ac:dyDescent="0.35">
      <c r="A1228" s="76" t="s">
        <v>136</v>
      </c>
      <c r="B1228" s="63">
        <v>937733</v>
      </c>
      <c r="C1228" s="63" t="s">
        <v>147</v>
      </c>
      <c r="D1228" s="64">
        <v>42635</v>
      </c>
      <c r="E1228" s="63" t="s">
        <v>138</v>
      </c>
      <c r="F1228" s="65">
        <v>35969</v>
      </c>
      <c r="G1228" s="66">
        <v>1.13611535940572E-2</v>
      </c>
      <c r="H1228" s="65">
        <v>567</v>
      </c>
      <c r="I1228" s="67">
        <v>0.53769231831225095</v>
      </c>
      <c r="J1228" s="67">
        <v>6.1088050146902004</v>
      </c>
      <c r="K1228" s="65">
        <v>77</v>
      </c>
      <c r="L1228" s="65">
        <v>1</v>
      </c>
      <c r="M1228" s="66">
        <v>0</v>
      </c>
      <c r="N1228" s="67">
        <v>0</v>
      </c>
      <c r="O1228" s="67">
        <v>0</v>
      </c>
      <c r="P1228" s="67">
        <v>27.960000552236998</v>
      </c>
      <c r="Q1228" s="77">
        <v>0</v>
      </c>
    </row>
    <row r="1229" spans="1:17" x14ac:dyDescent="0.35">
      <c r="A1229" s="76" t="s">
        <v>136</v>
      </c>
      <c r="B1229" s="63">
        <v>937733</v>
      </c>
      <c r="C1229" s="63" t="s">
        <v>147</v>
      </c>
      <c r="D1229" s="64">
        <v>42636</v>
      </c>
      <c r="E1229" s="63" t="s">
        <v>138</v>
      </c>
      <c r="F1229" s="65">
        <v>8896</v>
      </c>
      <c r="G1229" s="66">
        <v>1.1309925725860899E-2</v>
      </c>
      <c r="H1229" s="65">
        <v>551</v>
      </c>
      <c r="I1229" s="67">
        <v>0.55402986560739698</v>
      </c>
      <c r="J1229" s="67">
        <v>6.2660366299283599</v>
      </c>
      <c r="K1229" s="65">
        <v>35</v>
      </c>
      <c r="L1229" s="65">
        <v>0</v>
      </c>
      <c r="M1229" s="66">
        <v>0</v>
      </c>
      <c r="N1229" s="67">
        <v>0</v>
      </c>
      <c r="O1229" s="67">
        <v>0</v>
      </c>
      <c r="P1229" s="67">
        <v>37.120000995695598</v>
      </c>
      <c r="Q1229" s="77">
        <v>0</v>
      </c>
    </row>
    <row r="1230" spans="1:17" x14ac:dyDescent="0.35">
      <c r="A1230" s="76" t="s">
        <v>136</v>
      </c>
      <c r="B1230" s="63">
        <v>937733</v>
      </c>
      <c r="C1230" s="63" t="s">
        <v>147</v>
      </c>
      <c r="D1230" s="64">
        <v>42637</v>
      </c>
      <c r="E1230" s="63" t="s">
        <v>138</v>
      </c>
      <c r="F1230" s="65">
        <v>8888</v>
      </c>
      <c r="G1230" s="66">
        <v>1.3457352068078399E-2</v>
      </c>
      <c r="H1230" s="65">
        <v>493</v>
      </c>
      <c r="I1230" s="67">
        <v>0.52235296094680495</v>
      </c>
      <c r="J1230" s="67">
        <v>7.02948769926435</v>
      </c>
      <c r="K1230" s="65">
        <v>86</v>
      </c>
      <c r="L1230" s="65">
        <v>1</v>
      </c>
      <c r="M1230" s="66">
        <v>0</v>
      </c>
      <c r="N1230" s="67">
        <v>0</v>
      </c>
      <c r="O1230" s="67">
        <v>0</v>
      </c>
      <c r="P1230" s="67">
        <v>35.520001344382798</v>
      </c>
      <c r="Q1230" s="77">
        <v>0</v>
      </c>
    </row>
    <row r="1231" spans="1:17" x14ac:dyDescent="0.35">
      <c r="A1231" s="76" t="s">
        <v>136</v>
      </c>
      <c r="B1231" s="63">
        <v>937733</v>
      </c>
      <c r="C1231" s="63" t="s">
        <v>147</v>
      </c>
      <c r="D1231" s="64">
        <v>42638</v>
      </c>
      <c r="E1231" s="63" t="s">
        <v>138</v>
      </c>
      <c r="F1231" s="65">
        <v>52672</v>
      </c>
      <c r="G1231" s="66">
        <v>1.0217448257794101E-2</v>
      </c>
      <c r="H1231" s="65">
        <v>234</v>
      </c>
      <c r="I1231" s="67">
        <v>0.43179488468628702</v>
      </c>
      <c r="J1231" s="67">
        <v>4.4118418922623004</v>
      </c>
      <c r="K1231" s="65">
        <v>58</v>
      </c>
      <c r="L1231" s="65">
        <v>2</v>
      </c>
      <c r="M1231" s="66">
        <v>2.5641025641025599E-2</v>
      </c>
      <c r="N1231" s="67">
        <v>97.848132064769501</v>
      </c>
      <c r="O1231" s="67">
        <v>97.848132064769501</v>
      </c>
      <c r="P1231" s="67">
        <v>16.8400005027652</v>
      </c>
      <c r="Q1231" s="77">
        <v>0.17210344385131601</v>
      </c>
    </row>
    <row r="1232" spans="1:17" x14ac:dyDescent="0.35">
      <c r="A1232" s="76" t="s">
        <v>136</v>
      </c>
      <c r="B1232" s="63">
        <v>937733</v>
      </c>
      <c r="C1232" s="63" t="s">
        <v>147</v>
      </c>
      <c r="D1232" s="64">
        <v>42639</v>
      </c>
      <c r="E1232" s="63" t="s">
        <v>138</v>
      </c>
      <c r="F1232" s="65">
        <v>36936</v>
      </c>
      <c r="G1232" s="66">
        <v>8.6309523809523798E-3</v>
      </c>
      <c r="H1232" s="65">
        <v>527</v>
      </c>
      <c r="I1232" s="67">
        <v>0.42517242554960599</v>
      </c>
      <c r="J1232" s="67">
        <v>3.6696429586126702</v>
      </c>
      <c r="K1232" s="65">
        <v>13</v>
      </c>
      <c r="L1232" s="65">
        <v>2</v>
      </c>
      <c r="M1232" s="66">
        <v>0</v>
      </c>
      <c r="N1232" s="67">
        <v>0</v>
      </c>
      <c r="O1232" s="67">
        <v>0</v>
      </c>
      <c r="P1232" s="67">
        <v>12.3300003409386</v>
      </c>
      <c r="Q1232" s="77">
        <v>0</v>
      </c>
    </row>
    <row r="1233" spans="1:17" x14ac:dyDescent="0.35">
      <c r="A1233" s="76" t="s">
        <v>136</v>
      </c>
      <c r="B1233" s="63">
        <v>937733</v>
      </c>
      <c r="C1233" s="63" t="s">
        <v>147</v>
      </c>
      <c r="D1233" s="64">
        <v>42640</v>
      </c>
      <c r="E1233" s="63" t="s">
        <v>138</v>
      </c>
      <c r="F1233" s="65">
        <v>25911</v>
      </c>
      <c r="G1233" s="66">
        <v>1.0353445198143499E-2</v>
      </c>
      <c r="H1233" s="65">
        <v>415</v>
      </c>
      <c r="I1233" s="67">
        <v>0.54827587974482594</v>
      </c>
      <c r="J1233" s="67">
        <v>5.6765442744019801</v>
      </c>
      <c r="K1233" s="65">
        <v>14</v>
      </c>
      <c r="L1233" s="65">
        <v>0</v>
      </c>
      <c r="M1233" s="66">
        <v>0</v>
      </c>
      <c r="N1233" s="67">
        <v>0</v>
      </c>
      <c r="O1233" s="67">
        <v>0</v>
      </c>
      <c r="P1233" s="67">
        <v>15.900000512599901</v>
      </c>
      <c r="Q1233" s="77">
        <v>0</v>
      </c>
    </row>
    <row r="1234" spans="1:17" x14ac:dyDescent="0.35">
      <c r="A1234" s="76" t="s">
        <v>136</v>
      </c>
      <c r="B1234" s="63">
        <v>937733</v>
      </c>
      <c r="C1234" s="63" t="s">
        <v>147</v>
      </c>
      <c r="D1234" s="64">
        <v>42641</v>
      </c>
      <c r="E1234" s="63" t="s">
        <v>138</v>
      </c>
      <c r="F1234" s="65">
        <v>12559</v>
      </c>
      <c r="G1234" s="66">
        <v>1.0673782521681101E-2</v>
      </c>
      <c r="H1234" s="65">
        <v>460</v>
      </c>
      <c r="I1234" s="67">
        <v>0.52406251779757396</v>
      </c>
      <c r="J1234" s="67">
        <v>5.5937293427359496</v>
      </c>
      <c r="K1234" s="65">
        <v>28</v>
      </c>
      <c r="L1234" s="65">
        <v>1</v>
      </c>
      <c r="M1234" s="66">
        <v>0</v>
      </c>
      <c r="N1234" s="67">
        <v>0</v>
      </c>
      <c r="O1234" s="67">
        <v>0</v>
      </c>
      <c r="P1234" s="67">
        <v>16.770000569522399</v>
      </c>
      <c r="Q1234" s="77">
        <v>0</v>
      </c>
    </row>
    <row r="1235" spans="1:17" x14ac:dyDescent="0.35">
      <c r="A1235" s="76" t="s">
        <v>136</v>
      </c>
      <c r="B1235" s="63">
        <v>937733</v>
      </c>
      <c r="C1235" s="63" t="s">
        <v>147</v>
      </c>
      <c r="D1235" s="64">
        <v>42642</v>
      </c>
      <c r="E1235" s="63" t="s">
        <v>138</v>
      </c>
      <c r="F1235" s="65">
        <v>52799</v>
      </c>
      <c r="G1235" s="66">
        <v>8.8855979266938192E-3</v>
      </c>
      <c r="H1235" s="65">
        <v>517</v>
      </c>
      <c r="I1235" s="67">
        <v>0.50125001743435904</v>
      </c>
      <c r="J1235" s="67">
        <v>4.4539061156699802</v>
      </c>
      <c r="K1235" s="65">
        <v>42</v>
      </c>
      <c r="L1235" s="65">
        <v>1</v>
      </c>
      <c r="M1235" s="66">
        <v>0</v>
      </c>
      <c r="N1235" s="67">
        <v>0</v>
      </c>
      <c r="O1235" s="67">
        <v>0</v>
      </c>
      <c r="P1235" s="67">
        <v>12.030000418424599</v>
      </c>
      <c r="Q1235" s="77">
        <v>0</v>
      </c>
    </row>
    <row r="1236" spans="1:17" x14ac:dyDescent="0.35">
      <c r="A1236" s="76" t="s">
        <v>136</v>
      </c>
      <c r="B1236" s="63">
        <v>937733</v>
      </c>
      <c r="C1236" s="63" t="s">
        <v>147</v>
      </c>
      <c r="D1236" s="64">
        <v>42643</v>
      </c>
      <c r="E1236" s="63" t="s">
        <v>138</v>
      </c>
      <c r="F1236" s="65">
        <v>4419</v>
      </c>
      <c r="G1236" s="66">
        <v>1.29659643435981E-2</v>
      </c>
      <c r="H1236" s="65">
        <v>230</v>
      </c>
      <c r="I1236" s="67">
        <v>0.45750001240521698</v>
      </c>
      <c r="J1236" s="67">
        <v>5.9319288480417098</v>
      </c>
      <c r="K1236" s="65">
        <v>44</v>
      </c>
      <c r="L1236" s="65">
        <v>1</v>
      </c>
      <c r="M1236" s="66">
        <v>0</v>
      </c>
      <c r="N1236" s="67">
        <v>0</v>
      </c>
      <c r="O1236" s="67">
        <v>0</v>
      </c>
      <c r="P1236" s="67">
        <v>18.3000004962087</v>
      </c>
      <c r="Q1236" s="77">
        <v>0</v>
      </c>
    </row>
    <row r="1237" spans="1:17" x14ac:dyDescent="0.35">
      <c r="A1237" s="76" t="s">
        <v>136</v>
      </c>
      <c r="B1237" s="63">
        <v>937733</v>
      </c>
      <c r="C1237" s="63" t="s">
        <v>147</v>
      </c>
      <c r="D1237" s="64">
        <v>42644</v>
      </c>
      <c r="E1237" s="63" t="s">
        <v>138</v>
      </c>
      <c r="F1237" s="65">
        <v>56868</v>
      </c>
      <c r="G1237" s="66">
        <v>1.07284020327499E-2</v>
      </c>
      <c r="H1237" s="65">
        <v>355</v>
      </c>
      <c r="I1237" s="67">
        <v>0.39947369753530099</v>
      </c>
      <c r="J1237" s="67">
        <v>4.2857144286678297</v>
      </c>
      <c r="K1237" s="65">
        <v>73</v>
      </c>
      <c r="L1237" s="65">
        <v>2</v>
      </c>
      <c r="M1237" s="66">
        <v>0</v>
      </c>
      <c r="N1237" s="67">
        <v>0</v>
      </c>
      <c r="O1237" s="67">
        <v>0</v>
      </c>
      <c r="P1237" s="67">
        <v>15.1800005063415</v>
      </c>
      <c r="Q1237" s="77">
        <v>0</v>
      </c>
    </row>
    <row r="1238" spans="1:17" x14ac:dyDescent="0.35">
      <c r="A1238" s="76" t="s">
        <v>136</v>
      </c>
      <c r="B1238" s="63">
        <v>937733</v>
      </c>
      <c r="C1238" s="63" t="s">
        <v>147</v>
      </c>
      <c r="D1238" s="64">
        <v>42645</v>
      </c>
      <c r="E1238" s="63" t="s">
        <v>138</v>
      </c>
      <c r="F1238" s="65">
        <v>30642</v>
      </c>
      <c r="G1238" s="66">
        <v>1.17422173675587E-2</v>
      </c>
      <c r="H1238" s="65">
        <v>286</v>
      </c>
      <c r="I1238" s="67">
        <v>0.44511628462824698</v>
      </c>
      <c r="J1238" s="67">
        <v>5.2266521679450104</v>
      </c>
      <c r="K1238" s="65">
        <v>42</v>
      </c>
      <c r="L1238" s="65">
        <v>0</v>
      </c>
      <c r="M1238" s="66">
        <v>0</v>
      </c>
      <c r="N1238" s="67">
        <v>0</v>
      </c>
      <c r="O1238" s="67">
        <v>0</v>
      </c>
      <c r="P1238" s="67">
        <v>19.140000239014601</v>
      </c>
      <c r="Q1238" s="77">
        <v>0</v>
      </c>
    </row>
    <row r="1239" spans="1:17" x14ac:dyDescent="0.35">
      <c r="A1239" s="76" t="s">
        <v>136</v>
      </c>
      <c r="B1239" s="63">
        <v>937733</v>
      </c>
      <c r="C1239" s="63" t="s">
        <v>147</v>
      </c>
      <c r="D1239" s="64">
        <v>42646</v>
      </c>
      <c r="E1239" s="63" t="s">
        <v>138</v>
      </c>
      <c r="F1239" s="65">
        <v>27279</v>
      </c>
      <c r="G1239" s="66">
        <v>9.1722595078299798E-3</v>
      </c>
      <c r="H1239" s="65">
        <v>509</v>
      </c>
      <c r="I1239" s="67">
        <v>0.43195122934696201</v>
      </c>
      <c r="J1239" s="67">
        <v>3.9619687702965098</v>
      </c>
      <c r="K1239" s="65">
        <v>96</v>
      </c>
      <c r="L1239" s="65">
        <v>2</v>
      </c>
      <c r="M1239" s="66">
        <v>2.4390243902439001E-2</v>
      </c>
      <c r="N1239" s="67">
        <v>52.050195763413697</v>
      </c>
      <c r="O1239" s="67">
        <v>52.050195763413697</v>
      </c>
      <c r="P1239" s="67">
        <v>17.710000403225401</v>
      </c>
      <c r="Q1239" s="77">
        <v>0.34024848789663698</v>
      </c>
    </row>
    <row r="1240" spans="1:17" x14ac:dyDescent="0.35">
      <c r="A1240" s="76" t="s">
        <v>136</v>
      </c>
      <c r="B1240" s="63">
        <v>937733</v>
      </c>
      <c r="C1240" s="63" t="s">
        <v>147</v>
      </c>
      <c r="D1240" s="64">
        <v>42647</v>
      </c>
      <c r="E1240" s="63" t="s">
        <v>138</v>
      </c>
      <c r="F1240" s="65">
        <v>6091</v>
      </c>
      <c r="G1240" s="66">
        <v>8.1858991285978407E-3</v>
      </c>
      <c r="H1240" s="65">
        <v>513</v>
      </c>
      <c r="I1240" s="67">
        <v>0.61548388773395202</v>
      </c>
      <c r="J1240" s="67">
        <v>5.03828902026736</v>
      </c>
      <c r="K1240" s="65">
        <v>74</v>
      </c>
      <c r="L1240" s="65">
        <v>1</v>
      </c>
      <c r="M1240" s="66">
        <v>3.2258064516128997E-2</v>
      </c>
      <c r="N1240" s="67">
        <v>385.11840561414698</v>
      </c>
      <c r="O1240" s="67">
        <v>385.11840561414698</v>
      </c>
      <c r="P1240" s="67">
        <v>19.080000519752499</v>
      </c>
      <c r="Q1240" s="77">
        <v>4.9543206041595698E-2</v>
      </c>
    </row>
    <row r="1241" spans="1:17" x14ac:dyDescent="0.35">
      <c r="A1241" s="76" t="s">
        <v>136</v>
      </c>
      <c r="B1241" s="63">
        <v>937733</v>
      </c>
      <c r="C1241" s="63" t="s">
        <v>147</v>
      </c>
      <c r="D1241" s="64">
        <v>42648</v>
      </c>
      <c r="E1241" s="63" t="s">
        <v>138</v>
      </c>
      <c r="F1241" s="65">
        <v>6149</v>
      </c>
      <c r="G1241" s="66">
        <v>1.0994263862332701E-2</v>
      </c>
      <c r="H1241" s="65">
        <v>508</v>
      </c>
      <c r="I1241" s="67">
        <v>0.43478261906167698</v>
      </c>
      <c r="J1241" s="67">
        <v>4.78011483672016</v>
      </c>
      <c r="K1241" s="65">
        <v>74</v>
      </c>
      <c r="L1241" s="65">
        <v>4</v>
      </c>
      <c r="M1241" s="66">
        <v>4.3478260869565202E-2</v>
      </c>
      <c r="N1241" s="67">
        <v>114.704845397453</v>
      </c>
      <c r="O1241" s="67">
        <v>114.704845397453</v>
      </c>
      <c r="P1241" s="67">
        <v>10.0000002384186</v>
      </c>
      <c r="Q1241" s="77">
        <v>8.7180277378593005E-2</v>
      </c>
    </row>
    <row r="1242" spans="1:17" x14ac:dyDescent="0.35">
      <c r="A1242" s="76" t="s">
        <v>136</v>
      </c>
      <c r="B1242" s="63">
        <v>937733</v>
      </c>
      <c r="C1242" s="63" t="s">
        <v>147</v>
      </c>
      <c r="D1242" s="64">
        <v>42649</v>
      </c>
      <c r="E1242" s="63" t="s">
        <v>138</v>
      </c>
      <c r="F1242" s="65">
        <v>9879</v>
      </c>
      <c r="G1242" s="66">
        <v>1.2535382126971299E-2</v>
      </c>
      <c r="H1242" s="65">
        <v>547</v>
      </c>
      <c r="I1242" s="67">
        <v>0.47064517822957802</v>
      </c>
      <c r="J1242" s="67">
        <v>5.8997171553242698</v>
      </c>
      <c r="K1242" s="65">
        <v>58</v>
      </c>
      <c r="L1242" s="65">
        <v>5</v>
      </c>
      <c r="M1242" s="66">
        <v>9.6774193548387094E-2</v>
      </c>
      <c r="N1242" s="67">
        <v>111.125841204797</v>
      </c>
      <c r="O1242" s="67">
        <v>37.041947068265799</v>
      </c>
      <c r="P1242" s="67">
        <v>14.590000525116899</v>
      </c>
      <c r="Q1242" s="77">
        <v>0.13129259915548</v>
      </c>
    </row>
    <row r="1243" spans="1:17" x14ac:dyDescent="0.35">
      <c r="A1243" s="76" t="s">
        <v>136</v>
      </c>
      <c r="B1243" s="63">
        <v>937733</v>
      </c>
      <c r="C1243" s="63" t="s">
        <v>147</v>
      </c>
      <c r="D1243" s="64">
        <v>42650</v>
      </c>
      <c r="E1243" s="63" t="s">
        <v>138</v>
      </c>
      <c r="F1243" s="65">
        <v>61210</v>
      </c>
      <c r="G1243" s="66">
        <v>8.8549618320610708E-3</v>
      </c>
      <c r="H1243" s="65">
        <v>304</v>
      </c>
      <c r="I1243" s="67">
        <v>0.54241380095481895</v>
      </c>
      <c r="J1243" s="67">
        <v>4.8030535046380898</v>
      </c>
      <c r="K1243" s="65">
        <v>37</v>
      </c>
      <c r="L1243" s="65">
        <v>2</v>
      </c>
      <c r="M1243" s="66">
        <v>3.4482758620689703E-2</v>
      </c>
      <c r="N1243" s="67">
        <v>144.75079803089201</v>
      </c>
      <c r="O1243" s="67">
        <v>144.75079803089201</v>
      </c>
      <c r="P1243" s="67">
        <v>15.7300002276897</v>
      </c>
      <c r="Q1243" s="77">
        <v>0.10866952335787899</v>
      </c>
    </row>
    <row r="1244" spans="1:17" x14ac:dyDescent="0.35">
      <c r="A1244" s="76" t="s">
        <v>136</v>
      </c>
      <c r="B1244" s="63">
        <v>937733</v>
      </c>
      <c r="C1244" s="63" t="s">
        <v>147</v>
      </c>
      <c r="D1244" s="64">
        <v>42651</v>
      </c>
      <c r="E1244" s="63" t="s">
        <v>138</v>
      </c>
      <c r="F1244" s="65">
        <v>23332</v>
      </c>
      <c r="G1244" s="66">
        <v>8.5470085470085496E-3</v>
      </c>
      <c r="H1244" s="65">
        <v>549</v>
      </c>
      <c r="I1244" s="67">
        <v>0.54461541428015803</v>
      </c>
      <c r="J1244" s="67">
        <v>4.6548326006851104</v>
      </c>
      <c r="K1244" s="65">
        <v>30</v>
      </c>
      <c r="L1244" s="65">
        <v>1</v>
      </c>
      <c r="M1244" s="66">
        <v>0</v>
      </c>
      <c r="N1244" s="67">
        <v>0</v>
      </c>
      <c r="O1244" s="67">
        <v>0</v>
      </c>
      <c r="P1244" s="67">
        <v>14.1600007712841</v>
      </c>
      <c r="Q1244" s="77">
        <v>0</v>
      </c>
    </row>
    <row r="1245" spans="1:17" x14ac:dyDescent="0.35">
      <c r="A1245" s="76" t="s">
        <v>136</v>
      </c>
      <c r="B1245" s="63">
        <v>937733</v>
      </c>
      <c r="C1245" s="63" t="s">
        <v>147</v>
      </c>
      <c r="D1245" s="64">
        <v>42652</v>
      </c>
      <c r="E1245" s="63" t="s">
        <v>138</v>
      </c>
      <c r="F1245" s="65">
        <v>13846</v>
      </c>
      <c r="G1245" s="66">
        <v>7.3062261753494302E-3</v>
      </c>
      <c r="H1245" s="65">
        <v>393</v>
      </c>
      <c r="I1245" s="67">
        <v>0.54130435767381102</v>
      </c>
      <c r="J1245" s="67">
        <v>3.9548920668671101</v>
      </c>
      <c r="K1245" s="65">
        <v>76</v>
      </c>
      <c r="L1245" s="65">
        <v>2</v>
      </c>
      <c r="M1245" s="66">
        <v>0</v>
      </c>
      <c r="N1245" s="67">
        <v>0</v>
      </c>
      <c r="O1245" s="67">
        <v>0</v>
      </c>
      <c r="P1245" s="67">
        <v>12.4500002264977</v>
      </c>
      <c r="Q1245" s="77">
        <v>0</v>
      </c>
    </row>
    <row r="1246" spans="1:17" x14ac:dyDescent="0.35">
      <c r="A1246" s="76" t="s">
        <v>136</v>
      </c>
      <c r="B1246" s="63">
        <v>937733</v>
      </c>
      <c r="C1246" s="63" t="s">
        <v>147</v>
      </c>
      <c r="D1246" s="64">
        <v>42653</v>
      </c>
      <c r="E1246" s="63" t="s">
        <v>138</v>
      </c>
      <c r="F1246" s="65">
        <v>47329</v>
      </c>
      <c r="G1246" s="66">
        <v>9.7370983446932804E-3</v>
      </c>
      <c r="H1246" s="65">
        <v>569</v>
      </c>
      <c r="I1246" s="67">
        <v>0.63766671071449899</v>
      </c>
      <c r="J1246" s="67">
        <v>6.2090234733641596</v>
      </c>
      <c r="K1246" s="65">
        <v>10</v>
      </c>
      <c r="L1246" s="65">
        <v>2</v>
      </c>
      <c r="M1246" s="66">
        <v>0</v>
      </c>
      <c r="N1246" s="67">
        <v>0</v>
      </c>
      <c r="O1246" s="67">
        <v>0</v>
      </c>
      <c r="P1246" s="67">
        <v>19.130001321435</v>
      </c>
      <c r="Q1246" s="77">
        <v>0</v>
      </c>
    </row>
    <row r="1247" spans="1:17" x14ac:dyDescent="0.35">
      <c r="A1247" s="76" t="s">
        <v>136</v>
      </c>
      <c r="B1247" s="63">
        <v>937733</v>
      </c>
      <c r="C1247" s="63" t="s">
        <v>147</v>
      </c>
      <c r="D1247" s="64">
        <v>42654</v>
      </c>
      <c r="E1247" s="63" t="s">
        <v>138</v>
      </c>
      <c r="F1247" s="65">
        <v>65335</v>
      </c>
      <c r="G1247" s="66">
        <v>7.1510297482837498E-3</v>
      </c>
      <c r="H1247" s="65">
        <v>295</v>
      </c>
      <c r="I1247" s="67">
        <v>0.69840001583099398</v>
      </c>
      <c r="J1247" s="67">
        <v>4.9942792894092802</v>
      </c>
      <c r="K1247" s="65">
        <v>87</v>
      </c>
      <c r="L1247" s="65">
        <v>2</v>
      </c>
      <c r="M1247" s="66">
        <v>0</v>
      </c>
      <c r="N1247" s="67">
        <v>0</v>
      </c>
      <c r="O1247" s="67">
        <v>0</v>
      </c>
      <c r="P1247" s="67">
        <v>17.460000395774799</v>
      </c>
      <c r="Q1247" s="77">
        <v>0</v>
      </c>
    </row>
    <row r="1248" spans="1:17" x14ac:dyDescent="0.35">
      <c r="A1248" s="76" t="s">
        <v>136</v>
      </c>
      <c r="B1248" s="63">
        <v>937733</v>
      </c>
      <c r="C1248" s="63" t="s">
        <v>147</v>
      </c>
      <c r="D1248" s="64">
        <v>42655</v>
      </c>
      <c r="E1248" s="63" t="s">
        <v>138</v>
      </c>
      <c r="F1248" s="65">
        <v>52768</v>
      </c>
      <c r="G1248" s="66">
        <v>6.1711079943898997E-3</v>
      </c>
      <c r="H1248" s="65">
        <v>303</v>
      </c>
      <c r="I1248" s="67">
        <v>0.69681819968602898</v>
      </c>
      <c r="J1248" s="67">
        <v>4.3001403627188299</v>
      </c>
      <c r="K1248" s="65">
        <v>20</v>
      </c>
      <c r="L1248" s="65">
        <v>6</v>
      </c>
      <c r="M1248" s="66">
        <v>4.5454545454545497E-2</v>
      </c>
      <c r="N1248" s="67">
        <v>49.3548943744442</v>
      </c>
      <c r="O1248" s="67">
        <v>49.3548943744442</v>
      </c>
      <c r="P1248" s="67">
        <v>15.3300003930926</v>
      </c>
      <c r="Q1248" s="77">
        <v>0.31060750078376098</v>
      </c>
    </row>
    <row r="1249" spans="1:17" x14ac:dyDescent="0.35">
      <c r="A1249" s="76" t="s">
        <v>136</v>
      </c>
      <c r="B1249" s="63">
        <v>937733</v>
      </c>
      <c r="C1249" s="63" t="s">
        <v>147</v>
      </c>
      <c r="D1249" s="64">
        <v>42656</v>
      </c>
      <c r="E1249" s="63" t="s">
        <v>138</v>
      </c>
      <c r="F1249" s="65">
        <v>61612</v>
      </c>
      <c r="G1249" s="66">
        <v>9.6043027276219804E-3</v>
      </c>
      <c r="H1249" s="65">
        <v>590</v>
      </c>
      <c r="I1249" s="67">
        <v>0.66680001437664005</v>
      </c>
      <c r="J1249" s="67">
        <v>6.4041491968559399</v>
      </c>
      <c r="K1249" s="65">
        <v>13</v>
      </c>
      <c r="L1249" s="65">
        <v>2</v>
      </c>
      <c r="M1249" s="66">
        <v>0</v>
      </c>
      <c r="N1249" s="67">
        <v>0</v>
      </c>
      <c r="O1249" s="67">
        <v>0</v>
      </c>
      <c r="P1249" s="67">
        <v>16.670000359416001</v>
      </c>
      <c r="Q1249" s="77">
        <v>0</v>
      </c>
    </row>
    <row r="1250" spans="1:17" x14ac:dyDescent="0.35">
      <c r="A1250" s="76" t="s">
        <v>136</v>
      </c>
      <c r="B1250" s="63">
        <v>937733</v>
      </c>
      <c r="C1250" s="63" t="s">
        <v>147</v>
      </c>
      <c r="D1250" s="64">
        <v>42657</v>
      </c>
      <c r="E1250" s="63" t="s">
        <v>138</v>
      </c>
      <c r="F1250" s="65">
        <v>27573</v>
      </c>
      <c r="G1250" s="66">
        <v>9.7769630308585393E-3</v>
      </c>
      <c r="H1250" s="65">
        <v>261</v>
      </c>
      <c r="I1250" s="67">
        <v>0.52625002339482296</v>
      </c>
      <c r="J1250" s="67">
        <v>5.1451270237196303</v>
      </c>
      <c r="K1250" s="65">
        <v>42</v>
      </c>
      <c r="L1250" s="65">
        <v>0</v>
      </c>
      <c r="M1250" s="66">
        <v>0</v>
      </c>
      <c r="N1250" s="67">
        <v>0</v>
      </c>
      <c r="O1250" s="67">
        <v>0</v>
      </c>
      <c r="P1250" s="67">
        <v>16.840000748634299</v>
      </c>
      <c r="Q1250" s="77">
        <v>0</v>
      </c>
    </row>
    <row r="1251" spans="1:17" x14ac:dyDescent="0.35">
      <c r="A1251" s="76" t="s">
        <v>136</v>
      </c>
      <c r="B1251" s="63">
        <v>937733</v>
      </c>
      <c r="C1251" s="63" t="s">
        <v>147</v>
      </c>
      <c r="D1251" s="64">
        <v>42658</v>
      </c>
      <c r="E1251" s="63" t="s">
        <v>138</v>
      </c>
      <c r="F1251" s="65">
        <v>391</v>
      </c>
      <c r="G1251" s="66">
        <v>7.9316656497864495E-3</v>
      </c>
      <c r="H1251" s="65">
        <v>287</v>
      </c>
      <c r="I1251" s="67">
        <v>0.52461540699005105</v>
      </c>
      <c r="J1251" s="67">
        <v>4.1610740029717297</v>
      </c>
      <c r="K1251" s="65">
        <v>68</v>
      </c>
      <c r="L1251" s="65">
        <v>1</v>
      </c>
      <c r="M1251" s="66">
        <v>0</v>
      </c>
      <c r="N1251" s="67">
        <v>0</v>
      </c>
      <c r="O1251" s="67">
        <v>0</v>
      </c>
      <c r="P1251" s="67">
        <v>6.8200002908706701</v>
      </c>
      <c r="Q1251" s="77">
        <v>0</v>
      </c>
    </row>
    <row r="1252" spans="1:17" x14ac:dyDescent="0.35">
      <c r="A1252" s="76" t="s">
        <v>136</v>
      </c>
      <c r="B1252" s="63">
        <v>937733</v>
      </c>
      <c r="C1252" s="63" t="s">
        <v>147</v>
      </c>
      <c r="D1252" s="64">
        <v>42659</v>
      </c>
      <c r="E1252" s="63" t="s">
        <v>138</v>
      </c>
      <c r="F1252" s="65">
        <v>67194</v>
      </c>
      <c r="G1252" s="66">
        <v>1.7391304347826101E-2</v>
      </c>
      <c r="H1252" s="65">
        <v>228</v>
      </c>
      <c r="I1252" s="67">
        <v>0.373125014826655</v>
      </c>
      <c r="J1252" s="67">
        <v>6.4891306926374801</v>
      </c>
      <c r="K1252" s="65">
        <v>21</v>
      </c>
      <c r="L1252" s="65">
        <v>4</v>
      </c>
      <c r="M1252" s="66">
        <v>0</v>
      </c>
      <c r="N1252" s="67">
        <v>0</v>
      </c>
      <c r="O1252" s="67">
        <v>0</v>
      </c>
      <c r="P1252" s="67">
        <v>5.9700002372264898</v>
      </c>
      <c r="Q1252" s="77">
        <v>0</v>
      </c>
    </row>
    <row r="1253" spans="1:17" x14ac:dyDescent="0.35">
      <c r="A1253" s="76" t="s">
        <v>136</v>
      </c>
      <c r="B1253" s="63">
        <v>937733</v>
      </c>
      <c r="C1253" s="63" t="s">
        <v>147</v>
      </c>
      <c r="D1253" s="64">
        <v>42660</v>
      </c>
      <c r="E1253" s="63" t="s">
        <v>138</v>
      </c>
      <c r="F1253" s="65">
        <v>15168</v>
      </c>
      <c r="G1253" s="66">
        <v>1.8058690744920999E-2</v>
      </c>
      <c r="H1253" s="65">
        <v>162</v>
      </c>
      <c r="I1253" s="67">
        <v>0.71625004429370198</v>
      </c>
      <c r="J1253" s="67">
        <v>12.9345380459359</v>
      </c>
      <c r="K1253" s="65">
        <v>83</v>
      </c>
      <c r="L1253" s="65">
        <v>4</v>
      </c>
      <c r="M1253" s="66">
        <v>6.25E-2</v>
      </c>
      <c r="N1253" s="67">
        <v>65.261575180382707</v>
      </c>
      <c r="O1253" s="67">
        <v>65.261575180382707</v>
      </c>
      <c r="P1253" s="67">
        <v>11.4600007086992</v>
      </c>
      <c r="Q1253" s="77">
        <v>0.17560104360067699</v>
      </c>
    </row>
    <row r="1254" spans="1:17" x14ac:dyDescent="0.35">
      <c r="A1254" s="76" t="s">
        <v>136</v>
      </c>
      <c r="B1254" s="63">
        <v>937733</v>
      </c>
      <c r="C1254" s="63" t="s">
        <v>147</v>
      </c>
      <c r="D1254" s="64">
        <v>42661</v>
      </c>
      <c r="E1254" s="63" t="s">
        <v>138</v>
      </c>
      <c r="F1254" s="65">
        <v>2638</v>
      </c>
      <c r="G1254" s="66">
        <v>1.55728587319244E-2</v>
      </c>
      <c r="H1254" s="65">
        <v>424</v>
      </c>
      <c r="I1254" s="67">
        <v>0.59714288477386701</v>
      </c>
      <c r="J1254" s="67">
        <v>9.2992217873572205</v>
      </c>
      <c r="K1254" s="65">
        <v>81</v>
      </c>
      <c r="L1254" s="65">
        <v>3</v>
      </c>
      <c r="M1254" s="66">
        <v>7.1428571428571397E-2</v>
      </c>
      <c r="N1254" s="67">
        <v>15.818310019910101</v>
      </c>
      <c r="O1254" s="67">
        <v>15.818310019910101</v>
      </c>
      <c r="P1254" s="67">
        <v>8.3600003868341393</v>
      </c>
      <c r="Q1254" s="77">
        <v>0.528501488231779</v>
      </c>
    </row>
    <row r="1255" spans="1:17" x14ac:dyDescent="0.35">
      <c r="A1255" s="76" t="s">
        <v>136</v>
      </c>
      <c r="B1255" s="63">
        <v>937733</v>
      </c>
      <c r="C1255" s="63" t="s">
        <v>147</v>
      </c>
      <c r="D1255" s="64">
        <v>42662</v>
      </c>
      <c r="E1255" s="63" t="s">
        <v>138</v>
      </c>
      <c r="F1255" s="65">
        <v>7906</v>
      </c>
      <c r="G1255" s="66">
        <v>1.4492753623188401E-2</v>
      </c>
      <c r="H1255" s="65">
        <v>277</v>
      </c>
      <c r="I1255" s="67">
        <v>0.58666669825712803</v>
      </c>
      <c r="J1255" s="67">
        <v>8.50241591676998</v>
      </c>
      <c r="K1255" s="65">
        <v>61</v>
      </c>
      <c r="L1255" s="65">
        <v>1</v>
      </c>
      <c r="M1255" s="66">
        <v>0</v>
      </c>
      <c r="N1255" s="67">
        <v>0</v>
      </c>
      <c r="O1255" s="67">
        <v>0</v>
      </c>
      <c r="P1255" s="67">
        <v>8.8000004738569295</v>
      </c>
      <c r="Q1255" s="77">
        <v>0</v>
      </c>
    </row>
    <row r="1256" spans="1:17" x14ac:dyDescent="0.35">
      <c r="A1256" s="76" t="s">
        <v>136</v>
      </c>
      <c r="B1256" s="63">
        <v>937733</v>
      </c>
      <c r="C1256" s="63" t="s">
        <v>147</v>
      </c>
      <c r="D1256" s="64">
        <v>42663</v>
      </c>
      <c r="E1256" s="63" t="s">
        <v>138</v>
      </c>
      <c r="F1256" s="65">
        <v>15794</v>
      </c>
      <c r="G1256" s="66">
        <v>8.0000000000000002E-3</v>
      </c>
      <c r="H1256" s="65">
        <v>168</v>
      </c>
      <c r="I1256" s="67">
        <v>0.71857145854405002</v>
      </c>
      <c r="J1256" s="67">
        <v>5.7485716683524002</v>
      </c>
      <c r="K1256" s="65">
        <v>9</v>
      </c>
      <c r="L1256" s="65">
        <v>2</v>
      </c>
      <c r="M1256" s="66">
        <v>0.14285714285714299</v>
      </c>
      <c r="N1256" s="67">
        <v>26.422763890535801</v>
      </c>
      <c r="O1256" s="67">
        <v>26.422763890535801</v>
      </c>
      <c r="P1256" s="67">
        <v>5.0300002098083496</v>
      </c>
      <c r="Q1256" s="77">
        <v>0.19036616421531999</v>
      </c>
    </row>
    <row r="1257" spans="1:17" x14ac:dyDescent="0.35">
      <c r="A1257" s="76" t="s">
        <v>136</v>
      </c>
      <c r="B1257" s="63">
        <v>937733</v>
      </c>
      <c r="C1257" s="63" t="s">
        <v>147</v>
      </c>
      <c r="D1257" s="64">
        <v>42664</v>
      </c>
      <c r="E1257" s="63" t="s">
        <v>138</v>
      </c>
      <c r="F1257" s="65">
        <v>56486</v>
      </c>
      <c r="G1257" s="66">
        <v>9.7259062776304198E-3</v>
      </c>
      <c r="H1257" s="65">
        <v>571</v>
      </c>
      <c r="I1257" s="67">
        <v>0.30181819606911098</v>
      </c>
      <c r="J1257" s="67">
        <v>2.9354554878516499</v>
      </c>
      <c r="K1257" s="65">
        <v>89</v>
      </c>
      <c r="L1257" s="65">
        <v>6</v>
      </c>
      <c r="M1257" s="66">
        <v>0</v>
      </c>
      <c r="N1257" s="67">
        <v>0</v>
      </c>
      <c r="O1257" s="67">
        <v>0</v>
      </c>
      <c r="P1257" s="67">
        <v>3.3200001567602202</v>
      </c>
      <c r="Q1257" s="77">
        <v>0</v>
      </c>
    </row>
    <row r="1258" spans="1:17" x14ac:dyDescent="0.35">
      <c r="A1258" s="76" t="s">
        <v>136</v>
      </c>
      <c r="B1258" s="63">
        <v>937733</v>
      </c>
      <c r="C1258" s="63" t="s">
        <v>147</v>
      </c>
      <c r="D1258" s="64">
        <v>42665</v>
      </c>
      <c r="E1258" s="63" t="s">
        <v>138</v>
      </c>
      <c r="F1258" s="65">
        <v>67590</v>
      </c>
      <c r="G1258" s="66">
        <v>8.2644628099173608E-3</v>
      </c>
      <c r="H1258" s="65">
        <v>301</v>
      </c>
      <c r="I1258" s="67">
        <v>0.66125003620982203</v>
      </c>
      <c r="J1258" s="67">
        <v>5.4648763323125804</v>
      </c>
      <c r="K1258" s="65">
        <v>72</v>
      </c>
      <c r="L1258" s="65">
        <v>0</v>
      </c>
      <c r="M1258" s="66">
        <v>0</v>
      </c>
      <c r="N1258" s="67">
        <v>0</v>
      </c>
      <c r="O1258" s="67">
        <v>0</v>
      </c>
      <c r="P1258" s="67">
        <v>5.2900002896785701</v>
      </c>
      <c r="Q1258" s="77">
        <v>0</v>
      </c>
    </row>
    <row r="1259" spans="1:17" x14ac:dyDescent="0.35">
      <c r="A1259" s="76" t="s">
        <v>136</v>
      </c>
      <c r="B1259" s="63">
        <v>937733</v>
      </c>
      <c r="C1259" s="63" t="s">
        <v>147</v>
      </c>
      <c r="D1259" s="64">
        <v>42666</v>
      </c>
      <c r="E1259" s="63" t="s">
        <v>138</v>
      </c>
      <c r="F1259" s="65">
        <v>23522</v>
      </c>
      <c r="G1259" s="66">
        <v>8.6741016109045908E-3</v>
      </c>
      <c r="H1259" s="65">
        <v>339</v>
      </c>
      <c r="I1259" s="67">
        <v>0.56571432309491299</v>
      </c>
      <c r="J1259" s="67">
        <v>4.9070635212693796</v>
      </c>
      <c r="K1259" s="65">
        <v>99</v>
      </c>
      <c r="L1259" s="65">
        <v>2</v>
      </c>
      <c r="M1259" s="66">
        <v>0.14285714285714299</v>
      </c>
      <c r="N1259" s="67">
        <v>138.43230284242199</v>
      </c>
      <c r="O1259" s="67">
        <v>138.43230284242199</v>
      </c>
      <c r="P1259" s="67">
        <v>3.9600002616643901</v>
      </c>
      <c r="Q1259" s="77">
        <v>2.8606041945080402E-2</v>
      </c>
    </row>
    <row r="1260" spans="1:17" x14ac:dyDescent="0.35">
      <c r="A1260" s="76" t="s">
        <v>136</v>
      </c>
      <c r="B1260" s="63">
        <v>937733</v>
      </c>
      <c r="C1260" s="63" t="s">
        <v>147</v>
      </c>
      <c r="D1260" s="64">
        <v>42667</v>
      </c>
      <c r="E1260" s="63" t="s">
        <v>138</v>
      </c>
      <c r="F1260" s="65">
        <v>4516</v>
      </c>
      <c r="G1260" s="66">
        <v>8.0091533180778E-3</v>
      </c>
      <c r="H1260" s="65">
        <v>492</v>
      </c>
      <c r="I1260" s="67">
        <v>0.66428575345448104</v>
      </c>
      <c r="J1260" s="67">
        <v>5.3203664464317697</v>
      </c>
      <c r="K1260" s="65">
        <v>8</v>
      </c>
      <c r="L1260" s="65">
        <v>2</v>
      </c>
      <c r="M1260" s="66">
        <v>0</v>
      </c>
      <c r="N1260" s="67">
        <v>0</v>
      </c>
      <c r="O1260" s="67">
        <v>0</v>
      </c>
      <c r="P1260" s="67">
        <v>4.6500002741813704</v>
      </c>
      <c r="Q1260" s="77">
        <v>0</v>
      </c>
    </row>
    <row r="1261" spans="1:17" x14ac:dyDescent="0.35">
      <c r="A1261" s="76" t="s">
        <v>136</v>
      </c>
      <c r="B1261" s="63">
        <v>937733</v>
      </c>
      <c r="C1261" s="63" t="s">
        <v>147</v>
      </c>
      <c r="D1261" s="64">
        <v>42668</v>
      </c>
      <c r="E1261" s="63" t="s">
        <v>138</v>
      </c>
      <c r="F1261" s="65">
        <v>9676</v>
      </c>
      <c r="G1261" s="66">
        <v>1.9296254256526701E-2</v>
      </c>
      <c r="H1261" s="65">
        <v>163</v>
      </c>
      <c r="I1261" s="67">
        <v>0.71176474760560404</v>
      </c>
      <c r="J1261" s="67">
        <v>13.7343935406303</v>
      </c>
      <c r="K1261" s="65">
        <v>38</v>
      </c>
      <c r="L1261" s="65">
        <v>4</v>
      </c>
      <c r="M1261" s="66">
        <v>0</v>
      </c>
      <c r="N1261" s="67">
        <v>0</v>
      </c>
      <c r="O1261" s="67">
        <v>0</v>
      </c>
      <c r="P1261" s="67">
        <v>12.100000709295299</v>
      </c>
      <c r="Q1261" s="77">
        <v>0</v>
      </c>
    </row>
    <row r="1262" spans="1:17" x14ac:dyDescent="0.35">
      <c r="A1262" s="76" t="s">
        <v>136</v>
      </c>
      <c r="B1262" s="63">
        <v>937733</v>
      </c>
      <c r="C1262" s="63" t="s">
        <v>147</v>
      </c>
      <c r="D1262" s="64">
        <v>42669</v>
      </c>
      <c r="E1262" s="63" t="s">
        <v>138</v>
      </c>
      <c r="F1262" s="65">
        <v>48721</v>
      </c>
      <c r="G1262" s="66">
        <v>1.30759651307597E-2</v>
      </c>
      <c r="H1262" s="65">
        <v>525</v>
      </c>
      <c r="I1262" s="67">
        <v>0.66095240910847997</v>
      </c>
      <c r="J1262" s="67">
        <v>8.6425906545940698</v>
      </c>
      <c r="K1262" s="65">
        <v>58</v>
      </c>
      <c r="L1262" s="65">
        <v>1</v>
      </c>
      <c r="M1262" s="66">
        <v>4.7619047619047603E-2</v>
      </c>
      <c r="N1262" s="67">
        <v>26.422763890535801</v>
      </c>
      <c r="O1262" s="67">
        <v>26.422763890535801</v>
      </c>
      <c r="P1262" s="67">
        <v>13.880000591278099</v>
      </c>
      <c r="Q1262" s="77">
        <v>0.52530464446415004</v>
      </c>
    </row>
    <row r="1263" spans="1:17" x14ac:dyDescent="0.35">
      <c r="A1263" s="76" t="s">
        <v>136</v>
      </c>
      <c r="B1263" s="63">
        <v>937733</v>
      </c>
      <c r="C1263" s="63" t="s">
        <v>147</v>
      </c>
      <c r="D1263" s="64">
        <v>42670</v>
      </c>
      <c r="E1263" s="63" t="s">
        <v>138</v>
      </c>
      <c r="F1263" s="65">
        <v>63437</v>
      </c>
      <c r="G1263" s="66">
        <v>7.2289156626506E-3</v>
      </c>
      <c r="H1263" s="65">
        <v>240</v>
      </c>
      <c r="I1263" s="67">
        <v>1.0100000500679001</v>
      </c>
      <c r="J1263" s="67">
        <v>7.3012051812137502</v>
      </c>
      <c r="K1263" s="65">
        <v>24</v>
      </c>
      <c r="L1263" s="65">
        <v>0</v>
      </c>
      <c r="M1263" s="66">
        <v>0</v>
      </c>
      <c r="N1263" s="67">
        <v>0</v>
      </c>
      <c r="O1263" s="67">
        <v>0</v>
      </c>
      <c r="P1263" s="67">
        <v>6.0600003004074097</v>
      </c>
      <c r="Q1263" s="77">
        <v>0</v>
      </c>
    </row>
    <row r="1264" spans="1:17" x14ac:dyDescent="0.35">
      <c r="A1264" s="76" t="s">
        <v>136</v>
      </c>
      <c r="B1264" s="63">
        <v>937733</v>
      </c>
      <c r="C1264" s="63" t="s">
        <v>147</v>
      </c>
      <c r="D1264" s="64">
        <v>42671</v>
      </c>
      <c r="E1264" s="63" t="s">
        <v>138</v>
      </c>
      <c r="F1264" s="65">
        <v>19451</v>
      </c>
      <c r="G1264" s="66">
        <v>1.8032786885245899E-2</v>
      </c>
      <c r="H1264" s="65">
        <v>374</v>
      </c>
      <c r="I1264" s="67">
        <v>0.83000004494732105</v>
      </c>
      <c r="J1264" s="67">
        <v>14.9672139252796</v>
      </c>
      <c r="K1264" s="65">
        <v>95</v>
      </c>
      <c r="L1264" s="65">
        <v>5</v>
      </c>
      <c r="M1264" s="66">
        <v>9.0909090909090898E-2</v>
      </c>
      <c r="N1264" s="67">
        <v>347.63953086553698</v>
      </c>
      <c r="O1264" s="67">
        <v>173.81976543276801</v>
      </c>
      <c r="P1264" s="67">
        <v>18.260000988841099</v>
      </c>
      <c r="Q1264" s="77">
        <v>5.2525674923614603E-2</v>
      </c>
    </row>
    <row r="1265" spans="1:17" x14ac:dyDescent="0.35">
      <c r="A1265" s="76" t="s">
        <v>136</v>
      </c>
      <c r="B1265" s="63">
        <v>937733</v>
      </c>
      <c r="C1265" s="63" t="s">
        <v>147</v>
      </c>
      <c r="D1265" s="64">
        <v>42672</v>
      </c>
      <c r="E1265" s="63" t="s">
        <v>138</v>
      </c>
      <c r="F1265" s="65">
        <v>44718</v>
      </c>
      <c r="G1265" s="66">
        <v>1.0869565217391301E-2</v>
      </c>
      <c r="H1265" s="65">
        <v>305</v>
      </c>
      <c r="I1265" s="67">
        <v>0.78300004601478601</v>
      </c>
      <c r="J1265" s="67">
        <v>8.5108700653781106</v>
      </c>
      <c r="K1265" s="65">
        <v>88</v>
      </c>
      <c r="L1265" s="65">
        <v>0</v>
      </c>
      <c r="M1265" s="66">
        <v>0</v>
      </c>
      <c r="N1265" s="67">
        <v>0</v>
      </c>
      <c r="O1265" s="67">
        <v>0</v>
      </c>
      <c r="P1265" s="67">
        <v>7.8300004601478603</v>
      </c>
      <c r="Q1265" s="77">
        <v>0</v>
      </c>
    </row>
    <row r="1266" spans="1:17" x14ac:dyDescent="0.35">
      <c r="A1266" s="76" t="s">
        <v>136</v>
      </c>
      <c r="B1266" s="63">
        <v>937733</v>
      </c>
      <c r="C1266" s="63" t="s">
        <v>147</v>
      </c>
      <c r="D1266" s="64">
        <v>42673</v>
      </c>
      <c r="E1266" s="63" t="s">
        <v>138</v>
      </c>
      <c r="F1266" s="65">
        <v>38707</v>
      </c>
      <c r="G1266" s="66">
        <v>3.36021505376344E-3</v>
      </c>
      <c r="H1266" s="65">
        <v>356</v>
      </c>
      <c r="I1266" s="67">
        <v>1.0420000553131099</v>
      </c>
      <c r="J1266" s="67">
        <v>3.5013442718854502</v>
      </c>
      <c r="K1266" s="65">
        <v>78</v>
      </c>
      <c r="L1266" s="65">
        <v>2</v>
      </c>
      <c r="M1266" s="66">
        <v>0.2</v>
      </c>
      <c r="N1266" s="67">
        <v>95.395896914318001</v>
      </c>
      <c r="O1266" s="67">
        <v>95.395896914318001</v>
      </c>
      <c r="P1266" s="67">
        <v>5.21000027656555</v>
      </c>
      <c r="Q1266" s="77">
        <v>5.4614511159164797E-2</v>
      </c>
    </row>
    <row r="1267" spans="1:17" x14ac:dyDescent="0.35">
      <c r="A1267" s="76" t="s">
        <v>136</v>
      </c>
      <c r="B1267" s="63">
        <v>937733</v>
      </c>
      <c r="C1267" s="63" t="s">
        <v>147</v>
      </c>
      <c r="D1267" s="64">
        <v>42674</v>
      </c>
      <c r="E1267" s="63" t="s">
        <v>138</v>
      </c>
      <c r="F1267" s="65">
        <v>15979</v>
      </c>
      <c r="G1267" s="66">
        <v>9.8952270081490105E-3</v>
      </c>
      <c r="H1267" s="65">
        <v>510</v>
      </c>
      <c r="I1267" s="67">
        <v>0.54000001795151698</v>
      </c>
      <c r="J1267" s="67">
        <v>5.3434227620348</v>
      </c>
      <c r="K1267" s="65">
        <v>86</v>
      </c>
      <c r="L1267" s="65">
        <v>2</v>
      </c>
      <c r="M1267" s="66">
        <v>5.8823529411764698E-2</v>
      </c>
      <c r="N1267" s="67">
        <v>272.84376104630599</v>
      </c>
      <c r="O1267" s="67">
        <v>272.84376104630599</v>
      </c>
      <c r="P1267" s="67">
        <v>9.1800003051757795</v>
      </c>
      <c r="Q1267" s="77">
        <v>3.3645630268297699E-2</v>
      </c>
    </row>
    <row r="1268" spans="1:17" x14ac:dyDescent="0.35">
      <c r="A1268" s="76" t="s">
        <v>136</v>
      </c>
      <c r="B1268" s="63">
        <v>937733</v>
      </c>
      <c r="C1268" s="63" t="s">
        <v>147</v>
      </c>
      <c r="D1268" s="64">
        <v>42675</v>
      </c>
      <c r="E1268" s="63" t="s">
        <v>138</v>
      </c>
      <c r="F1268" s="65">
        <v>39446</v>
      </c>
      <c r="G1268" s="66">
        <v>6.9204152249135002E-3</v>
      </c>
      <c r="H1268" s="65">
        <v>553</v>
      </c>
      <c r="I1268" s="67">
        <v>0.77083336810270897</v>
      </c>
      <c r="J1268" s="67">
        <v>5.3344869764893401</v>
      </c>
      <c r="K1268" s="65">
        <v>21</v>
      </c>
      <c r="L1268" s="65">
        <v>1</v>
      </c>
      <c r="M1268" s="66">
        <v>0</v>
      </c>
      <c r="N1268" s="67">
        <v>0</v>
      </c>
      <c r="O1268" s="67">
        <v>0</v>
      </c>
      <c r="P1268" s="67">
        <v>9.2500004172325099</v>
      </c>
      <c r="Q1268" s="77">
        <v>0</v>
      </c>
    </row>
    <row r="1269" spans="1:17" x14ac:dyDescent="0.35">
      <c r="A1269" s="76" t="s">
        <v>136</v>
      </c>
      <c r="B1269" s="63">
        <v>937733</v>
      </c>
      <c r="C1269" s="63" t="s">
        <v>147</v>
      </c>
      <c r="D1269" s="64">
        <v>42676</v>
      </c>
      <c r="E1269" s="63" t="s">
        <v>138</v>
      </c>
      <c r="F1269" s="65">
        <v>8146</v>
      </c>
      <c r="G1269" s="66">
        <v>1.46341463414634E-2</v>
      </c>
      <c r="H1269" s="65">
        <v>568</v>
      </c>
      <c r="I1269" s="67">
        <v>0.48791669650624198</v>
      </c>
      <c r="J1269" s="67">
        <v>7.14024433911574</v>
      </c>
      <c r="K1269" s="65">
        <v>65</v>
      </c>
      <c r="L1269" s="65">
        <v>3</v>
      </c>
      <c r="M1269" s="66">
        <v>0.125</v>
      </c>
      <c r="N1269" s="67">
        <v>145.32038161762199</v>
      </c>
      <c r="O1269" s="67">
        <v>48.440127205873999</v>
      </c>
      <c r="P1269" s="67">
        <v>11.7100007161498</v>
      </c>
      <c r="Q1269" s="77">
        <v>8.0580580547621003E-2</v>
      </c>
    </row>
    <row r="1270" spans="1:17" x14ac:dyDescent="0.35">
      <c r="A1270" s="76" t="s">
        <v>136</v>
      </c>
      <c r="B1270" s="63">
        <v>937733</v>
      </c>
      <c r="C1270" s="63" t="s">
        <v>147</v>
      </c>
      <c r="D1270" s="64">
        <v>42677</v>
      </c>
      <c r="E1270" s="63" t="s">
        <v>138</v>
      </c>
      <c r="F1270" s="65">
        <v>6800</v>
      </c>
      <c r="G1270" s="66">
        <v>8.1504702194357403E-3</v>
      </c>
      <c r="H1270" s="65">
        <v>338</v>
      </c>
      <c r="I1270" s="67">
        <v>0.86000006244732796</v>
      </c>
      <c r="J1270" s="67">
        <v>7.0094048976898202</v>
      </c>
      <c r="K1270" s="65">
        <v>56</v>
      </c>
      <c r="L1270" s="65">
        <v>1</v>
      </c>
      <c r="M1270" s="66">
        <v>0</v>
      </c>
      <c r="N1270" s="67">
        <v>0</v>
      </c>
      <c r="O1270" s="67">
        <v>0</v>
      </c>
      <c r="P1270" s="67">
        <v>11.180000811815299</v>
      </c>
      <c r="Q1270" s="77">
        <v>0</v>
      </c>
    </row>
    <row r="1271" spans="1:17" x14ac:dyDescent="0.35">
      <c r="A1271" s="76" t="s">
        <v>136</v>
      </c>
      <c r="B1271" s="76">
        <v>937733</v>
      </c>
      <c r="C1271" s="76" t="s">
        <v>147</v>
      </c>
      <c r="D1271" s="79">
        <v>42678</v>
      </c>
      <c r="E1271" s="76" t="s">
        <v>138</v>
      </c>
      <c r="F1271" s="80">
        <v>14352</v>
      </c>
      <c r="G1271" s="77">
        <v>1.0208610741233901E-2</v>
      </c>
      <c r="H1271" s="80">
        <v>190</v>
      </c>
      <c r="I1271" s="81">
        <v>0.67260873155749401</v>
      </c>
      <c r="J1271" s="81">
        <v>6.8664007216255403</v>
      </c>
      <c r="K1271" s="80">
        <v>87</v>
      </c>
      <c r="L1271" s="80">
        <v>1</v>
      </c>
      <c r="M1271" s="77">
        <v>4.3478260869565202E-2</v>
      </c>
      <c r="N1271" s="81">
        <v>117.444321223475</v>
      </c>
      <c r="O1271" s="81">
        <v>117.444321223475</v>
      </c>
      <c r="P1271" s="81">
        <v>15.4700008258224</v>
      </c>
      <c r="Q1271" s="77">
        <v>0.131721999537004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Q116"/>
  <sheetViews>
    <sheetView topLeftCell="A63" zoomScaleNormal="100" workbookViewId="0">
      <selection activeCell="E99" sqref="E99"/>
    </sheetView>
  </sheetViews>
  <sheetFormatPr baseColWidth="10" defaultRowHeight="14.5" x14ac:dyDescent="0.35"/>
  <cols>
    <col min="3" max="3" width="14.81640625" customWidth="1"/>
  </cols>
  <sheetData>
    <row r="1" spans="1:17" x14ac:dyDescent="0.35">
      <c r="A1" t="s">
        <v>195</v>
      </c>
    </row>
    <row r="2" spans="1:17" x14ac:dyDescent="0.35">
      <c r="A2" t="s">
        <v>193</v>
      </c>
    </row>
    <row r="3" spans="1:17" x14ac:dyDescent="0.35">
      <c r="A3" t="s">
        <v>194</v>
      </c>
    </row>
    <row r="4" spans="1:17" ht="15" thickBot="1" x14ac:dyDescent="0.4"/>
    <row r="5" spans="1:17" x14ac:dyDescent="0.35">
      <c r="A5" s="52" t="s">
        <v>15</v>
      </c>
      <c r="B5" s="52" t="s">
        <v>149</v>
      </c>
      <c r="C5" s="52" t="s">
        <v>150</v>
      </c>
      <c r="D5" s="52" t="s">
        <v>151</v>
      </c>
      <c r="N5" s="90"/>
      <c r="O5" s="91"/>
      <c r="P5" s="91"/>
      <c r="Q5" s="92"/>
    </row>
    <row r="6" spans="1:17" x14ac:dyDescent="0.35">
      <c r="A6" s="82">
        <v>43556</v>
      </c>
      <c r="B6" s="52">
        <v>54</v>
      </c>
      <c r="C6" s="52">
        <v>66</v>
      </c>
      <c r="D6" s="52">
        <v>36</v>
      </c>
      <c r="N6" s="93"/>
      <c r="O6" s="118" t="s">
        <v>198</v>
      </c>
      <c r="P6" s="118"/>
      <c r="Q6" s="95"/>
    </row>
    <row r="7" spans="1:17" x14ac:dyDescent="0.35">
      <c r="A7" s="82">
        <v>43557</v>
      </c>
      <c r="B7" s="52">
        <v>38</v>
      </c>
      <c r="C7" s="52">
        <v>64</v>
      </c>
      <c r="D7" s="52">
        <v>16</v>
      </c>
      <c r="F7" s="52"/>
      <c r="G7" s="52"/>
      <c r="H7" s="52"/>
      <c r="I7" s="52"/>
      <c r="J7" s="52"/>
      <c r="K7" s="52"/>
      <c r="L7" s="52"/>
      <c r="N7" s="93"/>
      <c r="O7" s="94"/>
      <c r="P7" s="94"/>
      <c r="Q7" s="95"/>
    </row>
    <row r="8" spans="1:17" x14ac:dyDescent="0.35">
      <c r="A8" s="82">
        <v>43558</v>
      </c>
      <c r="B8" s="52">
        <v>97</v>
      </c>
      <c r="C8" s="52">
        <v>67</v>
      </c>
      <c r="D8" s="52">
        <v>11</v>
      </c>
      <c r="F8" s="52"/>
      <c r="G8" s="52"/>
      <c r="H8" s="52"/>
      <c r="I8" s="52"/>
      <c r="J8" s="52"/>
      <c r="K8" s="52"/>
      <c r="L8" s="52"/>
      <c r="N8" s="93"/>
      <c r="O8" s="94"/>
      <c r="P8" s="94"/>
      <c r="Q8" s="95"/>
    </row>
    <row r="9" spans="1:17" x14ac:dyDescent="0.35">
      <c r="A9" s="82">
        <v>43559</v>
      </c>
      <c r="B9" s="52">
        <v>40</v>
      </c>
      <c r="C9" s="52">
        <v>49</v>
      </c>
      <c r="D9" s="52">
        <v>67</v>
      </c>
      <c r="F9" s="52"/>
      <c r="G9" s="52"/>
      <c r="H9" s="52"/>
      <c r="I9" s="52"/>
      <c r="J9" s="52"/>
      <c r="K9" s="52"/>
      <c r="L9" s="52"/>
      <c r="N9" s="93"/>
      <c r="O9" s="94"/>
      <c r="P9" s="94"/>
      <c r="Q9" s="95"/>
    </row>
    <row r="10" spans="1:17" x14ac:dyDescent="0.35">
      <c r="A10" s="82">
        <v>43560</v>
      </c>
      <c r="B10" s="52">
        <v>2</v>
      </c>
      <c r="C10" s="52">
        <v>80</v>
      </c>
      <c r="D10" s="52">
        <v>10</v>
      </c>
      <c r="F10" s="52"/>
      <c r="G10" s="52"/>
      <c r="H10" s="52"/>
      <c r="I10" s="52"/>
      <c r="J10" s="52"/>
      <c r="K10" s="52"/>
      <c r="L10" s="52"/>
      <c r="N10" s="93"/>
      <c r="O10" s="94"/>
      <c r="P10" s="94"/>
      <c r="Q10" s="95"/>
    </row>
    <row r="11" spans="1:17" x14ac:dyDescent="0.35">
      <c r="A11" s="82">
        <v>43561</v>
      </c>
      <c r="B11" s="52">
        <v>16</v>
      </c>
      <c r="C11" s="52">
        <v>41</v>
      </c>
      <c r="D11" s="52">
        <v>51</v>
      </c>
      <c r="F11" s="52"/>
      <c r="G11" s="52"/>
      <c r="H11" s="52"/>
      <c r="I11" s="52"/>
      <c r="J11" s="52"/>
      <c r="K11" s="52"/>
      <c r="L11" s="52"/>
      <c r="N11" s="93"/>
      <c r="O11" s="94"/>
      <c r="P11" s="94"/>
      <c r="Q11" s="95"/>
    </row>
    <row r="12" spans="1:17" x14ac:dyDescent="0.35">
      <c r="A12" s="82">
        <v>43562</v>
      </c>
      <c r="B12" s="52">
        <v>88</v>
      </c>
      <c r="C12" s="52">
        <v>98</v>
      </c>
      <c r="D12" s="52">
        <v>20</v>
      </c>
      <c r="F12" s="52"/>
      <c r="G12" s="52"/>
      <c r="H12" s="52"/>
      <c r="I12" s="52"/>
      <c r="J12" s="52"/>
      <c r="K12" s="52"/>
      <c r="L12" s="52"/>
      <c r="N12" s="93"/>
      <c r="O12" s="94"/>
      <c r="P12" s="94"/>
      <c r="Q12" s="95"/>
    </row>
    <row r="13" spans="1:17" x14ac:dyDescent="0.35">
      <c r="A13" s="82">
        <v>43563</v>
      </c>
      <c r="B13" s="52">
        <v>15</v>
      </c>
      <c r="C13" s="52">
        <v>84</v>
      </c>
      <c r="D13" s="52">
        <v>88</v>
      </c>
      <c r="F13" s="52"/>
      <c r="G13" s="52"/>
      <c r="H13" s="52"/>
      <c r="I13" s="52"/>
      <c r="J13" s="52"/>
      <c r="K13" s="52"/>
      <c r="L13" s="52"/>
      <c r="N13" s="93"/>
      <c r="O13" s="94"/>
      <c r="P13" s="94"/>
      <c r="Q13" s="95"/>
    </row>
    <row r="14" spans="1:17" x14ac:dyDescent="0.35">
      <c r="A14" s="82">
        <v>43564</v>
      </c>
      <c r="B14" s="52">
        <v>13</v>
      </c>
      <c r="C14" s="52">
        <v>51</v>
      </c>
      <c r="D14" s="52">
        <v>65</v>
      </c>
      <c r="F14" s="52"/>
      <c r="G14" s="52"/>
      <c r="H14" s="52"/>
      <c r="I14" s="52"/>
      <c r="J14" s="52"/>
      <c r="K14" s="52"/>
      <c r="L14" s="52"/>
      <c r="N14" s="93"/>
      <c r="O14" s="94"/>
      <c r="P14" s="94"/>
      <c r="Q14" s="95"/>
    </row>
    <row r="15" spans="1:17" x14ac:dyDescent="0.35">
      <c r="A15" s="82">
        <v>43565</v>
      </c>
      <c r="B15" s="52">
        <v>38</v>
      </c>
      <c r="C15" s="52">
        <v>64</v>
      </c>
      <c r="D15" s="52">
        <v>1</v>
      </c>
      <c r="F15" s="52"/>
      <c r="G15" s="52"/>
      <c r="H15" s="52"/>
      <c r="I15" s="52"/>
      <c r="J15" s="52"/>
      <c r="K15" s="52"/>
      <c r="L15" s="52"/>
      <c r="N15" s="93"/>
      <c r="O15" s="94"/>
      <c r="P15" s="94"/>
      <c r="Q15" s="95"/>
    </row>
    <row r="16" spans="1:17" x14ac:dyDescent="0.35">
      <c r="A16" s="82">
        <v>43566</v>
      </c>
      <c r="B16" s="52">
        <v>52</v>
      </c>
      <c r="C16" s="52">
        <v>65</v>
      </c>
      <c r="D16" s="52">
        <v>35</v>
      </c>
      <c r="F16" s="52"/>
      <c r="G16" s="52"/>
      <c r="H16" s="52"/>
      <c r="I16" s="52"/>
      <c r="J16" s="52"/>
      <c r="K16" s="52"/>
      <c r="L16" s="52"/>
      <c r="N16" s="93"/>
      <c r="O16" s="94"/>
      <c r="P16" s="94"/>
      <c r="Q16" s="95"/>
    </row>
    <row r="17" spans="1:17" x14ac:dyDescent="0.35">
      <c r="A17" s="82">
        <v>43567</v>
      </c>
      <c r="B17" s="52">
        <v>29</v>
      </c>
      <c r="C17" s="52">
        <v>73</v>
      </c>
      <c r="D17" s="52">
        <v>83</v>
      </c>
      <c r="F17" s="52"/>
      <c r="G17" s="52"/>
      <c r="H17" s="52"/>
      <c r="I17" s="52"/>
      <c r="J17" s="52"/>
      <c r="K17" s="52"/>
      <c r="L17" s="52"/>
      <c r="N17" s="93"/>
      <c r="O17" s="94"/>
      <c r="P17" s="94"/>
      <c r="Q17" s="95"/>
    </row>
    <row r="18" spans="1:17" x14ac:dyDescent="0.35">
      <c r="A18" s="82">
        <v>43568</v>
      </c>
      <c r="B18" s="52">
        <v>59</v>
      </c>
      <c r="C18" s="52">
        <v>28</v>
      </c>
      <c r="D18" s="52">
        <v>51</v>
      </c>
      <c r="F18" s="52"/>
      <c r="G18" s="52"/>
      <c r="H18" s="52"/>
      <c r="I18" s="52"/>
      <c r="J18" s="52"/>
      <c r="K18" s="52"/>
      <c r="L18" s="52"/>
      <c r="N18" s="93"/>
      <c r="O18" s="94"/>
      <c r="P18" s="94"/>
      <c r="Q18" s="95"/>
    </row>
    <row r="19" spans="1:17" x14ac:dyDescent="0.35">
      <c r="A19" s="82">
        <v>43569</v>
      </c>
      <c r="B19" s="52">
        <v>56</v>
      </c>
      <c r="C19" s="52">
        <v>43</v>
      </c>
      <c r="D19" s="52">
        <v>68</v>
      </c>
      <c r="F19" s="52"/>
      <c r="G19" s="52"/>
      <c r="H19" s="52"/>
      <c r="I19" s="52"/>
      <c r="J19" s="52"/>
      <c r="K19" s="52"/>
      <c r="L19" s="52"/>
      <c r="N19" s="93"/>
      <c r="O19" s="94"/>
      <c r="P19" s="94"/>
      <c r="Q19" s="95"/>
    </row>
    <row r="20" spans="1:17" x14ac:dyDescent="0.35">
      <c r="A20" s="82">
        <v>43570</v>
      </c>
      <c r="B20" s="52">
        <v>81</v>
      </c>
      <c r="C20" s="52">
        <v>16</v>
      </c>
      <c r="D20" s="52">
        <v>61</v>
      </c>
      <c r="F20" s="52"/>
      <c r="G20" s="52"/>
      <c r="H20" s="52"/>
      <c r="I20" s="52"/>
      <c r="J20" s="52"/>
      <c r="K20" s="52"/>
      <c r="L20" s="52"/>
      <c r="N20" s="93"/>
      <c r="O20" s="94"/>
      <c r="P20" s="94"/>
      <c r="Q20" s="95"/>
    </row>
    <row r="21" spans="1:17" x14ac:dyDescent="0.35">
      <c r="A21" s="82">
        <v>43571</v>
      </c>
      <c r="B21" s="52">
        <v>20</v>
      </c>
      <c r="C21" s="52">
        <v>70</v>
      </c>
      <c r="D21" s="52">
        <v>93</v>
      </c>
      <c r="F21" s="52"/>
      <c r="G21" s="52"/>
      <c r="H21" s="52"/>
      <c r="I21" s="52"/>
      <c r="J21" s="52"/>
      <c r="K21" s="52"/>
      <c r="L21" s="52"/>
      <c r="N21" s="93"/>
      <c r="O21" s="94"/>
      <c r="P21" s="94"/>
      <c r="Q21" s="95"/>
    </row>
    <row r="22" spans="1:17" x14ac:dyDescent="0.35">
      <c r="A22" s="82">
        <v>43572</v>
      </c>
      <c r="B22" s="52">
        <v>48</v>
      </c>
      <c r="C22" s="52">
        <v>17</v>
      </c>
      <c r="D22" s="52">
        <v>30</v>
      </c>
      <c r="F22" s="52"/>
      <c r="G22" s="52"/>
      <c r="H22" s="52"/>
      <c r="I22" s="52"/>
      <c r="J22" s="52"/>
      <c r="K22" s="52"/>
      <c r="L22" s="52"/>
      <c r="N22" s="93"/>
      <c r="O22" s="94"/>
      <c r="P22" s="94"/>
      <c r="Q22" s="95"/>
    </row>
    <row r="23" spans="1:17" x14ac:dyDescent="0.35">
      <c r="A23" s="82">
        <v>43573</v>
      </c>
      <c r="B23" s="52">
        <v>43</v>
      </c>
      <c r="C23" s="52">
        <v>75</v>
      </c>
      <c r="D23" s="52">
        <v>95</v>
      </c>
      <c r="N23" s="93"/>
      <c r="O23" s="94"/>
      <c r="P23" s="94"/>
      <c r="Q23" s="95"/>
    </row>
    <row r="24" spans="1:17" x14ac:dyDescent="0.35">
      <c r="A24" s="82">
        <v>43574</v>
      </c>
      <c r="B24" s="52">
        <v>24</v>
      </c>
      <c r="C24" s="52">
        <v>65</v>
      </c>
      <c r="D24" s="52">
        <v>39</v>
      </c>
      <c r="N24" s="93"/>
      <c r="O24" s="94"/>
      <c r="P24" s="94"/>
      <c r="Q24" s="95"/>
    </row>
    <row r="25" spans="1:17" x14ac:dyDescent="0.35">
      <c r="N25" s="93"/>
      <c r="O25" s="94"/>
      <c r="P25" s="94"/>
      <c r="Q25" s="95"/>
    </row>
    <row r="26" spans="1:17" x14ac:dyDescent="0.35">
      <c r="N26" s="93"/>
      <c r="O26" s="94"/>
      <c r="P26" s="94"/>
      <c r="Q26" s="95"/>
    </row>
    <row r="27" spans="1:17" ht="29" x14ac:dyDescent="0.35">
      <c r="A27" s="83" t="s">
        <v>152</v>
      </c>
      <c r="B27" s="84" t="s">
        <v>153</v>
      </c>
      <c r="C27" s="84" t="s">
        <v>203</v>
      </c>
      <c r="F27" s="83"/>
      <c r="G27" s="83"/>
      <c r="H27" s="83"/>
      <c r="I27" s="83"/>
      <c r="J27" s="83"/>
      <c r="K27" s="83"/>
      <c r="L27" s="83"/>
      <c r="N27" s="93"/>
      <c r="O27" s="94"/>
      <c r="P27" s="94"/>
      <c r="Q27" s="95"/>
    </row>
    <row r="28" spans="1:17" x14ac:dyDescent="0.35">
      <c r="A28" s="83">
        <v>2010</v>
      </c>
      <c r="B28" s="83">
        <v>26437</v>
      </c>
      <c r="C28" s="85">
        <v>24.436504334542825</v>
      </c>
      <c r="F28" s="83"/>
      <c r="G28" s="83"/>
      <c r="H28" s="83"/>
      <c r="I28" s="83"/>
      <c r="J28" s="83"/>
      <c r="K28" s="83"/>
      <c r="L28" s="83"/>
      <c r="N28" s="93"/>
      <c r="O28" s="94"/>
      <c r="P28" s="94"/>
      <c r="Q28" s="95"/>
    </row>
    <row r="29" spans="1:17" x14ac:dyDescent="0.35">
      <c r="A29" s="83">
        <v>2011</v>
      </c>
      <c r="B29" s="83">
        <v>26536</v>
      </c>
      <c r="C29" s="85">
        <v>28.535580462514037</v>
      </c>
      <c r="F29" s="83"/>
      <c r="G29" s="83"/>
      <c r="H29" s="83"/>
      <c r="I29" s="83"/>
      <c r="J29" s="83"/>
      <c r="K29" s="83"/>
      <c r="L29" s="83"/>
      <c r="N29" s="93"/>
      <c r="O29" s="94"/>
      <c r="P29" s="94"/>
      <c r="Q29" s="95"/>
    </row>
    <row r="30" spans="1:17" x14ac:dyDescent="0.35">
      <c r="A30" s="83">
        <v>2012</v>
      </c>
      <c r="B30" s="83">
        <v>32376</v>
      </c>
      <c r="C30" s="85">
        <v>34.375959133964159</v>
      </c>
      <c r="F30" s="83"/>
      <c r="G30" s="83"/>
      <c r="H30" s="83"/>
      <c r="I30" s="83"/>
      <c r="J30" s="83"/>
      <c r="K30" s="83"/>
      <c r="L30" s="83"/>
      <c r="N30" s="93"/>
      <c r="O30" s="94"/>
      <c r="P30" s="94"/>
      <c r="Q30" s="95"/>
    </row>
    <row r="31" spans="1:17" x14ac:dyDescent="0.35">
      <c r="A31" s="83">
        <v>2013</v>
      </c>
      <c r="B31" s="83">
        <v>34888</v>
      </c>
      <c r="C31" s="85">
        <v>33.888222774985628</v>
      </c>
      <c r="F31" s="83"/>
      <c r="G31" s="83"/>
      <c r="H31" s="83"/>
      <c r="I31" s="83"/>
      <c r="J31" s="83"/>
      <c r="K31" s="83"/>
      <c r="L31" s="83"/>
      <c r="N31" s="93"/>
      <c r="O31" s="94"/>
      <c r="P31" s="94"/>
      <c r="Q31" s="95"/>
    </row>
    <row r="32" spans="1:17" x14ac:dyDescent="0.35">
      <c r="A32" s="83">
        <v>2014</v>
      </c>
      <c r="B32" s="83">
        <v>24226</v>
      </c>
      <c r="C32" s="85">
        <v>22.225867527105553</v>
      </c>
      <c r="F32" s="83"/>
      <c r="G32" s="83"/>
      <c r="H32" s="83"/>
      <c r="I32" s="83"/>
      <c r="J32" s="83"/>
      <c r="K32" s="83"/>
      <c r="L32" s="83"/>
      <c r="N32" s="93"/>
      <c r="O32" s="94"/>
      <c r="P32" s="94"/>
      <c r="Q32" s="95"/>
    </row>
    <row r="33" spans="1:17" x14ac:dyDescent="0.35">
      <c r="A33" s="83">
        <v>2015</v>
      </c>
      <c r="B33" s="83">
        <v>36575</v>
      </c>
      <c r="C33" s="85">
        <v>34.575291522872213</v>
      </c>
      <c r="F33" s="83"/>
      <c r="G33" s="83"/>
      <c r="H33" s="83"/>
      <c r="I33" s="83"/>
      <c r="J33" s="83"/>
      <c r="K33" s="83"/>
      <c r="L33" s="83"/>
      <c r="N33" s="93"/>
      <c r="O33" s="94"/>
      <c r="P33" s="94"/>
      <c r="Q33" s="95"/>
    </row>
    <row r="34" spans="1:17" x14ac:dyDescent="0.35">
      <c r="A34" s="83">
        <v>2016</v>
      </c>
      <c r="B34" s="83">
        <v>26691</v>
      </c>
      <c r="C34" s="85">
        <v>27.69099502462209</v>
      </c>
      <c r="F34" s="83"/>
      <c r="G34" s="83"/>
      <c r="H34" s="83"/>
      <c r="I34" s="83"/>
      <c r="J34" s="83"/>
      <c r="K34" s="83"/>
      <c r="L34" s="83"/>
      <c r="N34" s="93"/>
      <c r="O34" s="94"/>
      <c r="P34" s="94"/>
      <c r="Q34" s="95"/>
    </row>
    <row r="35" spans="1:17" x14ac:dyDescent="0.35">
      <c r="A35" s="83">
        <v>2017</v>
      </c>
      <c r="B35" s="83">
        <v>20486</v>
      </c>
      <c r="C35" s="85">
        <v>21.486271279140745</v>
      </c>
      <c r="F35" s="83"/>
      <c r="G35" s="83"/>
      <c r="H35" s="83"/>
      <c r="I35" s="83"/>
      <c r="J35" s="83"/>
      <c r="K35" s="83"/>
      <c r="L35" s="83"/>
      <c r="N35" s="93"/>
      <c r="O35" s="94"/>
      <c r="P35" s="94"/>
      <c r="Q35" s="95"/>
    </row>
    <row r="36" spans="1:17" x14ac:dyDescent="0.35">
      <c r="A36" s="83">
        <v>2018</v>
      </c>
      <c r="B36" s="83">
        <v>34173</v>
      </c>
      <c r="C36" s="85">
        <v>33.173420850910119</v>
      </c>
      <c r="F36" s="83"/>
      <c r="G36" s="83"/>
      <c r="H36" s="83"/>
      <c r="I36" s="83"/>
      <c r="J36" s="83"/>
      <c r="K36" s="83"/>
      <c r="L36" s="83"/>
      <c r="N36" s="93"/>
      <c r="O36" s="94"/>
      <c r="P36" s="94"/>
      <c r="Q36" s="95"/>
    </row>
    <row r="37" spans="1:17" x14ac:dyDescent="0.35">
      <c r="A37" s="83">
        <v>2019</v>
      </c>
      <c r="B37" s="83">
        <v>27905</v>
      </c>
      <c r="C37" s="85">
        <v>29.905137845088102</v>
      </c>
      <c r="F37" s="83"/>
      <c r="G37" s="83"/>
      <c r="H37" s="83"/>
      <c r="I37" s="83"/>
      <c r="J37" s="83"/>
      <c r="K37" s="83"/>
      <c r="L37" s="83"/>
      <c r="N37" s="93"/>
      <c r="O37" s="94"/>
      <c r="P37" s="94"/>
      <c r="Q37" s="95"/>
    </row>
    <row r="38" spans="1:17" x14ac:dyDescent="0.35">
      <c r="F38" s="83"/>
      <c r="G38" s="83"/>
      <c r="H38" s="83"/>
      <c r="I38" s="83"/>
      <c r="J38" s="83"/>
      <c r="K38" s="83"/>
      <c r="L38" s="83"/>
      <c r="N38" s="93"/>
      <c r="O38" s="94"/>
      <c r="P38" s="94"/>
      <c r="Q38" s="95"/>
    </row>
    <row r="39" spans="1:17" x14ac:dyDescent="0.35">
      <c r="F39" s="83"/>
      <c r="G39" s="83"/>
      <c r="H39" s="83"/>
      <c r="I39" s="83"/>
      <c r="J39" s="83"/>
      <c r="K39" s="83"/>
      <c r="L39" s="83"/>
      <c r="N39" s="93"/>
      <c r="O39" s="94"/>
      <c r="P39" s="94"/>
      <c r="Q39" s="95"/>
    </row>
    <row r="40" spans="1:17" x14ac:dyDescent="0.35">
      <c r="F40" s="83"/>
      <c r="G40" s="83"/>
      <c r="H40" s="83"/>
      <c r="I40" s="83"/>
      <c r="J40" s="83"/>
      <c r="K40" s="83"/>
      <c r="L40" s="83"/>
      <c r="N40" s="93"/>
      <c r="O40" s="94"/>
      <c r="P40" s="94"/>
      <c r="Q40" s="95"/>
    </row>
    <row r="41" spans="1:17" x14ac:dyDescent="0.35">
      <c r="F41" s="83"/>
      <c r="G41" s="83"/>
      <c r="H41" s="83"/>
      <c r="I41" s="83"/>
      <c r="J41" s="83"/>
      <c r="K41" s="83"/>
      <c r="L41" s="83"/>
      <c r="N41" s="93"/>
      <c r="O41" s="94"/>
      <c r="P41" s="94"/>
      <c r="Q41" s="95"/>
    </row>
    <row r="42" spans="1:17" x14ac:dyDescent="0.35">
      <c r="N42" s="93"/>
      <c r="O42" s="94"/>
      <c r="P42" s="94"/>
      <c r="Q42" s="95"/>
    </row>
    <row r="43" spans="1:17" x14ac:dyDescent="0.35">
      <c r="N43" s="93"/>
      <c r="O43" s="94"/>
      <c r="P43" s="94"/>
      <c r="Q43" s="95"/>
    </row>
    <row r="44" spans="1:17" x14ac:dyDescent="0.35">
      <c r="A44" s="47" t="s">
        <v>155</v>
      </c>
      <c r="B44" s="47"/>
      <c r="C44" s="47"/>
      <c r="F44" s="47"/>
      <c r="G44" s="47"/>
      <c r="H44" s="47"/>
      <c r="I44" s="47"/>
      <c r="J44" s="47"/>
      <c r="K44" s="47"/>
      <c r="L44" s="47"/>
      <c r="N44" s="93"/>
      <c r="O44" s="94"/>
      <c r="P44" s="94"/>
      <c r="Q44" s="95"/>
    </row>
    <row r="45" spans="1:17" x14ac:dyDescent="0.35">
      <c r="A45" s="47" t="s">
        <v>157</v>
      </c>
      <c r="B45" s="47">
        <v>86.1</v>
      </c>
      <c r="C45" s="47"/>
      <c r="F45" s="47"/>
      <c r="G45" s="47"/>
      <c r="H45" s="47"/>
      <c r="I45" s="47"/>
      <c r="J45" s="47"/>
      <c r="K45" s="47"/>
      <c r="L45" s="47"/>
      <c r="N45" s="93"/>
      <c r="O45" s="94"/>
      <c r="P45" s="94"/>
      <c r="Q45" s="95"/>
    </row>
    <row r="46" spans="1:17" x14ac:dyDescent="0.35">
      <c r="A46" s="47" t="s">
        <v>158</v>
      </c>
      <c r="B46" s="47">
        <v>52.1</v>
      </c>
      <c r="C46" s="47"/>
      <c r="F46" s="47"/>
      <c r="G46" s="47"/>
      <c r="H46" s="47"/>
      <c r="I46" s="47"/>
      <c r="J46" s="47"/>
      <c r="K46" s="47"/>
      <c r="L46" s="47"/>
      <c r="N46" s="93"/>
      <c r="O46" s="94"/>
      <c r="P46" s="94"/>
      <c r="Q46" s="95"/>
    </row>
    <row r="47" spans="1:17" x14ac:dyDescent="0.35">
      <c r="A47" s="47" t="s">
        <v>159</v>
      </c>
      <c r="B47" s="47">
        <v>47.3</v>
      </c>
      <c r="C47" s="47"/>
      <c r="F47" s="47"/>
      <c r="G47" s="47"/>
      <c r="H47" s="47"/>
      <c r="I47" s="47"/>
      <c r="J47" s="47"/>
      <c r="K47" s="47"/>
      <c r="L47" s="47"/>
      <c r="N47" s="93"/>
      <c r="O47" s="94"/>
      <c r="P47" s="94"/>
      <c r="Q47" s="95"/>
    </row>
    <row r="48" spans="1:17" x14ac:dyDescent="0.35">
      <c r="A48" s="47" t="s">
        <v>156</v>
      </c>
      <c r="B48" s="47">
        <v>39.9</v>
      </c>
      <c r="C48" s="47"/>
      <c r="F48" s="47"/>
      <c r="G48" s="47"/>
      <c r="H48" s="47"/>
      <c r="I48" s="47"/>
      <c r="J48" s="47"/>
      <c r="K48" s="47"/>
      <c r="L48" s="47"/>
      <c r="N48" s="93"/>
      <c r="O48" s="94"/>
      <c r="P48" s="94"/>
      <c r="Q48" s="95"/>
    </row>
    <row r="49" spans="1:17" x14ac:dyDescent="0.35">
      <c r="A49" s="47" t="s">
        <v>160</v>
      </c>
      <c r="B49" s="47">
        <v>37.799999999999997</v>
      </c>
      <c r="C49" s="47"/>
      <c r="F49" s="47"/>
      <c r="G49" s="47"/>
      <c r="H49" s="47"/>
      <c r="I49" s="47"/>
      <c r="J49" s="47"/>
      <c r="K49" s="47"/>
      <c r="L49" s="47"/>
      <c r="N49" s="93"/>
      <c r="O49" s="94"/>
      <c r="P49" s="94"/>
      <c r="Q49" s="95"/>
    </row>
    <row r="50" spans="1:17" x14ac:dyDescent="0.35">
      <c r="A50" s="47" t="s">
        <v>161</v>
      </c>
      <c r="B50" s="47">
        <v>29.8</v>
      </c>
      <c r="C50" s="47"/>
      <c r="F50" s="47"/>
      <c r="G50" s="47"/>
      <c r="H50" s="47"/>
      <c r="I50" s="47"/>
      <c r="J50" s="47"/>
      <c r="K50" s="47"/>
      <c r="L50" s="47"/>
      <c r="N50" s="93"/>
      <c r="O50" s="94"/>
      <c r="P50" s="94"/>
      <c r="Q50" s="95"/>
    </row>
    <row r="51" spans="1:17" x14ac:dyDescent="0.35">
      <c r="A51" s="47" t="s">
        <v>162</v>
      </c>
      <c r="B51" s="47">
        <v>28.5</v>
      </c>
      <c r="C51" s="47"/>
      <c r="F51" s="47"/>
      <c r="G51" s="47"/>
      <c r="H51" s="47"/>
      <c r="I51" s="47"/>
      <c r="J51" s="47"/>
      <c r="K51" s="47"/>
      <c r="L51" s="47"/>
      <c r="N51" s="93"/>
      <c r="O51" s="94"/>
      <c r="P51" s="94"/>
      <c r="Q51" s="95"/>
    </row>
    <row r="52" spans="1:17" x14ac:dyDescent="0.35">
      <c r="A52" s="47" t="s">
        <v>163</v>
      </c>
      <c r="B52" s="47">
        <v>24.9</v>
      </c>
      <c r="C52" s="47"/>
      <c r="F52" s="47"/>
      <c r="G52" s="47"/>
      <c r="H52" s="47"/>
      <c r="I52" s="47"/>
      <c r="J52" s="47"/>
      <c r="K52" s="47"/>
      <c r="L52" s="47"/>
      <c r="N52" s="93"/>
      <c r="O52" s="94"/>
      <c r="P52" s="94"/>
      <c r="Q52" s="95"/>
    </row>
    <row r="53" spans="1:17" x14ac:dyDescent="0.35">
      <c r="A53" s="47" t="s">
        <v>164</v>
      </c>
      <c r="B53" s="47">
        <v>22.5</v>
      </c>
      <c r="C53" s="47"/>
      <c r="F53" s="47"/>
      <c r="G53" s="47"/>
      <c r="H53" s="47"/>
      <c r="I53" s="47"/>
      <c r="J53" s="47"/>
      <c r="K53" s="47"/>
      <c r="L53" s="47"/>
      <c r="N53" s="93"/>
      <c r="O53" s="94"/>
      <c r="P53" s="94"/>
      <c r="Q53" s="95"/>
    </row>
    <row r="54" spans="1:17" x14ac:dyDescent="0.35">
      <c r="A54" s="47" t="s">
        <v>165</v>
      </c>
      <c r="B54" s="47">
        <v>21.1</v>
      </c>
      <c r="C54" s="47"/>
      <c r="F54" s="47"/>
      <c r="G54" s="47"/>
      <c r="H54" s="47"/>
      <c r="I54" s="47"/>
      <c r="J54" s="47"/>
      <c r="K54" s="47"/>
      <c r="L54" s="47"/>
      <c r="N54" s="93"/>
      <c r="O54" s="94"/>
      <c r="P54" s="94"/>
      <c r="Q54" s="95"/>
    </row>
    <row r="55" spans="1:17" x14ac:dyDescent="0.35">
      <c r="A55" s="47" t="s">
        <v>166</v>
      </c>
      <c r="B55" s="47">
        <v>15.5</v>
      </c>
      <c r="C55" s="47"/>
      <c r="F55" s="47"/>
      <c r="G55" s="47"/>
      <c r="H55" s="47"/>
      <c r="I55" s="47"/>
      <c r="J55" s="47"/>
      <c r="K55" s="47"/>
      <c r="L55" s="47"/>
      <c r="N55" s="93"/>
      <c r="O55" s="94"/>
      <c r="P55" s="94"/>
      <c r="Q55" s="95"/>
    </row>
    <row r="56" spans="1:17" x14ac:dyDescent="0.35">
      <c r="A56" s="47" t="s">
        <v>167</v>
      </c>
      <c r="B56" s="47">
        <v>15.5</v>
      </c>
      <c r="C56" s="47"/>
      <c r="F56" s="47"/>
      <c r="G56" s="47"/>
      <c r="H56" s="47"/>
      <c r="I56" s="47"/>
      <c r="J56" s="47"/>
      <c r="K56" s="47"/>
      <c r="L56" s="47"/>
      <c r="N56" s="93"/>
      <c r="O56" s="94"/>
      <c r="P56" s="94"/>
      <c r="Q56" s="95"/>
    </row>
    <row r="57" spans="1:17" x14ac:dyDescent="0.35">
      <c r="A57" s="47" t="s">
        <v>168</v>
      </c>
      <c r="B57" s="47">
        <v>14.5</v>
      </c>
      <c r="C57" s="47"/>
      <c r="F57" s="47"/>
      <c r="G57" s="47"/>
      <c r="H57" s="47"/>
      <c r="I57" s="47"/>
      <c r="J57" s="47"/>
      <c r="K57" s="47"/>
      <c r="L57" s="47"/>
      <c r="N57" s="93"/>
      <c r="O57" s="94"/>
      <c r="P57" s="94"/>
      <c r="Q57" s="95"/>
    </row>
    <row r="58" spans="1:17" x14ac:dyDescent="0.35">
      <c r="A58" s="47" t="s">
        <v>169</v>
      </c>
      <c r="B58" s="47">
        <v>12</v>
      </c>
      <c r="C58" s="47"/>
      <c r="F58" s="47"/>
      <c r="G58" s="47"/>
      <c r="H58" s="47"/>
      <c r="I58" s="47"/>
      <c r="J58" s="47"/>
      <c r="K58" s="47"/>
      <c r="L58" s="47"/>
      <c r="N58" s="93"/>
      <c r="O58" s="94"/>
      <c r="P58" s="94"/>
      <c r="Q58" s="95"/>
    </row>
    <row r="59" spans="1:17" x14ac:dyDescent="0.35">
      <c r="A59" s="47" t="s">
        <v>170</v>
      </c>
      <c r="B59" s="47">
        <v>11.3</v>
      </c>
      <c r="C59" s="47"/>
      <c r="F59" s="47"/>
      <c r="G59" s="47"/>
      <c r="H59" s="47"/>
      <c r="I59" s="47"/>
      <c r="J59" s="47"/>
      <c r="K59" s="47"/>
      <c r="L59" s="47"/>
      <c r="N59" s="93"/>
      <c r="O59" s="94"/>
      <c r="P59" s="94"/>
      <c r="Q59" s="95"/>
    </row>
    <row r="60" spans="1:17" x14ac:dyDescent="0.35">
      <c r="A60" s="47" t="s">
        <v>171</v>
      </c>
      <c r="B60" s="47">
        <v>10</v>
      </c>
      <c r="C60" s="47"/>
      <c r="F60" s="47"/>
      <c r="G60" s="47"/>
      <c r="H60" s="47"/>
      <c r="I60" s="47"/>
      <c r="J60" s="47"/>
      <c r="K60" s="47"/>
      <c r="L60" s="47"/>
      <c r="N60" s="93"/>
      <c r="O60" s="94"/>
      <c r="P60" s="94"/>
      <c r="Q60" s="95"/>
    </row>
    <row r="61" spans="1:17" x14ac:dyDescent="0.35">
      <c r="A61" s="47" t="s">
        <v>172</v>
      </c>
      <c r="B61" s="47">
        <v>8.6</v>
      </c>
      <c r="C61" s="47"/>
      <c r="F61" s="47"/>
      <c r="G61" s="47"/>
      <c r="H61" s="47"/>
      <c r="I61" s="47"/>
      <c r="J61" s="47"/>
      <c r="K61" s="47"/>
      <c r="L61" s="47"/>
      <c r="N61" s="93"/>
      <c r="O61" s="94"/>
      <c r="P61" s="94"/>
      <c r="Q61" s="95"/>
    </row>
    <row r="62" spans="1:17" x14ac:dyDescent="0.35">
      <c r="F62" s="47"/>
      <c r="G62" s="47"/>
      <c r="H62" s="47"/>
      <c r="I62" s="47"/>
      <c r="J62" s="47"/>
      <c r="K62" s="47"/>
      <c r="L62" s="47"/>
      <c r="N62" s="93"/>
      <c r="O62" s="94"/>
      <c r="P62" s="94"/>
      <c r="Q62" s="95"/>
    </row>
    <row r="63" spans="1:17" x14ac:dyDescent="0.35">
      <c r="F63" s="47"/>
      <c r="G63" s="47"/>
      <c r="H63" s="47"/>
      <c r="I63" s="47"/>
      <c r="J63" s="47"/>
      <c r="K63" s="47"/>
      <c r="L63" s="47"/>
      <c r="N63" s="93"/>
      <c r="O63" s="94"/>
      <c r="P63" s="94"/>
      <c r="Q63" s="95"/>
    </row>
    <row r="64" spans="1:17" x14ac:dyDescent="0.35">
      <c r="F64" s="47"/>
      <c r="G64" s="47"/>
      <c r="H64" s="47"/>
      <c r="I64" s="47"/>
      <c r="J64" s="47"/>
      <c r="K64" s="47"/>
      <c r="L64" s="47"/>
      <c r="N64" s="93"/>
      <c r="O64" s="94"/>
      <c r="P64" s="94"/>
      <c r="Q64" s="95"/>
    </row>
    <row r="65" spans="1:17" x14ac:dyDescent="0.35">
      <c r="N65" s="93"/>
      <c r="O65" s="94"/>
      <c r="P65" s="94"/>
      <c r="Q65" s="95"/>
    </row>
    <row r="66" spans="1:17" x14ac:dyDescent="0.35">
      <c r="N66" s="93"/>
      <c r="O66" s="94"/>
      <c r="P66" s="94"/>
      <c r="Q66" s="95"/>
    </row>
    <row r="67" spans="1:17" x14ac:dyDescent="0.35">
      <c r="A67" s="86" t="s">
        <v>184</v>
      </c>
      <c r="B67" s="86"/>
      <c r="C67" s="86"/>
      <c r="F67" s="86"/>
      <c r="G67" s="86"/>
      <c r="H67" s="86"/>
      <c r="I67" s="86"/>
      <c r="J67" s="86"/>
      <c r="K67" s="86"/>
      <c r="L67" s="86"/>
      <c r="N67" s="93"/>
      <c r="O67" s="94"/>
      <c r="P67" s="94"/>
      <c r="Q67" s="95"/>
    </row>
    <row r="68" spans="1:17" x14ac:dyDescent="0.35">
      <c r="A68" s="86" t="s">
        <v>173</v>
      </c>
      <c r="B68" s="87">
        <v>0.23499999999999999</v>
      </c>
      <c r="C68" s="86"/>
      <c r="F68" s="86"/>
      <c r="G68" s="86"/>
      <c r="H68" s="86"/>
      <c r="I68" s="86"/>
      <c r="J68" s="86"/>
      <c r="K68" s="86"/>
      <c r="L68" s="86"/>
      <c r="N68" s="93"/>
      <c r="O68" s="94"/>
      <c r="P68" s="94"/>
      <c r="Q68" s="95"/>
    </row>
    <row r="69" spans="1:17" x14ac:dyDescent="0.35">
      <c r="A69" s="86" t="s">
        <v>174</v>
      </c>
      <c r="B69" s="87">
        <v>0.27200000000000002</v>
      </c>
      <c r="C69" s="86"/>
      <c r="F69" s="86"/>
      <c r="G69" s="86"/>
      <c r="H69" s="86"/>
      <c r="I69" s="86"/>
      <c r="J69" s="86"/>
      <c r="K69" s="86"/>
      <c r="L69" s="86"/>
      <c r="N69" s="93"/>
      <c r="O69" s="94"/>
      <c r="P69" s="94"/>
      <c r="Q69" s="95"/>
    </row>
    <row r="70" spans="1:17" x14ac:dyDescent="0.35">
      <c r="A70" s="86" t="s">
        <v>175</v>
      </c>
      <c r="B70" s="87">
        <v>0.13900000000000001</v>
      </c>
      <c r="C70" s="86"/>
      <c r="F70" s="86"/>
      <c r="G70" s="86"/>
      <c r="H70" s="86"/>
      <c r="I70" s="86"/>
      <c r="J70" s="86"/>
      <c r="K70" s="86"/>
      <c r="L70" s="86"/>
      <c r="N70" s="93"/>
      <c r="O70" s="94"/>
      <c r="P70" s="94"/>
      <c r="Q70" s="95"/>
    </row>
    <row r="71" spans="1:17" x14ac:dyDescent="0.35">
      <c r="A71" s="86" t="s">
        <v>176</v>
      </c>
      <c r="B71" s="87">
        <v>0.122</v>
      </c>
      <c r="C71" s="86"/>
      <c r="F71" s="86"/>
      <c r="G71" s="86"/>
      <c r="H71" s="86"/>
      <c r="I71" s="86"/>
      <c r="J71" s="86"/>
      <c r="K71" s="86"/>
      <c r="L71" s="86"/>
      <c r="N71" s="93"/>
      <c r="O71" s="94"/>
      <c r="P71" s="94"/>
      <c r="Q71" s="95"/>
    </row>
    <row r="72" spans="1:17" x14ac:dyDescent="0.35">
      <c r="A72" s="86" t="s">
        <v>177</v>
      </c>
      <c r="B72" s="87">
        <v>0.10800000000000001</v>
      </c>
      <c r="C72" s="86"/>
      <c r="F72" s="86"/>
      <c r="G72" s="86"/>
      <c r="H72" s="86"/>
      <c r="I72" s="86"/>
      <c r="J72" s="86"/>
      <c r="K72" s="86"/>
      <c r="L72" s="86"/>
      <c r="N72" s="93"/>
      <c r="O72" s="94"/>
      <c r="P72" s="94"/>
      <c r="Q72" s="95"/>
    </row>
    <row r="73" spans="1:17" x14ac:dyDescent="0.35">
      <c r="A73" s="86" t="s">
        <v>178</v>
      </c>
      <c r="B73" s="87">
        <v>7.8E-2</v>
      </c>
      <c r="C73" s="86"/>
      <c r="F73" s="86"/>
      <c r="G73" s="86"/>
      <c r="H73" s="86"/>
      <c r="I73" s="86"/>
      <c r="J73" s="86"/>
      <c r="K73" s="86"/>
      <c r="L73" s="86"/>
      <c r="N73" s="93"/>
      <c r="O73" s="94"/>
      <c r="P73" s="94"/>
      <c r="Q73" s="95"/>
    </row>
    <row r="74" spans="1:17" x14ac:dyDescent="0.35">
      <c r="A74" s="86" t="s">
        <v>180</v>
      </c>
      <c r="B74" s="87">
        <v>1.6E-2</v>
      </c>
      <c r="C74" s="86"/>
      <c r="F74" s="86"/>
      <c r="G74" s="86"/>
      <c r="H74" s="86"/>
      <c r="I74" s="86"/>
      <c r="J74" s="86"/>
      <c r="K74" s="86"/>
      <c r="L74" s="86"/>
      <c r="N74" s="93"/>
      <c r="O74" s="94"/>
      <c r="P74" s="94"/>
      <c r="Q74" s="95"/>
    </row>
    <row r="75" spans="1:17" x14ac:dyDescent="0.35">
      <c r="A75" s="86" t="s">
        <v>183</v>
      </c>
      <c r="B75" s="87">
        <v>9.0000000000000011E-3</v>
      </c>
      <c r="C75" s="86"/>
      <c r="F75" s="86"/>
      <c r="G75" s="86"/>
      <c r="H75" s="86"/>
      <c r="I75" s="86"/>
      <c r="J75" s="86"/>
      <c r="K75" s="86"/>
      <c r="L75" s="86"/>
      <c r="N75" s="93"/>
      <c r="O75" s="94"/>
      <c r="P75" s="94"/>
      <c r="Q75" s="95"/>
    </row>
    <row r="76" spans="1:17" x14ac:dyDescent="0.35">
      <c r="A76" s="86" t="s">
        <v>181</v>
      </c>
      <c r="B76" s="87">
        <v>4.0000000000000001E-3</v>
      </c>
      <c r="C76" s="86"/>
      <c r="F76" s="86"/>
      <c r="G76" s="86"/>
      <c r="H76" s="86"/>
      <c r="I76" s="86"/>
      <c r="J76" s="86"/>
      <c r="K76" s="86"/>
      <c r="L76" s="86"/>
      <c r="N76" s="93"/>
      <c r="O76" s="94"/>
      <c r="P76" s="94"/>
      <c r="Q76" s="95"/>
    </row>
    <row r="77" spans="1:17" x14ac:dyDescent="0.35">
      <c r="A77" s="86" t="s">
        <v>182</v>
      </c>
      <c r="B77" s="87">
        <v>3.0000000000000001E-3</v>
      </c>
      <c r="C77" s="86"/>
      <c r="F77" s="86"/>
      <c r="G77" s="86"/>
      <c r="H77" s="86"/>
      <c r="I77" s="86"/>
      <c r="J77" s="86"/>
      <c r="K77" s="86"/>
      <c r="L77" s="86"/>
      <c r="N77" s="93"/>
      <c r="O77" s="94"/>
      <c r="P77" s="94"/>
      <c r="Q77" s="95"/>
    </row>
    <row r="78" spans="1:17" x14ac:dyDescent="0.35">
      <c r="A78" s="86" t="s">
        <v>185</v>
      </c>
      <c r="B78" s="87">
        <v>5.0000000000000001E-3</v>
      </c>
      <c r="C78" s="86"/>
      <c r="F78" s="86"/>
      <c r="G78" s="86"/>
      <c r="H78" s="86"/>
      <c r="I78" s="86"/>
      <c r="J78" s="86"/>
      <c r="K78" s="86"/>
      <c r="L78" s="86"/>
      <c r="N78" s="93"/>
      <c r="O78" s="94"/>
      <c r="P78" s="94"/>
      <c r="Q78" s="95"/>
    </row>
    <row r="79" spans="1:17" x14ac:dyDescent="0.35">
      <c r="A79" s="86" t="s">
        <v>179</v>
      </c>
      <c r="B79" s="87">
        <v>2E-3</v>
      </c>
      <c r="C79" s="86"/>
      <c r="F79" s="86"/>
      <c r="G79" s="86"/>
      <c r="H79" s="86"/>
      <c r="I79" s="86"/>
      <c r="J79" s="86"/>
      <c r="K79" s="86"/>
      <c r="L79" s="86"/>
      <c r="N79" s="93"/>
      <c r="O79" s="94"/>
      <c r="P79" s="94"/>
      <c r="Q79" s="95"/>
    </row>
    <row r="80" spans="1:17" ht="16.5" x14ac:dyDescent="0.35">
      <c r="A80" s="86" t="s">
        <v>187</v>
      </c>
      <c r="B80" s="87">
        <v>2E-3</v>
      </c>
      <c r="C80" s="86"/>
      <c r="F80" s="86"/>
      <c r="G80" s="86"/>
      <c r="H80" s="86"/>
      <c r="I80" s="86"/>
      <c r="J80" s="86"/>
      <c r="K80" s="86"/>
      <c r="L80" s="86"/>
      <c r="N80" s="93"/>
      <c r="O80" s="94"/>
      <c r="P80" s="94"/>
      <c r="Q80" s="95"/>
    </row>
    <row r="81" spans="1:17" x14ac:dyDescent="0.35">
      <c r="A81" s="86" t="s">
        <v>186</v>
      </c>
      <c r="B81" s="87">
        <v>1E-3</v>
      </c>
      <c r="C81" s="86"/>
      <c r="F81" s="86"/>
      <c r="G81" s="86"/>
      <c r="H81" s="86"/>
      <c r="I81" s="86"/>
      <c r="J81" s="86"/>
      <c r="K81" s="86"/>
      <c r="L81" s="86"/>
      <c r="N81" s="93"/>
      <c r="O81" s="94"/>
      <c r="P81" s="94"/>
      <c r="Q81" s="95"/>
    </row>
    <row r="82" spans="1:17" x14ac:dyDescent="0.35">
      <c r="F82" s="86"/>
      <c r="G82" s="86"/>
      <c r="H82" s="86"/>
      <c r="I82" s="86"/>
      <c r="J82" s="86"/>
      <c r="K82" s="86"/>
      <c r="L82" s="86"/>
      <c r="N82" s="93"/>
      <c r="O82" s="94"/>
      <c r="P82" s="94"/>
      <c r="Q82" s="95"/>
    </row>
    <row r="83" spans="1:17" x14ac:dyDescent="0.35">
      <c r="N83" s="93"/>
      <c r="O83" s="94"/>
      <c r="P83" s="94"/>
      <c r="Q83" s="95"/>
    </row>
    <row r="84" spans="1:17" x14ac:dyDescent="0.35">
      <c r="N84" s="93"/>
      <c r="O84" s="94"/>
      <c r="P84" s="94"/>
      <c r="Q84" s="95"/>
    </row>
    <row r="85" spans="1:17" x14ac:dyDescent="0.35">
      <c r="A85" s="45" t="s">
        <v>191</v>
      </c>
      <c r="B85" s="45"/>
      <c r="C85" s="45"/>
      <c r="F85" s="45"/>
      <c r="G85" s="45"/>
      <c r="H85" s="45"/>
      <c r="I85" s="45"/>
      <c r="J85" s="45"/>
      <c r="K85" s="45"/>
      <c r="L85" s="45"/>
      <c r="N85" s="93"/>
      <c r="O85" s="94"/>
      <c r="P85" s="94"/>
      <c r="Q85" s="95"/>
    </row>
    <row r="86" spans="1:17" x14ac:dyDescent="0.35">
      <c r="A86" s="45" t="s">
        <v>188</v>
      </c>
      <c r="B86" s="45" t="s">
        <v>189</v>
      </c>
      <c r="C86" s="45" t="s">
        <v>190</v>
      </c>
      <c r="F86" s="45"/>
      <c r="G86" s="45"/>
      <c r="H86" s="45"/>
      <c r="I86" s="45"/>
      <c r="J86" s="45"/>
      <c r="K86" s="45"/>
      <c r="L86" s="45"/>
      <c r="N86" s="93"/>
      <c r="O86" s="94"/>
      <c r="P86" s="94"/>
      <c r="Q86" s="95"/>
    </row>
    <row r="87" spans="1:17" x14ac:dyDescent="0.35">
      <c r="A87" s="88">
        <v>43556</v>
      </c>
      <c r="B87" s="89">
        <v>23902</v>
      </c>
      <c r="C87" s="89">
        <v>29245</v>
      </c>
      <c r="F87" s="45"/>
      <c r="G87" s="45"/>
      <c r="H87" s="45"/>
      <c r="I87" s="45"/>
      <c r="J87" s="45"/>
      <c r="K87" s="45"/>
      <c r="L87" s="45"/>
      <c r="N87" s="93"/>
      <c r="O87" s="94"/>
      <c r="P87" s="94"/>
      <c r="Q87" s="95"/>
    </row>
    <row r="88" spans="1:17" x14ac:dyDescent="0.35">
      <c r="A88" s="88">
        <v>43557</v>
      </c>
      <c r="B88" s="89">
        <v>38005</v>
      </c>
      <c r="C88" s="89">
        <v>28781</v>
      </c>
      <c r="F88" s="45"/>
      <c r="G88" s="45"/>
      <c r="H88" s="45"/>
      <c r="I88" s="45"/>
      <c r="J88" s="45"/>
      <c r="K88" s="45"/>
      <c r="L88" s="45"/>
      <c r="N88" s="93"/>
      <c r="O88" s="94"/>
      <c r="P88" s="94"/>
      <c r="Q88" s="95"/>
    </row>
    <row r="89" spans="1:17" x14ac:dyDescent="0.35">
      <c r="A89" s="88">
        <v>43558</v>
      </c>
      <c r="B89" s="89">
        <v>24785</v>
      </c>
      <c r="C89" s="89">
        <v>31734</v>
      </c>
      <c r="F89" s="45"/>
      <c r="G89" s="45"/>
      <c r="H89" s="45"/>
      <c r="I89" s="45"/>
      <c r="J89" s="45"/>
      <c r="K89" s="45"/>
      <c r="L89" s="45"/>
      <c r="N89" s="93"/>
      <c r="O89" s="94"/>
      <c r="P89" s="94"/>
      <c r="Q89" s="95"/>
    </row>
    <row r="90" spans="1:17" x14ac:dyDescent="0.35">
      <c r="A90" s="88">
        <v>43559</v>
      </c>
      <c r="B90" s="89">
        <v>28697</v>
      </c>
      <c r="C90" s="89">
        <v>29697</v>
      </c>
      <c r="F90" s="45"/>
      <c r="G90" s="45"/>
      <c r="H90" s="45"/>
      <c r="I90" s="45"/>
      <c r="J90" s="45"/>
      <c r="K90" s="45"/>
      <c r="L90" s="45"/>
      <c r="N90" s="93"/>
      <c r="O90" s="94"/>
      <c r="P90" s="94"/>
      <c r="Q90" s="95"/>
    </row>
    <row r="91" spans="1:17" x14ac:dyDescent="0.35">
      <c r="A91" s="88">
        <v>43560</v>
      </c>
      <c r="B91" s="89">
        <v>29286</v>
      </c>
      <c r="C91" s="89">
        <v>33158</v>
      </c>
      <c r="F91" s="45"/>
      <c r="G91" s="45"/>
      <c r="H91" s="45"/>
      <c r="I91" s="45"/>
      <c r="J91" s="45"/>
      <c r="K91" s="45"/>
      <c r="L91" s="45"/>
      <c r="N91" s="93"/>
      <c r="O91" s="94"/>
      <c r="P91" s="94"/>
      <c r="Q91" s="95"/>
    </row>
    <row r="92" spans="1:17" x14ac:dyDescent="0.35">
      <c r="A92" s="88">
        <v>43561</v>
      </c>
      <c r="B92" s="89">
        <v>28327</v>
      </c>
      <c r="C92" s="89">
        <v>34437</v>
      </c>
      <c r="F92" s="45"/>
      <c r="G92" s="45"/>
      <c r="H92" s="45"/>
      <c r="I92" s="45"/>
      <c r="J92" s="45"/>
      <c r="K92" s="45"/>
      <c r="L92" s="45"/>
      <c r="N92" s="93"/>
      <c r="O92" s="94"/>
      <c r="P92" s="94"/>
      <c r="Q92" s="95"/>
    </row>
    <row r="93" spans="1:17" x14ac:dyDescent="0.35">
      <c r="A93" s="88">
        <v>43562</v>
      </c>
      <c r="B93" s="89">
        <v>31472</v>
      </c>
      <c r="C93" s="89">
        <v>54411</v>
      </c>
      <c r="F93" s="45"/>
      <c r="G93" s="45"/>
      <c r="H93" s="45"/>
      <c r="I93" s="45"/>
      <c r="J93" s="45"/>
      <c r="K93" s="45"/>
      <c r="L93" s="45"/>
      <c r="N93" s="93"/>
      <c r="O93" s="94"/>
      <c r="P93" s="94"/>
      <c r="Q93" s="95"/>
    </row>
    <row r="94" spans="1:17" x14ac:dyDescent="0.35">
      <c r="A94" s="88">
        <v>43563</v>
      </c>
      <c r="B94" s="89">
        <v>45842</v>
      </c>
      <c r="C94" s="89">
        <v>39884</v>
      </c>
      <c r="F94" s="45"/>
      <c r="G94" s="45"/>
      <c r="H94" s="45"/>
      <c r="I94" s="45"/>
      <c r="J94" s="45"/>
      <c r="K94" s="45"/>
      <c r="L94" s="45"/>
      <c r="N94" s="93"/>
      <c r="O94" s="94"/>
      <c r="P94" s="94"/>
      <c r="Q94" s="95"/>
    </row>
    <row r="95" spans="1:17" x14ac:dyDescent="0.35">
      <c r="A95" s="88">
        <v>43564</v>
      </c>
      <c r="B95" s="89">
        <v>36345</v>
      </c>
      <c r="C95" s="89">
        <v>31169</v>
      </c>
      <c r="F95" s="45"/>
      <c r="G95" s="45"/>
      <c r="H95" s="45"/>
      <c r="I95" s="45"/>
      <c r="J95" s="45"/>
      <c r="K95" s="45"/>
      <c r="L95" s="45"/>
      <c r="N95" s="93"/>
      <c r="O95" s="94"/>
      <c r="P95" s="94"/>
      <c r="Q95" s="95"/>
    </row>
    <row r="96" spans="1:17" x14ac:dyDescent="0.35">
      <c r="A96" s="88">
        <v>43565</v>
      </c>
      <c r="B96" s="89">
        <v>38299</v>
      </c>
      <c r="C96" s="89">
        <v>32551</v>
      </c>
      <c r="F96" s="45"/>
      <c r="G96" s="45"/>
      <c r="H96" s="45"/>
      <c r="I96" s="45"/>
      <c r="J96" s="45"/>
      <c r="K96" s="45"/>
      <c r="L96" s="45"/>
      <c r="N96" s="93"/>
      <c r="O96" s="94"/>
      <c r="P96" s="94"/>
      <c r="Q96" s="95"/>
    </row>
    <row r="97" spans="1:17" x14ac:dyDescent="0.35">
      <c r="A97" s="88">
        <v>43566</v>
      </c>
      <c r="B97" s="89">
        <v>41618</v>
      </c>
      <c r="C97" s="89">
        <v>29543</v>
      </c>
      <c r="F97" s="45"/>
      <c r="G97" s="45"/>
      <c r="H97" s="45"/>
      <c r="I97" s="45"/>
      <c r="J97" s="45"/>
      <c r="K97" s="45"/>
      <c r="L97" s="45"/>
      <c r="N97" s="93"/>
      <c r="O97" s="94"/>
      <c r="P97" s="94"/>
      <c r="Q97" s="95"/>
    </row>
    <row r="98" spans="1:17" x14ac:dyDescent="0.35">
      <c r="A98" s="88">
        <v>43567</v>
      </c>
      <c r="B98" s="89">
        <v>37760</v>
      </c>
      <c r="C98" s="89">
        <v>26724</v>
      </c>
      <c r="F98" s="45"/>
      <c r="G98" s="45"/>
      <c r="H98" s="45"/>
      <c r="I98" s="45"/>
      <c r="J98" s="45"/>
      <c r="K98" s="45"/>
      <c r="L98" s="45"/>
      <c r="N98" s="93"/>
      <c r="O98" s="94"/>
      <c r="P98" s="94"/>
      <c r="Q98" s="95"/>
    </row>
    <row r="99" spans="1:17" x14ac:dyDescent="0.35">
      <c r="A99" s="88">
        <v>43568</v>
      </c>
      <c r="B99" s="89">
        <v>33911</v>
      </c>
      <c r="C99" s="89">
        <v>29294</v>
      </c>
      <c r="F99" s="45"/>
      <c r="G99" s="45"/>
      <c r="H99" s="45"/>
      <c r="I99" s="45"/>
      <c r="J99" s="45"/>
      <c r="K99" s="45"/>
      <c r="L99" s="45"/>
      <c r="N99" s="93"/>
      <c r="O99" s="94"/>
      <c r="P99" s="94"/>
      <c r="Q99" s="95"/>
    </row>
    <row r="100" spans="1:17" x14ac:dyDescent="0.35">
      <c r="A100" s="88">
        <v>43569</v>
      </c>
      <c r="B100" s="89">
        <v>32530</v>
      </c>
      <c r="C100" s="89">
        <v>40439</v>
      </c>
      <c r="F100" s="45"/>
      <c r="G100" s="45"/>
      <c r="H100" s="45"/>
      <c r="I100" s="45"/>
      <c r="J100" s="45"/>
      <c r="K100" s="45"/>
      <c r="L100" s="45"/>
      <c r="N100" s="93"/>
      <c r="O100" s="94"/>
      <c r="P100" s="94"/>
      <c r="Q100" s="95"/>
    </row>
    <row r="101" spans="1:17" x14ac:dyDescent="0.35">
      <c r="A101" s="88">
        <v>43570</v>
      </c>
      <c r="B101" s="89">
        <v>49217</v>
      </c>
      <c r="C101" s="89">
        <v>26651</v>
      </c>
      <c r="F101" s="45"/>
      <c r="G101" s="45"/>
      <c r="H101" s="45"/>
      <c r="I101" s="45"/>
      <c r="J101" s="45"/>
      <c r="K101" s="45"/>
      <c r="L101" s="45"/>
      <c r="N101" s="93"/>
      <c r="O101" s="94"/>
      <c r="P101" s="94"/>
      <c r="Q101" s="95"/>
    </row>
    <row r="102" spans="1:17" x14ac:dyDescent="0.35">
      <c r="A102" s="88">
        <v>43571</v>
      </c>
      <c r="B102" s="89">
        <v>38747</v>
      </c>
      <c r="C102" s="89">
        <v>26222</v>
      </c>
      <c r="F102" s="45"/>
      <c r="G102" s="45"/>
      <c r="H102" s="45"/>
      <c r="I102" s="45"/>
      <c r="J102" s="45"/>
      <c r="K102" s="45"/>
      <c r="L102" s="45"/>
      <c r="N102" s="93"/>
      <c r="O102" s="94"/>
      <c r="P102" s="94"/>
      <c r="Q102" s="95"/>
    </row>
    <row r="103" spans="1:17" x14ac:dyDescent="0.35">
      <c r="A103" s="88">
        <v>43572</v>
      </c>
      <c r="B103" s="89">
        <v>40291</v>
      </c>
      <c r="C103" s="89">
        <v>23620</v>
      </c>
      <c r="F103" s="45"/>
      <c r="G103" s="45"/>
      <c r="H103" s="45"/>
      <c r="I103" s="45"/>
      <c r="J103" s="45"/>
      <c r="K103" s="45"/>
      <c r="L103" s="45"/>
      <c r="N103" s="93"/>
      <c r="O103" s="94"/>
      <c r="P103" s="94"/>
      <c r="Q103" s="95"/>
    </row>
    <row r="104" spans="1:17" x14ac:dyDescent="0.35">
      <c r="A104" s="88">
        <v>43573</v>
      </c>
      <c r="B104" s="89">
        <v>45048</v>
      </c>
      <c r="C104" s="89">
        <v>18512</v>
      </c>
      <c r="F104" s="45"/>
      <c r="G104" s="45"/>
      <c r="H104" s="45"/>
      <c r="I104" s="45"/>
      <c r="J104" s="45"/>
      <c r="K104" s="45"/>
      <c r="L104" s="45"/>
      <c r="N104" s="93"/>
      <c r="O104" s="94"/>
      <c r="P104" s="94"/>
      <c r="Q104" s="95"/>
    </row>
    <row r="105" spans="1:17" x14ac:dyDescent="0.35">
      <c r="A105" s="88">
        <v>43574</v>
      </c>
      <c r="B105" s="89">
        <v>44593</v>
      </c>
      <c r="C105" s="89">
        <v>22701</v>
      </c>
      <c r="N105" s="93"/>
      <c r="O105" s="94"/>
      <c r="P105" s="94"/>
      <c r="Q105" s="95"/>
    </row>
    <row r="106" spans="1:17" x14ac:dyDescent="0.35">
      <c r="A106" s="88">
        <v>43575</v>
      </c>
      <c r="B106" s="89">
        <v>29864</v>
      </c>
      <c r="C106" s="89">
        <v>18910</v>
      </c>
      <c r="N106" s="93"/>
      <c r="O106" s="94"/>
      <c r="P106" s="94"/>
      <c r="Q106" s="95"/>
    </row>
    <row r="107" spans="1:17" x14ac:dyDescent="0.35">
      <c r="A107" s="88">
        <v>43576</v>
      </c>
      <c r="B107" s="89">
        <v>26997</v>
      </c>
      <c r="C107" s="89">
        <v>23749</v>
      </c>
      <c r="N107" s="93"/>
      <c r="O107" s="94"/>
      <c r="P107" s="94"/>
      <c r="Q107" s="95"/>
    </row>
    <row r="108" spans="1:17" x14ac:dyDescent="0.35">
      <c r="A108" s="88">
        <v>43577</v>
      </c>
      <c r="B108" s="89">
        <v>43108</v>
      </c>
      <c r="C108" s="89">
        <v>33983</v>
      </c>
      <c r="N108" s="93"/>
      <c r="O108" s="94"/>
      <c r="P108" s="94"/>
      <c r="Q108" s="95"/>
    </row>
    <row r="109" spans="1:17" x14ac:dyDescent="0.35">
      <c r="A109" s="88">
        <v>43578</v>
      </c>
      <c r="B109" s="89">
        <v>32632</v>
      </c>
      <c r="C109" s="89">
        <v>29101</v>
      </c>
      <c r="N109" s="93"/>
      <c r="O109" s="94"/>
      <c r="P109" s="94"/>
      <c r="Q109" s="95"/>
    </row>
    <row r="110" spans="1:17" ht="15" thickBot="1" x14ac:dyDescent="0.4">
      <c r="A110" s="88">
        <v>43579</v>
      </c>
      <c r="B110" s="89">
        <v>31487</v>
      </c>
      <c r="C110" s="89">
        <v>32015</v>
      </c>
      <c r="N110" s="96"/>
      <c r="O110" s="97"/>
      <c r="P110" s="97"/>
      <c r="Q110" s="98"/>
    </row>
    <row r="111" spans="1:17" x14ac:dyDescent="0.35">
      <c r="A111" s="88">
        <v>43580</v>
      </c>
      <c r="B111" s="89">
        <v>33456</v>
      </c>
      <c r="C111" s="89">
        <v>33535</v>
      </c>
    </row>
    <row r="112" spans="1:17" x14ac:dyDescent="0.35">
      <c r="A112" s="88">
        <v>43581</v>
      </c>
      <c r="B112" s="89">
        <v>32512</v>
      </c>
      <c r="C112" s="89">
        <v>45224</v>
      </c>
    </row>
    <row r="113" spans="1:3" x14ac:dyDescent="0.35">
      <c r="A113" s="88">
        <v>43582</v>
      </c>
      <c r="B113" s="89">
        <v>32577</v>
      </c>
      <c r="C113" s="89">
        <v>47565</v>
      </c>
    </row>
    <row r="114" spans="1:3" x14ac:dyDescent="0.35">
      <c r="A114" s="88">
        <v>43583</v>
      </c>
      <c r="B114" s="89">
        <v>33373</v>
      </c>
      <c r="C114" s="89">
        <v>64871</v>
      </c>
    </row>
    <row r="115" spans="1:3" x14ac:dyDescent="0.35">
      <c r="A115" s="88">
        <v>43584</v>
      </c>
      <c r="B115" s="89">
        <v>48500</v>
      </c>
      <c r="C115" s="89">
        <v>44886</v>
      </c>
    </row>
    <row r="116" spans="1:3" x14ac:dyDescent="0.35">
      <c r="A116" s="88">
        <v>43585</v>
      </c>
      <c r="B116" s="89">
        <v>32237</v>
      </c>
      <c r="C116" s="89">
        <v>24822</v>
      </c>
    </row>
  </sheetData>
  <mergeCells count="1">
    <mergeCell ref="O6:P6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7"/>
  <sheetViews>
    <sheetView topLeftCell="A53" zoomScaleNormal="100" workbookViewId="0">
      <selection activeCell="M39" sqref="M39"/>
    </sheetView>
  </sheetViews>
  <sheetFormatPr baseColWidth="10" defaultRowHeight="14.5" x14ac:dyDescent="0.35"/>
  <sheetData>
    <row r="1" spans="1:12" x14ac:dyDescent="0.35">
      <c r="A1" t="s">
        <v>195</v>
      </c>
    </row>
    <row r="2" spans="1:12" x14ac:dyDescent="0.35">
      <c r="A2" t="s">
        <v>193</v>
      </c>
    </row>
    <row r="3" spans="1:12" x14ac:dyDescent="0.35">
      <c r="A3" t="s">
        <v>194</v>
      </c>
    </row>
    <row r="5" spans="1:12" x14ac:dyDescent="0.35">
      <c r="A5" s="52" t="s">
        <v>15</v>
      </c>
      <c r="B5" s="52" t="s">
        <v>149</v>
      </c>
      <c r="C5" s="52" t="s">
        <v>150</v>
      </c>
      <c r="D5" s="52" t="s">
        <v>151</v>
      </c>
    </row>
    <row r="6" spans="1:12" x14ac:dyDescent="0.35">
      <c r="A6" s="82">
        <v>43556</v>
      </c>
      <c r="B6" s="52">
        <v>54</v>
      </c>
      <c r="C6" s="52">
        <v>66</v>
      </c>
      <c r="D6" s="52">
        <v>36</v>
      </c>
    </row>
    <row r="7" spans="1:12" x14ac:dyDescent="0.35">
      <c r="A7" s="82">
        <v>43557</v>
      </c>
      <c r="B7" s="52">
        <v>38</v>
      </c>
      <c r="C7" s="52">
        <v>64</v>
      </c>
      <c r="D7" s="52">
        <v>16</v>
      </c>
      <c r="F7" s="52"/>
      <c r="G7" s="52"/>
      <c r="H7" s="52"/>
      <c r="I7" s="52"/>
      <c r="J7" s="52"/>
      <c r="K7" s="52"/>
      <c r="L7" s="52"/>
    </row>
    <row r="8" spans="1:12" x14ac:dyDescent="0.35">
      <c r="A8" s="82">
        <v>43558</v>
      </c>
      <c r="B8" s="52">
        <v>97</v>
      </c>
      <c r="C8" s="52">
        <v>67</v>
      </c>
      <c r="D8" s="52">
        <v>11</v>
      </c>
      <c r="F8" s="52"/>
      <c r="G8" s="52"/>
      <c r="H8" s="52"/>
      <c r="I8" s="52"/>
      <c r="J8" s="52"/>
      <c r="K8" s="52"/>
      <c r="L8" s="52"/>
    </row>
    <row r="9" spans="1:12" x14ac:dyDescent="0.35">
      <c r="A9" s="82">
        <v>43559</v>
      </c>
      <c r="B9" s="52">
        <v>40</v>
      </c>
      <c r="C9" s="52">
        <v>49</v>
      </c>
      <c r="D9" s="52">
        <v>67</v>
      </c>
      <c r="F9" s="52"/>
      <c r="G9" s="52"/>
      <c r="H9" s="52"/>
      <c r="I9" s="52"/>
      <c r="J9" s="52"/>
      <c r="K9" s="52"/>
      <c r="L9" s="52"/>
    </row>
    <row r="10" spans="1:12" x14ac:dyDescent="0.35">
      <c r="A10" s="82">
        <v>43560</v>
      </c>
      <c r="B10" s="52">
        <v>2</v>
      </c>
      <c r="C10" s="52">
        <v>80</v>
      </c>
      <c r="D10" s="52">
        <v>10</v>
      </c>
      <c r="F10" s="52"/>
      <c r="G10" s="52"/>
      <c r="H10" s="52"/>
      <c r="I10" s="52"/>
      <c r="J10" s="52"/>
      <c r="K10" s="52"/>
      <c r="L10" s="52"/>
    </row>
    <row r="11" spans="1:12" x14ac:dyDescent="0.35">
      <c r="A11" s="82">
        <v>43561</v>
      </c>
      <c r="B11" s="52">
        <v>16</v>
      </c>
      <c r="C11" s="52">
        <v>41</v>
      </c>
      <c r="D11" s="52">
        <v>51</v>
      </c>
      <c r="F11" s="52"/>
      <c r="G11" s="52"/>
      <c r="H11" s="52"/>
      <c r="I11" s="52"/>
      <c r="J11" s="52"/>
      <c r="K11" s="52"/>
      <c r="L11" s="52"/>
    </row>
    <row r="12" spans="1:12" x14ac:dyDescent="0.35">
      <c r="A12" s="82">
        <v>43562</v>
      </c>
      <c r="B12" s="52">
        <v>88</v>
      </c>
      <c r="C12" s="52">
        <v>98</v>
      </c>
      <c r="D12" s="52">
        <v>20</v>
      </c>
      <c r="F12" s="52"/>
      <c r="G12" s="52"/>
      <c r="H12" s="52"/>
      <c r="I12" s="52"/>
      <c r="J12" s="52"/>
      <c r="K12" s="52"/>
      <c r="L12" s="52"/>
    </row>
    <row r="13" spans="1:12" x14ac:dyDescent="0.35">
      <c r="A13" s="82">
        <v>43563</v>
      </c>
      <c r="B13" s="52">
        <v>15</v>
      </c>
      <c r="C13" s="52">
        <v>84</v>
      </c>
      <c r="D13" s="52">
        <v>88</v>
      </c>
      <c r="F13" s="52"/>
      <c r="G13" s="52"/>
      <c r="H13" s="52"/>
      <c r="I13" s="52"/>
      <c r="J13" s="52"/>
      <c r="K13" s="52"/>
      <c r="L13" s="52"/>
    </row>
    <row r="14" spans="1:12" x14ac:dyDescent="0.35">
      <c r="A14" s="82">
        <v>43564</v>
      </c>
      <c r="B14" s="52">
        <v>13</v>
      </c>
      <c r="C14" s="52">
        <v>51</v>
      </c>
      <c r="D14" s="52">
        <v>65</v>
      </c>
      <c r="F14" s="52"/>
      <c r="G14" s="52"/>
      <c r="H14" s="52"/>
      <c r="I14" s="52"/>
      <c r="J14" s="52"/>
      <c r="K14" s="52"/>
      <c r="L14" s="52"/>
    </row>
    <row r="15" spans="1:12" x14ac:dyDescent="0.35">
      <c r="A15" s="82">
        <v>43565</v>
      </c>
      <c r="B15" s="52">
        <v>38</v>
      </c>
      <c r="C15" s="52">
        <v>64</v>
      </c>
      <c r="D15" s="52">
        <v>1</v>
      </c>
      <c r="F15" s="52"/>
      <c r="G15" s="52"/>
      <c r="H15" s="52"/>
      <c r="I15" s="52"/>
      <c r="J15" s="52"/>
      <c r="K15" s="52"/>
      <c r="L15" s="52"/>
    </row>
    <row r="16" spans="1:12" x14ac:dyDescent="0.35">
      <c r="A16" s="82">
        <v>43566</v>
      </c>
      <c r="B16" s="52">
        <v>52</v>
      </c>
      <c r="C16" s="52">
        <v>65</v>
      </c>
      <c r="D16" s="52">
        <v>35</v>
      </c>
      <c r="F16" s="52"/>
      <c r="G16" s="52"/>
      <c r="H16" s="52"/>
      <c r="I16" s="52"/>
      <c r="J16" s="52"/>
      <c r="K16" s="52"/>
      <c r="L16" s="52"/>
    </row>
    <row r="17" spans="1:12" x14ac:dyDescent="0.35">
      <c r="A17" s="82">
        <v>43567</v>
      </c>
      <c r="B17" s="52">
        <v>29</v>
      </c>
      <c r="C17" s="52">
        <v>73</v>
      </c>
      <c r="D17" s="52">
        <v>83</v>
      </c>
      <c r="F17" s="52"/>
      <c r="G17" s="52"/>
      <c r="H17" s="52"/>
      <c r="I17" s="52"/>
      <c r="J17" s="52"/>
      <c r="K17" s="52"/>
      <c r="L17" s="52"/>
    </row>
    <row r="18" spans="1:12" x14ac:dyDescent="0.35">
      <c r="A18" s="82">
        <v>43568</v>
      </c>
      <c r="B18" s="52">
        <v>59</v>
      </c>
      <c r="C18" s="52">
        <v>28</v>
      </c>
      <c r="D18" s="52">
        <v>51</v>
      </c>
      <c r="F18" s="52"/>
      <c r="G18" s="52"/>
      <c r="H18" s="52"/>
      <c r="I18" s="52"/>
      <c r="J18" s="52"/>
      <c r="K18" s="52"/>
      <c r="L18" s="52"/>
    </row>
    <row r="19" spans="1:12" x14ac:dyDescent="0.35">
      <c r="A19" s="82">
        <v>43569</v>
      </c>
      <c r="B19" s="52">
        <v>56</v>
      </c>
      <c r="C19" s="52">
        <v>43</v>
      </c>
      <c r="D19" s="52">
        <v>68</v>
      </c>
      <c r="F19" s="52"/>
      <c r="G19" s="52"/>
      <c r="H19" s="52"/>
      <c r="I19" s="52"/>
      <c r="J19" s="52"/>
      <c r="K19" s="52"/>
      <c r="L19" s="52"/>
    </row>
    <row r="20" spans="1:12" x14ac:dyDescent="0.35">
      <c r="A20" s="82">
        <v>43570</v>
      </c>
      <c r="B20" s="52">
        <v>81</v>
      </c>
      <c r="C20" s="52">
        <v>16</v>
      </c>
      <c r="D20" s="52">
        <v>61</v>
      </c>
      <c r="F20" s="52"/>
      <c r="G20" s="52"/>
      <c r="H20" s="52"/>
      <c r="I20" s="52"/>
      <c r="J20" s="52"/>
      <c r="K20" s="52"/>
      <c r="L20" s="52"/>
    </row>
    <row r="21" spans="1:12" x14ac:dyDescent="0.35">
      <c r="A21" s="82">
        <v>43571</v>
      </c>
      <c r="B21" s="52">
        <v>20</v>
      </c>
      <c r="C21" s="52">
        <v>70</v>
      </c>
      <c r="D21" s="52">
        <v>93</v>
      </c>
      <c r="F21" s="52"/>
      <c r="G21" s="52"/>
      <c r="H21" s="52"/>
      <c r="I21" s="52"/>
      <c r="J21" s="52"/>
      <c r="K21" s="52"/>
      <c r="L21" s="52"/>
    </row>
    <row r="22" spans="1:12" x14ac:dyDescent="0.35">
      <c r="A22" s="82">
        <v>43572</v>
      </c>
      <c r="B22" s="52">
        <v>48</v>
      </c>
      <c r="C22" s="52">
        <v>17</v>
      </c>
      <c r="D22" s="52">
        <v>30</v>
      </c>
      <c r="F22" s="52"/>
      <c r="G22" s="52"/>
      <c r="H22" s="52"/>
      <c r="I22" s="52"/>
      <c r="J22" s="52"/>
      <c r="K22" s="52"/>
      <c r="L22" s="52"/>
    </row>
    <row r="23" spans="1:12" x14ac:dyDescent="0.35">
      <c r="A23" s="82">
        <v>43573</v>
      </c>
      <c r="B23" s="52">
        <v>43</v>
      </c>
      <c r="C23" s="52">
        <v>75</v>
      </c>
      <c r="D23" s="52">
        <v>95</v>
      </c>
    </row>
    <row r="24" spans="1:12" x14ac:dyDescent="0.35">
      <c r="A24" s="82">
        <v>43574</v>
      </c>
      <c r="B24" s="52">
        <v>24</v>
      </c>
      <c r="C24" s="52">
        <v>65</v>
      </c>
      <c r="D24" s="52">
        <v>39</v>
      </c>
    </row>
    <row r="27" spans="1:12" ht="43.5" x14ac:dyDescent="0.35">
      <c r="A27" s="83" t="s">
        <v>152</v>
      </c>
      <c r="B27" s="84" t="s">
        <v>153</v>
      </c>
      <c r="C27" s="84" t="s">
        <v>154</v>
      </c>
      <c r="F27" s="83"/>
      <c r="G27" s="83"/>
      <c r="H27" s="83"/>
      <c r="I27" s="83"/>
      <c r="J27" s="83"/>
      <c r="K27" s="83"/>
      <c r="L27" s="83"/>
    </row>
    <row r="28" spans="1:12" x14ac:dyDescent="0.35">
      <c r="A28" s="83">
        <v>2010</v>
      </c>
      <c r="B28" s="83">
        <v>26437</v>
      </c>
      <c r="C28" s="85">
        <v>24.436504334542825</v>
      </c>
      <c r="F28" s="83"/>
      <c r="G28" s="83"/>
      <c r="H28" s="83"/>
      <c r="I28" s="83"/>
      <c r="J28" s="83"/>
      <c r="K28" s="83"/>
      <c r="L28" s="83"/>
    </row>
    <row r="29" spans="1:12" x14ac:dyDescent="0.35">
      <c r="A29" s="83">
        <v>2011</v>
      </c>
      <c r="B29" s="83">
        <v>26536</v>
      </c>
      <c r="C29" s="85">
        <v>28.535580462514037</v>
      </c>
      <c r="F29" s="83"/>
      <c r="G29" s="83"/>
      <c r="H29" s="83"/>
      <c r="I29" s="83"/>
      <c r="J29" s="83"/>
      <c r="K29" s="83"/>
      <c r="L29" s="83"/>
    </row>
    <row r="30" spans="1:12" x14ac:dyDescent="0.35">
      <c r="A30" s="83">
        <v>2012</v>
      </c>
      <c r="B30" s="83">
        <v>32376</v>
      </c>
      <c r="C30" s="85">
        <v>34.375959133964159</v>
      </c>
      <c r="F30" s="83"/>
      <c r="G30" s="83"/>
      <c r="H30" s="83"/>
      <c r="I30" s="83"/>
      <c r="J30" s="83"/>
      <c r="K30" s="83"/>
      <c r="L30" s="83"/>
    </row>
    <row r="31" spans="1:12" x14ac:dyDescent="0.35">
      <c r="A31" s="83">
        <v>2013</v>
      </c>
      <c r="B31" s="83">
        <v>34888</v>
      </c>
      <c r="C31" s="85">
        <v>33.888222774985628</v>
      </c>
      <c r="F31" s="83"/>
      <c r="G31" s="83"/>
      <c r="H31" s="83"/>
      <c r="I31" s="83"/>
      <c r="J31" s="83"/>
      <c r="K31" s="83"/>
      <c r="L31" s="83"/>
    </row>
    <row r="32" spans="1:12" x14ac:dyDescent="0.35">
      <c r="A32" s="83">
        <v>2014</v>
      </c>
      <c r="B32" s="83">
        <v>24226</v>
      </c>
      <c r="C32" s="85">
        <v>22.225867527105553</v>
      </c>
      <c r="F32" s="83"/>
      <c r="G32" s="83"/>
      <c r="H32" s="83"/>
      <c r="I32" s="83"/>
      <c r="J32" s="83"/>
      <c r="K32" s="83"/>
      <c r="L32" s="83"/>
    </row>
    <row r="33" spans="1:12" x14ac:dyDescent="0.35">
      <c r="A33" s="83">
        <v>2015</v>
      </c>
      <c r="B33" s="83">
        <v>36575</v>
      </c>
      <c r="C33" s="85">
        <v>34.575291522872213</v>
      </c>
      <c r="F33" s="83"/>
      <c r="G33" s="83"/>
      <c r="H33" s="83"/>
      <c r="I33" s="83"/>
      <c r="J33" s="83"/>
      <c r="K33" s="83"/>
      <c r="L33" s="83"/>
    </row>
    <row r="34" spans="1:12" x14ac:dyDescent="0.35">
      <c r="A34" s="83">
        <v>2016</v>
      </c>
      <c r="B34" s="83">
        <v>26691</v>
      </c>
      <c r="C34" s="85">
        <v>27.69099502462209</v>
      </c>
      <c r="F34" s="83"/>
      <c r="G34" s="83"/>
      <c r="H34" s="83"/>
      <c r="I34" s="83"/>
      <c r="J34" s="83"/>
      <c r="K34" s="83"/>
      <c r="L34" s="83"/>
    </row>
    <row r="35" spans="1:12" x14ac:dyDescent="0.35">
      <c r="A35" s="83">
        <v>2017</v>
      </c>
      <c r="B35" s="83">
        <v>20486</v>
      </c>
      <c r="C35" s="85">
        <v>21.486271279140745</v>
      </c>
      <c r="F35" s="83"/>
      <c r="G35" s="83"/>
      <c r="H35" s="83"/>
      <c r="I35" s="83"/>
      <c r="J35" s="83"/>
      <c r="K35" s="83"/>
      <c r="L35" s="83"/>
    </row>
    <row r="36" spans="1:12" x14ac:dyDescent="0.35">
      <c r="A36" s="83">
        <v>2018</v>
      </c>
      <c r="B36" s="83">
        <v>34173</v>
      </c>
      <c r="C36" s="85">
        <v>33.173420850910119</v>
      </c>
      <c r="F36" s="83"/>
      <c r="G36" s="83"/>
      <c r="H36" s="83"/>
      <c r="I36" s="83"/>
      <c r="J36" s="83"/>
      <c r="K36" s="83"/>
      <c r="L36" s="83"/>
    </row>
    <row r="37" spans="1:12" x14ac:dyDescent="0.35">
      <c r="A37" s="83">
        <v>2019</v>
      </c>
      <c r="B37" s="83">
        <v>27905</v>
      </c>
      <c r="C37" s="85">
        <v>29.905137845088102</v>
      </c>
      <c r="F37" s="83"/>
      <c r="G37" s="83"/>
      <c r="H37" s="83"/>
      <c r="I37" s="83"/>
      <c r="J37" s="83"/>
      <c r="K37" s="83"/>
      <c r="L37" s="83"/>
    </row>
    <row r="38" spans="1:12" x14ac:dyDescent="0.35">
      <c r="F38" s="83"/>
      <c r="G38" s="83"/>
      <c r="H38" s="83"/>
      <c r="I38" s="83"/>
      <c r="J38" s="83"/>
      <c r="K38" s="83"/>
      <c r="L38" s="83"/>
    </row>
    <row r="39" spans="1:12" x14ac:dyDescent="0.35">
      <c r="F39" s="83"/>
      <c r="G39" s="83"/>
      <c r="H39" s="83"/>
      <c r="I39" s="83"/>
      <c r="J39" s="83"/>
      <c r="K39" s="83"/>
      <c r="L39" s="83"/>
    </row>
    <row r="40" spans="1:12" x14ac:dyDescent="0.35">
      <c r="F40" s="83"/>
      <c r="G40" s="83"/>
      <c r="H40" s="83"/>
      <c r="I40" s="83"/>
      <c r="J40" s="83"/>
      <c r="K40" s="83"/>
      <c r="L40" s="83"/>
    </row>
    <row r="41" spans="1:12" x14ac:dyDescent="0.35">
      <c r="F41" s="83"/>
      <c r="G41" s="83"/>
      <c r="H41" s="83"/>
      <c r="I41" s="83"/>
      <c r="J41" s="83"/>
      <c r="K41" s="83"/>
      <c r="L41" s="83"/>
    </row>
    <row r="44" spans="1:12" x14ac:dyDescent="0.35">
      <c r="A44" s="47" t="s">
        <v>155</v>
      </c>
      <c r="B44" s="47"/>
      <c r="C44" s="47"/>
      <c r="F44" s="47"/>
      <c r="G44" s="47"/>
      <c r="H44" s="47"/>
      <c r="I44" s="47"/>
      <c r="J44" s="47"/>
      <c r="K44" s="47"/>
      <c r="L44" s="47"/>
    </row>
    <row r="45" spans="1:12" x14ac:dyDescent="0.35">
      <c r="A45" s="47" t="s">
        <v>157</v>
      </c>
      <c r="B45" s="47">
        <v>86.1</v>
      </c>
      <c r="C45" s="47"/>
      <c r="F45" s="47"/>
      <c r="G45" s="47"/>
      <c r="H45" s="47"/>
      <c r="I45" s="47"/>
      <c r="J45" s="47"/>
      <c r="K45" s="47"/>
      <c r="L45" s="47"/>
    </row>
    <row r="46" spans="1:12" x14ac:dyDescent="0.35">
      <c r="A46" s="47" t="s">
        <v>158</v>
      </c>
      <c r="B46" s="47">
        <v>52.1</v>
      </c>
      <c r="C46" s="47"/>
      <c r="F46" s="47"/>
      <c r="G46" s="47"/>
      <c r="H46" s="47"/>
      <c r="I46" s="47"/>
      <c r="J46" s="47"/>
      <c r="K46" s="47"/>
      <c r="L46" s="47"/>
    </row>
    <row r="47" spans="1:12" x14ac:dyDescent="0.35">
      <c r="A47" s="47" t="s">
        <v>159</v>
      </c>
      <c r="B47" s="47">
        <v>47.3</v>
      </c>
      <c r="C47" s="47"/>
      <c r="F47" s="47"/>
      <c r="G47" s="47"/>
      <c r="H47" s="47"/>
      <c r="I47" s="47"/>
      <c r="J47" s="47"/>
      <c r="K47" s="47"/>
      <c r="L47" s="47"/>
    </row>
    <row r="48" spans="1:12" x14ac:dyDescent="0.35">
      <c r="A48" s="47" t="s">
        <v>156</v>
      </c>
      <c r="B48" s="47">
        <v>39.9</v>
      </c>
      <c r="C48" s="47"/>
      <c r="F48" s="47"/>
      <c r="G48" s="47"/>
      <c r="H48" s="47"/>
      <c r="I48" s="47"/>
      <c r="J48" s="47"/>
      <c r="K48" s="47"/>
      <c r="L48" s="47"/>
    </row>
    <row r="49" spans="1:12" x14ac:dyDescent="0.35">
      <c r="A49" s="47" t="s">
        <v>160</v>
      </c>
      <c r="B49" s="47">
        <v>37.799999999999997</v>
      </c>
      <c r="C49" s="47"/>
      <c r="F49" s="47"/>
      <c r="G49" s="47"/>
      <c r="H49" s="47"/>
      <c r="I49" s="47"/>
      <c r="J49" s="47"/>
      <c r="K49" s="47"/>
      <c r="L49" s="47"/>
    </row>
    <row r="50" spans="1:12" x14ac:dyDescent="0.35">
      <c r="A50" s="47" t="s">
        <v>161</v>
      </c>
      <c r="B50" s="47">
        <v>29.8</v>
      </c>
      <c r="C50" s="47"/>
      <c r="F50" s="47"/>
      <c r="G50" s="47"/>
      <c r="H50" s="47"/>
      <c r="I50" s="47"/>
      <c r="J50" s="47"/>
      <c r="K50" s="47"/>
      <c r="L50" s="47"/>
    </row>
    <row r="51" spans="1:12" x14ac:dyDescent="0.35">
      <c r="A51" s="47" t="s">
        <v>162</v>
      </c>
      <c r="B51" s="47">
        <v>28.5</v>
      </c>
      <c r="C51" s="47"/>
      <c r="F51" s="47"/>
      <c r="G51" s="47"/>
      <c r="H51" s="47"/>
      <c r="I51" s="47"/>
      <c r="J51" s="47"/>
      <c r="K51" s="47"/>
      <c r="L51" s="47"/>
    </row>
    <row r="52" spans="1:12" x14ac:dyDescent="0.35">
      <c r="A52" s="47" t="s">
        <v>163</v>
      </c>
      <c r="B52" s="47">
        <v>24.9</v>
      </c>
      <c r="C52" s="47"/>
      <c r="F52" s="47"/>
      <c r="G52" s="47"/>
      <c r="H52" s="47"/>
      <c r="I52" s="47"/>
      <c r="J52" s="47"/>
      <c r="K52" s="47"/>
      <c r="L52" s="47"/>
    </row>
    <row r="53" spans="1:12" x14ac:dyDescent="0.35">
      <c r="A53" s="47" t="s">
        <v>164</v>
      </c>
      <c r="B53" s="47">
        <v>22.5</v>
      </c>
      <c r="C53" s="47"/>
      <c r="F53" s="47"/>
      <c r="G53" s="47"/>
      <c r="H53" s="47"/>
      <c r="I53" s="47"/>
      <c r="J53" s="47"/>
      <c r="K53" s="47"/>
      <c r="L53" s="47"/>
    </row>
    <row r="54" spans="1:12" x14ac:dyDescent="0.35">
      <c r="A54" s="47" t="s">
        <v>165</v>
      </c>
      <c r="B54" s="47">
        <v>21.1</v>
      </c>
      <c r="C54" s="47"/>
      <c r="F54" s="47"/>
      <c r="G54" s="47"/>
      <c r="H54" s="47"/>
      <c r="I54" s="47"/>
      <c r="J54" s="47"/>
      <c r="K54" s="47"/>
      <c r="L54" s="47"/>
    </row>
    <row r="55" spans="1:12" x14ac:dyDescent="0.35">
      <c r="A55" s="47" t="s">
        <v>166</v>
      </c>
      <c r="B55" s="47">
        <v>15.5</v>
      </c>
      <c r="C55" s="47"/>
      <c r="F55" s="47"/>
      <c r="G55" s="47"/>
      <c r="H55" s="47"/>
      <c r="I55" s="47"/>
      <c r="J55" s="47"/>
      <c r="K55" s="47"/>
      <c r="L55" s="47"/>
    </row>
    <row r="56" spans="1:12" x14ac:dyDescent="0.35">
      <c r="A56" s="47" t="s">
        <v>167</v>
      </c>
      <c r="B56" s="47">
        <v>15.5</v>
      </c>
      <c r="C56" s="47"/>
      <c r="F56" s="47"/>
      <c r="G56" s="47"/>
      <c r="H56" s="47"/>
      <c r="I56" s="47"/>
      <c r="J56" s="47"/>
      <c r="K56" s="47"/>
      <c r="L56" s="47"/>
    </row>
    <row r="57" spans="1:12" x14ac:dyDescent="0.35">
      <c r="A57" s="47" t="s">
        <v>168</v>
      </c>
      <c r="B57" s="47">
        <v>14.5</v>
      </c>
      <c r="C57" s="47"/>
      <c r="F57" s="47"/>
      <c r="G57" s="47"/>
      <c r="H57" s="47"/>
      <c r="I57" s="47"/>
      <c r="J57" s="47"/>
      <c r="K57" s="47"/>
      <c r="L57" s="47"/>
    </row>
    <row r="58" spans="1:12" x14ac:dyDescent="0.35">
      <c r="A58" s="47" t="s">
        <v>169</v>
      </c>
      <c r="B58" s="47">
        <v>12</v>
      </c>
      <c r="C58" s="47"/>
      <c r="F58" s="47"/>
      <c r="G58" s="47"/>
      <c r="H58" s="47"/>
      <c r="I58" s="47"/>
      <c r="J58" s="47"/>
      <c r="K58" s="47"/>
      <c r="L58" s="47"/>
    </row>
    <row r="59" spans="1:12" x14ac:dyDescent="0.35">
      <c r="A59" s="47" t="s">
        <v>170</v>
      </c>
      <c r="B59" s="47">
        <v>11.3</v>
      </c>
      <c r="C59" s="47"/>
      <c r="F59" s="47"/>
      <c r="G59" s="47"/>
      <c r="H59" s="47"/>
      <c r="I59" s="47"/>
      <c r="J59" s="47"/>
      <c r="K59" s="47"/>
      <c r="L59" s="47"/>
    </row>
    <row r="60" spans="1:12" x14ac:dyDescent="0.35">
      <c r="A60" s="47" t="s">
        <v>171</v>
      </c>
      <c r="B60" s="47">
        <v>10</v>
      </c>
      <c r="C60" s="47"/>
      <c r="F60" s="47"/>
      <c r="G60" s="47"/>
      <c r="H60" s="47"/>
      <c r="I60" s="47"/>
      <c r="J60" s="47"/>
      <c r="K60" s="47"/>
      <c r="L60" s="47"/>
    </row>
    <row r="61" spans="1:12" x14ac:dyDescent="0.35">
      <c r="A61" s="47" t="s">
        <v>172</v>
      </c>
      <c r="B61" s="47">
        <v>8.6</v>
      </c>
      <c r="C61" s="47"/>
      <c r="F61" s="47"/>
      <c r="G61" s="47"/>
      <c r="H61" s="47"/>
      <c r="I61" s="47"/>
      <c r="J61" s="47"/>
      <c r="K61" s="47"/>
      <c r="L61" s="47"/>
    </row>
    <row r="62" spans="1:12" x14ac:dyDescent="0.35">
      <c r="F62" s="47"/>
      <c r="G62" s="47"/>
      <c r="H62" s="47"/>
      <c r="I62" s="47"/>
      <c r="J62" s="47"/>
      <c r="K62" s="47"/>
      <c r="L62" s="47"/>
    </row>
    <row r="63" spans="1:12" x14ac:dyDescent="0.35">
      <c r="F63" s="47"/>
      <c r="G63" s="47"/>
      <c r="H63" s="47"/>
      <c r="I63" s="47"/>
      <c r="J63" s="47"/>
      <c r="K63" s="47"/>
      <c r="L63" s="47"/>
    </row>
    <row r="64" spans="1:12" x14ac:dyDescent="0.35">
      <c r="F64" s="47"/>
      <c r="G64" s="47"/>
      <c r="H64" s="47"/>
      <c r="I64" s="47"/>
      <c r="J64" s="47"/>
      <c r="K64" s="47"/>
      <c r="L64" s="47"/>
    </row>
    <row r="68" spans="1:12" x14ac:dyDescent="0.35">
      <c r="A68" s="86" t="s">
        <v>184</v>
      </c>
      <c r="B68" s="86"/>
      <c r="C68" s="86"/>
      <c r="F68" s="86"/>
      <c r="G68" s="86"/>
      <c r="H68" s="86"/>
      <c r="I68" s="86"/>
      <c r="J68" s="86"/>
      <c r="K68" s="86"/>
      <c r="L68" s="86"/>
    </row>
    <row r="69" spans="1:12" x14ac:dyDescent="0.35">
      <c r="A69" s="86" t="s">
        <v>173</v>
      </c>
      <c r="B69" s="87">
        <v>0.23499999999999999</v>
      </c>
      <c r="C69" s="86"/>
      <c r="F69" s="86"/>
      <c r="G69" s="86"/>
      <c r="H69" s="86"/>
      <c r="I69" s="86"/>
      <c r="J69" s="86"/>
      <c r="K69" s="86"/>
      <c r="L69" s="86"/>
    </row>
    <row r="70" spans="1:12" x14ac:dyDescent="0.35">
      <c r="A70" s="86" t="s">
        <v>174</v>
      </c>
      <c r="B70" s="87">
        <v>0.27200000000000002</v>
      </c>
      <c r="C70" s="86"/>
      <c r="F70" s="86"/>
      <c r="G70" s="86"/>
      <c r="H70" s="86"/>
      <c r="I70" s="86"/>
      <c r="J70" s="86"/>
      <c r="K70" s="86"/>
      <c r="L70" s="86"/>
    </row>
    <row r="71" spans="1:12" x14ac:dyDescent="0.35">
      <c r="A71" s="86" t="s">
        <v>175</v>
      </c>
      <c r="B71" s="87">
        <v>0.13900000000000001</v>
      </c>
      <c r="C71" s="86"/>
      <c r="F71" s="86"/>
      <c r="G71" s="86"/>
      <c r="H71" s="86"/>
      <c r="I71" s="86"/>
      <c r="J71" s="86"/>
      <c r="K71" s="86"/>
      <c r="L71" s="86"/>
    </row>
    <row r="72" spans="1:12" x14ac:dyDescent="0.35">
      <c r="A72" s="86" t="s">
        <v>176</v>
      </c>
      <c r="B72" s="87">
        <v>0.122</v>
      </c>
      <c r="C72" s="86"/>
      <c r="F72" s="86"/>
      <c r="G72" s="86"/>
      <c r="H72" s="86"/>
      <c r="I72" s="86"/>
      <c r="J72" s="86"/>
      <c r="K72" s="86"/>
      <c r="L72" s="86"/>
    </row>
    <row r="73" spans="1:12" x14ac:dyDescent="0.35">
      <c r="A73" s="86" t="s">
        <v>177</v>
      </c>
      <c r="B73" s="87">
        <v>0.10800000000000001</v>
      </c>
      <c r="C73" s="86"/>
      <c r="F73" s="86"/>
      <c r="G73" s="86"/>
      <c r="H73" s="86"/>
      <c r="I73" s="86"/>
      <c r="J73" s="86"/>
      <c r="K73" s="86"/>
      <c r="L73" s="86"/>
    </row>
    <row r="74" spans="1:12" x14ac:dyDescent="0.35">
      <c r="A74" s="86" t="s">
        <v>178</v>
      </c>
      <c r="B74" s="87">
        <v>7.8E-2</v>
      </c>
      <c r="C74" s="86"/>
      <c r="F74" s="86"/>
      <c r="G74" s="86"/>
      <c r="H74" s="86"/>
      <c r="I74" s="86"/>
      <c r="J74" s="86"/>
      <c r="K74" s="86"/>
      <c r="L74" s="86"/>
    </row>
    <row r="75" spans="1:12" x14ac:dyDescent="0.35">
      <c r="A75" s="86" t="s">
        <v>180</v>
      </c>
      <c r="B75" s="87">
        <v>1.6E-2</v>
      </c>
      <c r="C75" s="86"/>
      <c r="F75" s="86"/>
      <c r="G75" s="86"/>
      <c r="H75" s="86"/>
      <c r="I75" s="86"/>
      <c r="J75" s="86"/>
      <c r="K75" s="86"/>
      <c r="L75" s="86"/>
    </row>
    <row r="76" spans="1:12" x14ac:dyDescent="0.35">
      <c r="A76" s="86" t="s">
        <v>183</v>
      </c>
      <c r="B76" s="87">
        <v>9.0000000000000011E-3</v>
      </c>
      <c r="C76" s="86"/>
      <c r="F76" s="86"/>
      <c r="G76" s="86"/>
      <c r="H76" s="86"/>
      <c r="I76" s="86"/>
      <c r="J76" s="86"/>
      <c r="K76" s="86"/>
      <c r="L76" s="86"/>
    </row>
    <row r="77" spans="1:12" x14ac:dyDescent="0.35">
      <c r="A77" s="86" t="s">
        <v>181</v>
      </c>
      <c r="B77" s="87">
        <v>4.0000000000000001E-3</v>
      </c>
      <c r="C77" s="86"/>
      <c r="F77" s="86"/>
      <c r="G77" s="86"/>
      <c r="H77" s="86"/>
      <c r="I77" s="86"/>
      <c r="J77" s="86"/>
      <c r="K77" s="86"/>
      <c r="L77" s="86"/>
    </row>
    <row r="78" spans="1:12" x14ac:dyDescent="0.35">
      <c r="A78" s="86" t="s">
        <v>182</v>
      </c>
      <c r="B78" s="87">
        <v>3.0000000000000001E-3</v>
      </c>
      <c r="C78" s="86"/>
      <c r="F78" s="86"/>
      <c r="G78" s="86"/>
      <c r="H78" s="86"/>
      <c r="I78" s="86"/>
      <c r="J78" s="86"/>
      <c r="K78" s="86"/>
      <c r="L78" s="86"/>
    </row>
    <row r="79" spans="1:12" x14ac:dyDescent="0.35">
      <c r="A79" s="86" t="s">
        <v>185</v>
      </c>
      <c r="B79" s="87">
        <v>5.0000000000000001E-3</v>
      </c>
      <c r="C79" s="86"/>
      <c r="F79" s="86"/>
      <c r="G79" s="86"/>
      <c r="H79" s="86"/>
      <c r="I79" s="86"/>
      <c r="J79" s="86"/>
      <c r="K79" s="86"/>
      <c r="L79" s="86"/>
    </row>
    <row r="80" spans="1:12" x14ac:dyDescent="0.35">
      <c r="A80" s="86" t="s">
        <v>179</v>
      </c>
      <c r="B80" s="87">
        <v>2E-3</v>
      </c>
      <c r="C80" s="86"/>
      <c r="F80" s="86"/>
      <c r="G80" s="86"/>
      <c r="H80" s="86"/>
      <c r="I80" s="86"/>
      <c r="J80" s="86"/>
      <c r="K80" s="86"/>
      <c r="L80" s="86"/>
    </row>
    <row r="81" spans="1:12" ht="16.5" x14ac:dyDescent="0.35">
      <c r="A81" s="86" t="s">
        <v>187</v>
      </c>
      <c r="B81" s="87">
        <v>2E-3</v>
      </c>
      <c r="C81" s="86"/>
      <c r="F81" s="86"/>
      <c r="G81" s="86"/>
      <c r="H81" s="86"/>
      <c r="I81" s="86"/>
      <c r="J81" s="86"/>
      <c r="K81" s="86"/>
      <c r="L81" s="86"/>
    </row>
    <row r="82" spans="1:12" x14ac:dyDescent="0.35">
      <c r="A82" s="86" t="s">
        <v>186</v>
      </c>
      <c r="B82" s="87">
        <v>1E-3</v>
      </c>
      <c r="C82" s="86"/>
      <c r="F82" s="86"/>
      <c r="G82" s="86"/>
      <c r="H82" s="86"/>
      <c r="I82" s="86"/>
      <c r="J82" s="86"/>
      <c r="K82" s="86"/>
      <c r="L82" s="86"/>
    </row>
    <row r="83" spans="1:12" x14ac:dyDescent="0.35">
      <c r="F83" s="86"/>
      <c r="G83" s="86"/>
      <c r="H83" s="86"/>
      <c r="I83" s="86"/>
      <c r="J83" s="86"/>
      <c r="K83" s="86"/>
      <c r="L83" s="86"/>
    </row>
    <row r="86" spans="1:12" x14ac:dyDescent="0.35">
      <c r="A86" s="45" t="s">
        <v>191</v>
      </c>
      <c r="B86" s="45"/>
      <c r="C86" s="45"/>
    </row>
    <row r="87" spans="1:12" x14ac:dyDescent="0.35">
      <c r="A87" s="45" t="s">
        <v>188</v>
      </c>
      <c r="B87" s="45" t="s">
        <v>189</v>
      </c>
      <c r="C87" s="45" t="s">
        <v>190</v>
      </c>
    </row>
    <row r="88" spans="1:12" x14ac:dyDescent="0.35">
      <c r="A88" s="88">
        <v>43556</v>
      </c>
      <c r="B88" s="89">
        <v>23902</v>
      </c>
      <c r="C88" s="89">
        <v>29245</v>
      </c>
    </row>
    <row r="89" spans="1:12" x14ac:dyDescent="0.35">
      <c r="A89" s="88">
        <v>43557</v>
      </c>
      <c r="B89" s="89">
        <v>38005</v>
      </c>
      <c r="C89" s="89">
        <v>28781</v>
      </c>
      <c r="F89" s="45"/>
      <c r="G89" s="45"/>
      <c r="H89" s="45"/>
      <c r="I89" s="45"/>
      <c r="J89" s="45"/>
      <c r="K89" s="45"/>
      <c r="L89" s="45"/>
    </row>
    <row r="90" spans="1:12" x14ac:dyDescent="0.35">
      <c r="A90" s="88">
        <v>43558</v>
      </c>
      <c r="B90" s="89">
        <v>24785</v>
      </c>
      <c r="C90" s="89">
        <v>31734</v>
      </c>
      <c r="F90" s="45"/>
      <c r="G90" s="45"/>
      <c r="H90" s="45"/>
      <c r="I90" s="45"/>
      <c r="J90" s="45"/>
      <c r="K90" s="45"/>
      <c r="L90" s="45"/>
    </row>
    <row r="91" spans="1:12" x14ac:dyDescent="0.35">
      <c r="A91" s="88">
        <v>43559</v>
      </c>
      <c r="B91" s="89">
        <v>28697</v>
      </c>
      <c r="C91" s="89">
        <v>29697</v>
      </c>
      <c r="F91" s="45"/>
      <c r="G91" s="45"/>
      <c r="H91" s="45"/>
      <c r="I91" s="45"/>
      <c r="J91" s="45"/>
      <c r="K91" s="45"/>
      <c r="L91" s="45"/>
    </row>
    <row r="92" spans="1:12" x14ac:dyDescent="0.35">
      <c r="A92" s="88">
        <v>43560</v>
      </c>
      <c r="B92" s="89">
        <v>29286</v>
      </c>
      <c r="C92" s="89">
        <v>33158</v>
      </c>
      <c r="F92" s="45"/>
      <c r="G92" s="45"/>
      <c r="H92" s="45"/>
      <c r="I92" s="45"/>
      <c r="J92" s="45"/>
      <c r="K92" s="45"/>
      <c r="L92" s="45"/>
    </row>
    <row r="93" spans="1:12" x14ac:dyDescent="0.35">
      <c r="A93" s="88">
        <v>43561</v>
      </c>
      <c r="B93" s="89">
        <v>28327</v>
      </c>
      <c r="C93" s="89">
        <v>34437</v>
      </c>
      <c r="F93" s="45"/>
      <c r="G93" s="45"/>
      <c r="H93" s="45"/>
      <c r="I93" s="45"/>
      <c r="J93" s="45"/>
      <c r="K93" s="45"/>
      <c r="L93" s="45"/>
    </row>
    <row r="94" spans="1:12" x14ac:dyDescent="0.35">
      <c r="A94" s="88">
        <v>43562</v>
      </c>
      <c r="B94" s="89">
        <v>31472</v>
      </c>
      <c r="C94" s="89">
        <v>54411</v>
      </c>
      <c r="F94" s="45"/>
      <c r="G94" s="45"/>
      <c r="H94" s="45"/>
      <c r="I94" s="45"/>
      <c r="J94" s="45"/>
      <c r="K94" s="45"/>
      <c r="L94" s="45"/>
    </row>
    <row r="95" spans="1:12" x14ac:dyDescent="0.35">
      <c r="A95" s="88">
        <v>43563</v>
      </c>
      <c r="B95" s="89">
        <v>45842</v>
      </c>
      <c r="C95" s="89">
        <v>39884</v>
      </c>
      <c r="F95" s="45"/>
      <c r="G95" s="45"/>
      <c r="H95" s="45"/>
      <c r="I95" s="45"/>
      <c r="J95" s="45"/>
      <c r="K95" s="45"/>
      <c r="L95" s="45"/>
    </row>
    <row r="96" spans="1:12" x14ac:dyDescent="0.35">
      <c r="A96" s="88">
        <v>43564</v>
      </c>
      <c r="B96" s="89">
        <v>36345</v>
      </c>
      <c r="C96" s="89">
        <v>31169</v>
      </c>
      <c r="F96" s="45"/>
      <c r="G96" s="45"/>
      <c r="H96" s="45"/>
      <c r="I96" s="45"/>
      <c r="J96" s="45"/>
      <c r="K96" s="45"/>
      <c r="L96" s="45"/>
    </row>
    <row r="97" spans="1:12" x14ac:dyDescent="0.35">
      <c r="A97" s="88">
        <v>43565</v>
      </c>
      <c r="B97" s="89">
        <v>38299</v>
      </c>
      <c r="C97" s="89">
        <v>32551</v>
      </c>
      <c r="F97" s="45"/>
      <c r="G97" s="45"/>
      <c r="H97" s="45"/>
      <c r="I97" s="45"/>
      <c r="J97" s="45"/>
      <c r="K97" s="45"/>
      <c r="L97" s="45"/>
    </row>
    <row r="98" spans="1:12" x14ac:dyDescent="0.35">
      <c r="A98" s="88">
        <v>43566</v>
      </c>
      <c r="B98" s="89">
        <v>41618</v>
      </c>
      <c r="C98" s="89">
        <v>29543</v>
      </c>
      <c r="F98" s="45"/>
      <c r="G98" s="45"/>
      <c r="H98" s="45"/>
      <c r="I98" s="45"/>
      <c r="J98" s="45"/>
      <c r="K98" s="45"/>
      <c r="L98" s="45"/>
    </row>
    <row r="99" spans="1:12" x14ac:dyDescent="0.35">
      <c r="A99" s="88">
        <v>43567</v>
      </c>
      <c r="B99" s="89">
        <v>37760</v>
      </c>
      <c r="C99" s="89">
        <v>26724</v>
      </c>
      <c r="F99" s="45"/>
      <c r="G99" s="45"/>
      <c r="H99" s="45"/>
      <c r="I99" s="45"/>
      <c r="J99" s="45"/>
      <c r="K99" s="45"/>
      <c r="L99" s="45"/>
    </row>
    <row r="100" spans="1:12" x14ac:dyDescent="0.35">
      <c r="A100" s="88">
        <v>43568</v>
      </c>
      <c r="B100" s="89">
        <v>33911</v>
      </c>
      <c r="C100" s="89">
        <v>29294</v>
      </c>
      <c r="F100" s="45"/>
      <c r="G100" s="45"/>
      <c r="H100" s="45"/>
      <c r="I100" s="45"/>
      <c r="J100" s="45"/>
      <c r="K100" s="45"/>
      <c r="L100" s="45"/>
    </row>
    <row r="101" spans="1:12" x14ac:dyDescent="0.35">
      <c r="A101" s="88">
        <v>43569</v>
      </c>
      <c r="B101" s="89">
        <v>32530</v>
      </c>
      <c r="C101" s="89">
        <v>40439</v>
      </c>
      <c r="F101" s="45"/>
      <c r="G101" s="45"/>
      <c r="H101" s="45"/>
      <c r="I101" s="45"/>
      <c r="J101" s="45"/>
      <c r="K101" s="45"/>
      <c r="L101" s="45"/>
    </row>
    <row r="102" spans="1:12" x14ac:dyDescent="0.35">
      <c r="A102" s="88">
        <v>43570</v>
      </c>
      <c r="B102" s="89">
        <v>49217</v>
      </c>
      <c r="C102" s="89">
        <v>26651</v>
      </c>
      <c r="F102" s="45"/>
      <c r="G102" s="45"/>
      <c r="H102" s="45"/>
      <c r="I102" s="45"/>
      <c r="J102" s="45"/>
      <c r="K102" s="45"/>
      <c r="L102" s="45"/>
    </row>
    <row r="103" spans="1:12" x14ac:dyDescent="0.35">
      <c r="A103" s="88">
        <v>43571</v>
      </c>
      <c r="B103" s="89">
        <v>38747</v>
      </c>
      <c r="C103" s="89">
        <v>26222</v>
      </c>
      <c r="F103" s="45"/>
      <c r="G103" s="45"/>
      <c r="H103" s="45"/>
      <c r="I103" s="45"/>
      <c r="J103" s="45"/>
      <c r="K103" s="45"/>
      <c r="L103" s="45"/>
    </row>
    <row r="104" spans="1:12" x14ac:dyDescent="0.35">
      <c r="A104" s="88">
        <v>43572</v>
      </c>
      <c r="B104" s="89">
        <v>40291</v>
      </c>
      <c r="C104" s="89">
        <v>23620</v>
      </c>
      <c r="F104" s="45"/>
      <c r="G104" s="45"/>
      <c r="H104" s="45"/>
      <c r="I104" s="45"/>
      <c r="J104" s="45"/>
      <c r="K104" s="45"/>
      <c r="L104" s="45"/>
    </row>
    <row r="105" spans="1:12" x14ac:dyDescent="0.35">
      <c r="A105" s="88">
        <v>43573</v>
      </c>
      <c r="B105" s="89">
        <v>45048</v>
      </c>
      <c r="C105" s="89">
        <v>18512</v>
      </c>
      <c r="F105" s="45"/>
      <c r="G105" s="45"/>
      <c r="H105" s="45"/>
      <c r="I105" s="45"/>
      <c r="J105" s="45"/>
      <c r="K105" s="45"/>
      <c r="L105" s="45"/>
    </row>
    <row r="106" spans="1:12" x14ac:dyDescent="0.35">
      <c r="A106" s="88">
        <v>43574</v>
      </c>
      <c r="B106" s="89">
        <v>44593</v>
      </c>
      <c r="C106" s="89">
        <v>22701</v>
      </c>
      <c r="F106" s="45"/>
      <c r="G106" s="45"/>
      <c r="H106" s="45"/>
      <c r="I106" s="45"/>
      <c r="J106" s="45"/>
      <c r="K106" s="45"/>
      <c r="L106" s="45"/>
    </row>
    <row r="107" spans="1:12" x14ac:dyDescent="0.35">
      <c r="A107" s="88">
        <v>43575</v>
      </c>
      <c r="B107" s="89">
        <v>29864</v>
      </c>
      <c r="C107" s="89">
        <v>18910</v>
      </c>
      <c r="F107" s="45"/>
      <c r="G107" s="45"/>
      <c r="H107" s="45"/>
      <c r="I107" s="45"/>
      <c r="J107" s="45"/>
      <c r="K107" s="45"/>
      <c r="L107" s="45"/>
    </row>
    <row r="108" spans="1:12" x14ac:dyDescent="0.35">
      <c r="A108" s="88">
        <v>43576</v>
      </c>
      <c r="B108" s="89">
        <v>26997</v>
      </c>
      <c r="C108" s="89">
        <v>23749</v>
      </c>
      <c r="F108" s="45"/>
      <c r="G108" s="45"/>
      <c r="H108" s="45"/>
      <c r="I108" s="45"/>
      <c r="J108" s="45"/>
      <c r="K108" s="45"/>
      <c r="L108" s="45"/>
    </row>
    <row r="109" spans="1:12" x14ac:dyDescent="0.35">
      <c r="A109" s="88">
        <v>43577</v>
      </c>
      <c r="B109" s="89">
        <v>43108</v>
      </c>
      <c r="C109" s="89">
        <v>33983</v>
      </c>
    </row>
    <row r="110" spans="1:12" x14ac:dyDescent="0.35">
      <c r="A110" s="88">
        <v>43578</v>
      </c>
      <c r="B110" s="89">
        <v>32632</v>
      </c>
      <c r="C110" s="89">
        <v>29101</v>
      </c>
    </row>
    <row r="111" spans="1:12" x14ac:dyDescent="0.35">
      <c r="A111" s="88">
        <v>43579</v>
      </c>
      <c r="B111" s="89">
        <v>31487</v>
      </c>
      <c r="C111" s="89">
        <v>32015</v>
      </c>
    </row>
    <row r="112" spans="1:12" x14ac:dyDescent="0.35">
      <c r="A112" s="88">
        <v>43580</v>
      </c>
      <c r="B112" s="89">
        <v>33456</v>
      </c>
      <c r="C112" s="89">
        <v>33535</v>
      </c>
    </row>
    <row r="113" spans="1:3" x14ac:dyDescent="0.35">
      <c r="A113" s="88">
        <v>43581</v>
      </c>
      <c r="B113" s="89">
        <v>32512</v>
      </c>
      <c r="C113" s="89">
        <v>45224</v>
      </c>
    </row>
    <row r="114" spans="1:3" x14ac:dyDescent="0.35">
      <c r="A114" s="88">
        <v>43582</v>
      </c>
      <c r="B114" s="89">
        <v>32577</v>
      </c>
      <c r="C114" s="89">
        <v>47565</v>
      </c>
    </row>
    <row r="115" spans="1:3" x14ac:dyDescent="0.35">
      <c r="A115" s="88">
        <v>43583</v>
      </c>
      <c r="B115" s="89">
        <v>33373</v>
      </c>
      <c r="C115" s="89">
        <v>64871</v>
      </c>
    </row>
    <row r="116" spans="1:3" x14ac:dyDescent="0.35">
      <c r="A116" s="88">
        <v>43584</v>
      </c>
      <c r="B116" s="89">
        <v>48500</v>
      </c>
      <c r="C116" s="89">
        <v>44886</v>
      </c>
    </row>
    <row r="117" spans="1:3" x14ac:dyDescent="0.35">
      <c r="A117" s="88">
        <v>43585</v>
      </c>
      <c r="B117" s="89">
        <v>32237</v>
      </c>
      <c r="C117" s="89">
        <v>24822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A30" sqref="A30"/>
    </sheetView>
  </sheetViews>
  <sheetFormatPr baseColWidth="10" defaultRowHeight="14.5" x14ac:dyDescent="0.35"/>
  <cols>
    <col min="1" max="1" width="74.453125" customWidth="1"/>
    <col min="2" max="3" width="5.54296875" customWidth="1"/>
  </cols>
  <sheetData>
    <row r="1" spans="1:3" x14ac:dyDescent="0.35">
      <c r="A1" s="33" t="s">
        <v>86</v>
      </c>
    </row>
    <row r="2" spans="1:3" ht="15.5" x14ac:dyDescent="0.35">
      <c r="B2" s="114" t="s">
        <v>14</v>
      </c>
      <c r="C2" s="114" t="s">
        <v>43</v>
      </c>
    </row>
    <row r="3" spans="1:3" x14ac:dyDescent="0.35">
      <c r="A3" t="s">
        <v>221</v>
      </c>
    </row>
    <row r="4" spans="1:3" x14ac:dyDescent="0.35">
      <c r="A4" t="s">
        <v>209</v>
      </c>
    </row>
    <row r="5" spans="1:3" x14ac:dyDescent="0.35">
      <c r="A5" t="s">
        <v>90</v>
      </c>
    </row>
    <row r="6" spans="1:3" x14ac:dyDescent="0.35">
      <c r="A6" t="s">
        <v>217</v>
      </c>
    </row>
    <row r="7" spans="1:3" x14ac:dyDescent="0.35">
      <c r="A7" t="s">
        <v>218</v>
      </c>
    </row>
    <row r="9" spans="1:3" x14ac:dyDescent="0.35">
      <c r="A9" t="s">
        <v>222</v>
      </c>
    </row>
    <row r="10" spans="1:3" x14ac:dyDescent="0.35">
      <c r="A10" t="s">
        <v>87</v>
      </c>
    </row>
    <row r="11" spans="1:3" x14ac:dyDescent="0.35">
      <c r="A11" t="s">
        <v>88</v>
      </c>
    </row>
    <row r="13" spans="1:3" x14ac:dyDescent="0.35">
      <c r="A13" t="s">
        <v>223</v>
      </c>
    </row>
    <row r="14" spans="1:3" x14ac:dyDescent="0.35">
      <c r="A14" t="s">
        <v>148</v>
      </c>
    </row>
    <row r="15" spans="1:3" x14ac:dyDescent="0.35">
      <c r="A15" t="s">
        <v>89</v>
      </c>
    </row>
    <row r="16" spans="1:3" x14ac:dyDescent="0.35">
      <c r="A16" t="s">
        <v>212</v>
      </c>
    </row>
    <row r="18" spans="1:1" x14ac:dyDescent="0.35">
      <c r="A18" t="s">
        <v>201</v>
      </c>
    </row>
    <row r="19" spans="1:1" x14ac:dyDescent="0.35">
      <c r="A19" t="s">
        <v>202</v>
      </c>
    </row>
    <row r="20" spans="1:1" x14ac:dyDescent="0.35">
      <c r="A20" t="s">
        <v>215</v>
      </c>
    </row>
    <row r="21" spans="1:1" x14ac:dyDescent="0.35">
      <c r="A21" t="s">
        <v>216</v>
      </c>
    </row>
    <row r="22" spans="1:1" x14ac:dyDescent="0.35">
      <c r="A22" t="s">
        <v>210</v>
      </c>
    </row>
    <row r="24" spans="1:1" x14ac:dyDescent="0.35">
      <c r="A24" t="s">
        <v>225</v>
      </c>
    </row>
    <row r="25" spans="1:1" x14ac:dyDescent="0.35">
      <c r="A25" t="s">
        <v>226</v>
      </c>
    </row>
    <row r="27" spans="1:1" x14ac:dyDescent="0.35">
      <c r="A27" s="33" t="s">
        <v>211</v>
      </c>
    </row>
    <row r="29" spans="1:1" x14ac:dyDescent="0.35">
      <c r="A29" t="s">
        <v>228</v>
      </c>
    </row>
    <row r="30" spans="1:1" x14ac:dyDescent="0.35">
      <c r="A30" t="s">
        <v>219</v>
      </c>
    </row>
    <row r="31" spans="1:1" x14ac:dyDescent="0.35">
      <c r="A31" t="s">
        <v>220</v>
      </c>
    </row>
    <row r="32" spans="1:1" x14ac:dyDescent="0.35">
      <c r="A32" t="s">
        <v>224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5</vt:i4>
      </vt:variant>
    </vt:vector>
  </HeadingPairs>
  <TitlesOfParts>
    <vt:vector size="20" baseType="lpstr">
      <vt:lpstr>cheat sheet</vt:lpstr>
      <vt:lpstr>Aufgabe1</vt:lpstr>
      <vt:lpstr>Aufgabe1 Lösung</vt:lpstr>
      <vt:lpstr>Aufgabe2</vt:lpstr>
      <vt:lpstr>Aufgabe2 Lösung</vt:lpstr>
      <vt:lpstr>Aufgabe3</vt:lpstr>
      <vt:lpstr>Aufgabe3 Lösung</vt:lpstr>
      <vt:lpstr>Aufgabe4</vt:lpstr>
      <vt:lpstr>Aufgabe5</vt:lpstr>
      <vt:lpstr>Aufgabe5 Lösung</vt:lpstr>
      <vt:lpstr>AufgabeErsatz</vt:lpstr>
      <vt:lpstr>AufgabeErsatz Lösung</vt:lpstr>
      <vt:lpstr>Aufgabe6</vt:lpstr>
      <vt:lpstr>Aufgabe6 Lösung</vt:lpstr>
      <vt:lpstr>Auswertung</vt:lpstr>
      <vt:lpstr>Aufgabe6!Druckbereich</vt:lpstr>
      <vt:lpstr>'Aufgabe6 Lösung'!Druckbereich</vt:lpstr>
      <vt:lpstr>Aufgabe6!OMA</vt:lpstr>
      <vt:lpstr>'Aufgabe6 Lösung'!OMA</vt:lpstr>
      <vt:lpstr>OMA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jojansse</dc:creator>
  <cp:lastModifiedBy>lstoldt</cp:lastModifiedBy>
  <cp:lastPrinted>2019-04-09T09:12:09Z</cp:lastPrinted>
  <dcterms:created xsi:type="dcterms:W3CDTF">2019-04-04T08:36:46Z</dcterms:created>
  <dcterms:modified xsi:type="dcterms:W3CDTF">2020-01-22T18:11:59Z</dcterms:modified>
</cp:coreProperties>
</file>