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stoldt\Downloads\"/>
    </mc:Choice>
  </mc:AlternateContent>
  <bookViews>
    <workbookView xWindow="-90" yWindow="-90" windowWidth="23235" windowHeight="1255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 s="1"/>
  <c r="C9" i="1" s="1"/>
  <c r="C10" i="1" s="1"/>
  <c r="C11" i="1" s="1"/>
  <c r="C12" i="1" s="1"/>
  <c r="C13" i="1" s="1"/>
  <c r="C14" i="1" s="1"/>
  <c r="C15" i="1" s="1"/>
  <c r="C16" i="1" s="1"/>
  <c r="C5" i="1"/>
  <c r="D4" i="1" l="1"/>
  <c r="D5" i="1" l="1"/>
  <c r="D6" i="1" l="1"/>
  <c r="D7" i="1" l="1"/>
  <c r="D8" i="1" l="1"/>
  <c r="D9" i="1" l="1"/>
  <c r="D10" i="1" l="1"/>
  <c r="D11" i="1" l="1"/>
  <c r="D12" i="1" l="1"/>
  <c r="D13" i="1" l="1"/>
  <c r="D14" i="1" l="1"/>
  <c r="D15" i="1" l="1"/>
  <c r="D16" i="1"/>
</calcChain>
</file>

<file path=xl/sharedStrings.xml><?xml version="1.0" encoding="utf-8"?>
<sst xmlns="http://schemas.openxmlformats.org/spreadsheetml/2006/main" count="3" uniqueCount="3">
  <si>
    <t>Datum</t>
  </si>
  <si>
    <t>Summe</t>
  </si>
  <si>
    <t>Summe inkl. Mehrwertsteuer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</si>
</sst>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.00\ [$€-407]_-;\-* #,##0.00\ [$€-407]_-;_-* &quot;-&quot;??\ [$€-407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14" fontId="0" fillId="0" borderId="0" xfId="0" applyNumberFormat="1"/>
    <xf numFmtId="165" fontId="0" fillId="0" borderId="0" xfId="0" applyNumberFormat="1"/>
  </cellXfs>
  <cellStyles count="2">
    <cellStyle name="Komma" xfId="1" builtinId="3"/>
    <cellStyle name="Standard" xfId="0" builtinId="0"/>
  </cellStyles>
  <dxfs count="4">
    <dxf>
      <numFmt numFmtId="165" formatCode="_-* #,##0.00\ [$€-407]_-;\-* #,##0.00\ [$€-407]_-;_-* &quot;-&quot;??\ [$€-407]_-;_-@_-"/>
    </dxf>
    <dxf>
      <numFmt numFmtId="165" formatCode="_-* #,##0.00\ [$€-407]_-;\-* #,##0.00\ [$€-407]_-;_-* &quot;-&quot;??\ [$€-407]_-;_-@_-"/>
    </dxf>
    <dxf>
      <numFmt numFmtId="165" formatCode="_-* #,##0.00\ [$€-407]_-;\-* #,##0.00\ [$€-407]_-;_-* &quot;-&quot;??\ [$€-407]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Tabelle1!$C$3</c:f>
              <c:strCache>
                <c:ptCount val="1"/>
                <c:pt idx="0">
                  <c:v>Summe</c:v>
                </c:pt>
              </c:strCache>
            </c:strRef>
          </c:tx>
          <c:spPr>
            <a:ln w="28575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Tabelle1!$B$4:$B$16</c:f>
              <c:numCache>
                <c:formatCode>m/d/yyyy</c:formatCode>
                <c:ptCount val="1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</c:numCache>
            </c:numRef>
          </c:cat>
          <c:val>
            <c:numRef>
              <c:f>Tabelle1!$C$4:$C$16</c:f>
              <c:numCache>
                <c:formatCode>_-* #,##0.00\ [$€-407]_-;\-* #,##0.00\ [$€-407]_-;_-* "-"??\ [$€-407]_-;_-@_-</c:formatCode>
                <c:ptCount val="13"/>
                <c:pt idx="0">
                  <c:v>30.99</c:v>
                </c:pt>
                <c:pt idx="1">
                  <c:v>68.771115878765016</c:v>
                </c:pt>
                <c:pt idx="2">
                  <c:v>152.61266147823576</c:v>
                </c:pt>
                <c:pt idx="3">
                  <c:v>338.66870045454954</c:v>
                </c:pt>
                <c:pt idx="4">
                  <c:v>751.5529023385152</c:v>
                </c:pt>
                <c:pt idx="5">
                  <c:v>1667.8003141576057</c:v>
                </c:pt>
                <c:pt idx="6">
                  <c:v>3701.0806281888808</c:v>
                </c:pt>
                <c:pt idx="7">
                  <c:v>8213.2121574001285</c:v>
                </c:pt>
                <c:pt idx="8">
                  <c:v>18226.258954935332</c:v>
                </c:pt>
                <c:pt idx="9">
                  <c:v>40446.601052798855</c:v>
                </c:pt>
                <c:pt idx="10">
                  <c:v>89756.627554185528</c:v>
                </c:pt>
                <c:pt idx="11">
                  <c:v>199182.42769977564</c:v>
                </c:pt>
                <c:pt idx="12">
                  <c:v>442013.48229606345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D70-4E6C-88BB-BD34554C1028}"/>
            </c:ext>
          </c:extLst>
        </c:ser>
        <c:ser>
          <c:idx val="1"/>
          <c:order val="1"/>
          <c:tx>
            <c:strRef>
              <c:f>Tabelle1!$D$3</c:f>
              <c:strCache>
                <c:ptCount val="1"/>
                <c:pt idx="0">
                  <c:v>Summe inkl. Mehrwertsteuer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Tabelle1!$B$4:$B$16</c:f>
              <c:numCache>
                <c:formatCode>m/d/yyyy</c:formatCode>
                <c:ptCount val="1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</c:numCache>
            </c:numRef>
          </c:cat>
          <c:val>
            <c:numRef>
              <c:f>Tabelle1!$D$4:$D$16</c:f>
              <c:numCache>
                <c:formatCode>_-* #,##0.00\ [$€-407]_-;\-* #,##0.00\ [$€-407]_-;_-* "-"??\ [$€-407]_-;_-@_-</c:formatCode>
                <c:ptCount val="13"/>
                <c:pt idx="0">
                  <c:v>36.880000000000003</c:v>
                </c:pt>
                <c:pt idx="1">
                  <c:v>81.84</c:v>
                </c:pt>
                <c:pt idx="2">
                  <c:v>181.61</c:v>
                </c:pt>
                <c:pt idx="3">
                  <c:v>403.02</c:v>
                </c:pt>
                <c:pt idx="4">
                  <c:v>894.35</c:v>
                </c:pt>
                <c:pt idx="5">
                  <c:v>1984.68</c:v>
                </c:pt>
                <c:pt idx="6">
                  <c:v>4404.29</c:v>
                </c:pt>
                <c:pt idx="7">
                  <c:v>9773.7199999999993</c:v>
                </c:pt>
                <c:pt idx="8">
                  <c:v>21689.25</c:v>
                </c:pt>
                <c:pt idx="9">
                  <c:v>48131.46</c:v>
                </c:pt>
                <c:pt idx="10">
                  <c:v>106810.39</c:v>
                </c:pt>
                <c:pt idx="11">
                  <c:v>237027.09</c:v>
                </c:pt>
                <c:pt idx="12">
                  <c:v>525996.04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D70-4E6C-88BB-BD34554C1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767376"/>
        <c:axId val="460766592"/>
      </c:lineChart>
      <c:dateAx>
        <c:axId val="460767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0766592"/>
        <c:crosses val="autoZero"/>
        <c:auto val="1"/>
        <c:lblOffset val="100"/>
        <c:baseTimeUnit val="months"/>
      </c:dateAx>
      <c:valAx>
        <c:axId val="460766592"/>
        <c:scaling>
          <c:logBase val="2"/>
          <c:orientation val="minMax"/>
          <c:max val="5500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076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270510</xdr:colOff>
      <xdr:row>1</xdr:row>
      <xdr:rowOff>40004</xdr:rowOff>
    </xdr:from>
    <xdr:to>
      <xdr:col>13</xdr:col>
      <xdr:colOff>742950</xdr:colOff>
      <xdr:row>25</xdr:row>
      <xdr:rowOff>49529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xmlns="" id="{AB80D08A-8F16-47F7-9AA2-FEFEC48B9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elle3" displayName="Tabelle3" ref="B3:D16">
  <autoFilter ref="B3:D16">
    <filterColumn colId="0" hiddenButton="1"/>
    <filterColumn colId="1" hiddenButton="1"/>
    <filterColumn colId="2" hiddenButton="1"/>
  </autoFilter>
  <tableColumns count="3">
    <tableColumn id="1" name="Datum" totalsRowLabel="Ergebnis" dataDxfId="3"/>
    <tableColumn id="2" name="Summe" dataDxfId="2">
      <calculatedColumnFormula>C3*2^(1.5)</calculatedColumnFormula>
    </tableColumn>
    <tableColumn id="3" name="Summe inkl. Mehrwertsteuer" totalsRowFunction="sum" dataDxfId="1" totalsRowDxfId="0">
      <calculatedColumnFormula>ROUND(C4*(1+$B$2),2)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tabSelected="1" zoomScaleNormal="100" workbookViewId="0">
      <selection activeCell="Q13" sqref="Q13"/>
    </sheetView>
  </sheetViews>
  <sheetFormatPr baseColWidth="10" defaultRowHeight="15" x14ac:dyDescent="0.25"/>
  <cols>
    <col min="3" max="3" width="15.7109375" bestFit="1" customWidth="1"/>
    <col min="4" max="4" width="26.42578125" customWidth="1"/>
    <col min="5" max="5" width="11.140625" bestFit="1" customWidth="1"/>
  </cols>
  <sheetData>
    <row r="2" spans="2:5" x14ac:dyDescent="0.25">
      <c r="B2">
        <v>0.19</v>
      </c>
    </row>
    <row r="3" spans="2:5" x14ac:dyDescent="0.25">
      <c r="B3" t="s">
        <v>0</v>
      </c>
      <c r="C3" t="s">
        <v>1</v>
      </c>
      <c r="D3" t="s">
        <v>2</v>
      </c>
    </row>
    <row r="4" spans="2:5" x14ac:dyDescent="0.25">
      <c r="B4" s="2">
        <v>43831</v>
      </c>
      <c r="C4" s="1">
        <v>30.99</v>
      </c>
      <c r="D4" s="3">
        <f t="shared" ref="D4:D16" si="0">ROUND(C4*(1+$B$2),2)</f>
        <v>36.880000000000003</v>
      </c>
    </row>
    <row r="5" spans="2:5" x14ac:dyDescent="0.25">
      <c r="B5" s="2">
        <v>43862</v>
      </c>
      <c r="C5" s="3">
        <f>C4*2^(1.15)</f>
        <v>68.771115878765016</v>
      </c>
      <c r="D5" s="3">
        <f t="shared" si="0"/>
        <v>81.84</v>
      </c>
    </row>
    <row r="6" spans="2:5" x14ac:dyDescent="0.25">
      <c r="B6" s="2">
        <v>43891</v>
      </c>
      <c r="C6" s="3">
        <f t="shared" ref="C6:C16" si="1">C5*2^(1.15)</f>
        <v>152.61266147823576</v>
      </c>
      <c r="D6" s="3">
        <f t="shared" si="0"/>
        <v>181.61</v>
      </c>
    </row>
    <row r="7" spans="2:5" x14ac:dyDescent="0.25">
      <c r="B7" s="2">
        <v>43922</v>
      </c>
      <c r="C7" s="3">
        <f t="shared" si="1"/>
        <v>338.66870045454954</v>
      </c>
      <c r="D7" s="3">
        <f t="shared" si="0"/>
        <v>403.02</v>
      </c>
    </row>
    <row r="8" spans="2:5" x14ac:dyDescent="0.25">
      <c r="B8" s="2">
        <v>43952</v>
      </c>
      <c r="C8" s="3">
        <f t="shared" si="1"/>
        <v>751.5529023385152</v>
      </c>
      <c r="D8" s="3">
        <f t="shared" si="0"/>
        <v>894.35</v>
      </c>
    </row>
    <row r="9" spans="2:5" x14ac:dyDescent="0.25">
      <c r="B9" s="2">
        <v>43983</v>
      </c>
      <c r="C9" s="3">
        <f t="shared" si="1"/>
        <v>1667.8003141576057</v>
      </c>
      <c r="D9" s="3">
        <f t="shared" si="0"/>
        <v>1984.68</v>
      </c>
    </row>
    <row r="10" spans="2:5" x14ac:dyDescent="0.25">
      <c r="B10" s="2">
        <v>44013</v>
      </c>
      <c r="C10" s="3">
        <f t="shared" si="1"/>
        <v>3701.0806281888808</v>
      </c>
      <c r="D10" s="3">
        <f t="shared" si="0"/>
        <v>4404.29</v>
      </c>
    </row>
    <row r="11" spans="2:5" x14ac:dyDescent="0.25">
      <c r="B11" s="2">
        <v>44044</v>
      </c>
      <c r="C11" s="3">
        <f t="shared" si="1"/>
        <v>8213.2121574001285</v>
      </c>
      <c r="D11" s="3">
        <f t="shared" si="0"/>
        <v>9773.7199999999993</v>
      </c>
    </row>
    <row r="12" spans="2:5" x14ac:dyDescent="0.25">
      <c r="B12" s="2">
        <v>44075</v>
      </c>
      <c r="C12" s="3">
        <f t="shared" si="1"/>
        <v>18226.258954935332</v>
      </c>
      <c r="D12" s="3">
        <f t="shared" si="0"/>
        <v>21689.25</v>
      </c>
    </row>
    <row r="13" spans="2:5" x14ac:dyDescent="0.25">
      <c r="B13" s="2">
        <v>44105</v>
      </c>
      <c r="C13" s="3">
        <f t="shared" si="1"/>
        <v>40446.601052798855</v>
      </c>
      <c r="D13" s="3">
        <f t="shared" si="0"/>
        <v>48131.46</v>
      </c>
    </row>
    <row r="14" spans="2:5" x14ac:dyDescent="0.25">
      <c r="B14" s="2">
        <v>44136</v>
      </c>
      <c r="C14" s="3">
        <f t="shared" si="1"/>
        <v>89756.627554185528</v>
      </c>
      <c r="D14" s="3">
        <f t="shared" si="0"/>
        <v>106810.39</v>
      </c>
    </row>
    <row r="15" spans="2:5" x14ac:dyDescent="0.25">
      <c r="B15" s="2">
        <v>44166</v>
      </c>
      <c r="C15" s="3">
        <f t="shared" si="1"/>
        <v>199182.42769977564</v>
      </c>
      <c r="D15" s="3">
        <f t="shared" si="0"/>
        <v>237027.09</v>
      </c>
    </row>
    <row r="16" spans="2:5" x14ac:dyDescent="0.25">
      <c r="B16" s="2">
        <v>44197</v>
      </c>
      <c r="C16" s="3">
        <f t="shared" si="1"/>
        <v>442013.48229606345</v>
      </c>
      <c r="D16" s="3">
        <f t="shared" si="0"/>
        <v>525996.04</v>
      </c>
      <c r="E16" s="3"/>
    </row>
    <row r="17" spans="2:4" x14ac:dyDescent="0.25">
      <c r="B17" s="2"/>
      <c r="C17" s="3"/>
      <c r="D17" s="3"/>
    </row>
    <row r="18" spans="2:4" x14ac:dyDescent="0.25">
      <c r="B18" s="2"/>
      <c r="C18" s="3"/>
      <c r="D18" s="3"/>
    </row>
    <row r="19" spans="2:4" x14ac:dyDescent="0.25">
      <c r="B19" s="2"/>
      <c r="C19" s="3"/>
      <c r="D19" s="3"/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St</dc:creator>
  <cp:lastModifiedBy>lstoldt</cp:lastModifiedBy>
  <dcterms:created xsi:type="dcterms:W3CDTF">2020-01-12T15:54:24Z</dcterms:created>
  <dcterms:modified xsi:type="dcterms:W3CDTF">2020-01-26T19:40:56Z</dcterms:modified>
</cp:coreProperties>
</file>