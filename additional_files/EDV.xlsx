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work\edv-lecture\additional_files\"/>
    </mc:Choice>
  </mc:AlternateContent>
  <xr:revisionPtr revIDLastSave="0" documentId="13_ncr:1_{85B7F8F6-113F-47CC-A589-07F9570D3B64}" xr6:coauthVersionLast="45" xr6:coauthVersionMax="45" xr10:uidLastSave="{00000000-0000-0000-0000-000000000000}"/>
  <bookViews>
    <workbookView xWindow="-96" yWindow="-96" windowWidth="23232" windowHeight="12552" xr2:uid="{601B9D48-FB81-4778-83E0-754DD7F2B4A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5" i="1" l="1"/>
  <c r="C16" i="1"/>
  <c r="D16" i="1" s="1"/>
  <c r="D4" i="1"/>
  <c r="C6" i="1" l="1"/>
  <c r="D5" i="1"/>
  <c r="C7" i="1" l="1"/>
  <c r="D6" i="1"/>
  <c r="C8" i="1" l="1"/>
  <c r="D7" i="1"/>
  <c r="C9" i="1" l="1"/>
  <c r="D8" i="1"/>
  <c r="C10" i="1" l="1"/>
  <c r="D9" i="1"/>
  <c r="C11" i="1" l="1"/>
  <c r="D10" i="1"/>
  <c r="C12" i="1" l="1"/>
  <c r="D11" i="1"/>
  <c r="C13" i="1" l="1"/>
  <c r="D12" i="1"/>
  <c r="C14" i="1" l="1"/>
  <c r="D13" i="1"/>
  <c r="C15" i="1" l="1"/>
  <c r="D15" i="1" s="1"/>
  <c r="D14" i="1"/>
</calcChain>
</file>

<file path=xl/sharedStrings.xml><?xml version="1.0" encoding="utf-8"?>
<sst xmlns="http://schemas.openxmlformats.org/spreadsheetml/2006/main" count="3" uniqueCount="3">
  <si>
    <t>Datum</t>
  </si>
  <si>
    <t>Summe</t>
  </si>
  <si>
    <t>Summe inkl. Mehrwertsteuer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</si>
</sst>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[$€-407]_-;\-* #,##0.00\ [$€-407]_-;_-* &quot;-&quot;??\ [$€-407]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1" applyNumberFormat="1" applyFont="1"/>
    <xf numFmtId="14" fontId="0" fillId="0" borderId="0" xfId="0" applyNumberFormat="1"/>
    <xf numFmtId="164" fontId="0" fillId="0" borderId="0" xfId="0" applyNumberFormat="1"/>
  </cellXfs>
  <cellStyles count="2">
    <cellStyle name="Komma" xfId="1" builtinId="3"/>
    <cellStyle name="Standard" xfId="0" builtinId="0"/>
  </cellStyles>
  <dxfs count="4">
    <dxf>
      <numFmt numFmtId="164" formatCode="_-* #,##0.00\ [$€-407]_-;\-* #,##0.00\ [$€-407]_-;_-* &quot;-&quot;??\ [$€-407]_-;_-@_-"/>
    </dxf>
    <dxf>
      <numFmt numFmtId="164" formatCode="_-* #,##0.00\ [$€-407]_-;\-* #,##0.00\ [$€-407]_-;_-* &quot;-&quot;??\ [$€-407]_-;_-@_-"/>
    </dxf>
    <dxf>
      <numFmt numFmtId="164" formatCode="_-* #,##0.00\ [$€-407]_-;\-* #,##0.00\ [$€-407]_-;_-* &quot;-&quot;??\ [$€-407]_-;_-@_-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Tabelle1!$C$3</c:f>
              <c:strCache>
                <c:ptCount val="1"/>
                <c:pt idx="0">
                  <c:v>Summe</c:v>
                </c:pt>
              </c:strCache>
            </c:strRef>
          </c:tx>
          <c:spPr>
            <a:ln w="28575" cap="rnd">
              <a:solidFill>
                <a:schemeClr val="accent1">
                  <a:alpha val="98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Tabelle1!$B$4:$B$16</c:f>
              <c:numCache>
                <c:formatCode>m/d/yyyy</c:formatCode>
                <c:ptCount val="13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  <c:pt idx="6">
                  <c:v>44013</c:v>
                </c:pt>
                <c:pt idx="7">
                  <c:v>44044</c:v>
                </c:pt>
                <c:pt idx="8">
                  <c:v>44075</c:v>
                </c:pt>
                <c:pt idx="9">
                  <c:v>44105</c:v>
                </c:pt>
                <c:pt idx="10">
                  <c:v>44136</c:v>
                </c:pt>
                <c:pt idx="11">
                  <c:v>44166</c:v>
                </c:pt>
                <c:pt idx="12">
                  <c:v>44197</c:v>
                </c:pt>
              </c:numCache>
            </c:numRef>
          </c:cat>
          <c:val>
            <c:numRef>
              <c:f>Tabelle1!$C$4:$C$16</c:f>
              <c:numCache>
                <c:formatCode>_-* #,##0.00\ [$€-407]_-;\-* #,##0.00\ [$€-407]_-;_-* "-"??\ [$€-407]_-;_-@_-</c:formatCode>
                <c:ptCount val="13"/>
                <c:pt idx="0">
                  <c:v>30.99</c:v>
                </c:pt>
                <c:pt idx="1">
                  <c:v>87.652956595884419</c:v>
                </c:pt>
                <c:pt idx="2">
                  <c:v>247.91999999999993</c:v>
                </c:pt>
                <c:pt idx="3">
                  <c:v>701.22365276707524</c:v>
                </c:pt>
                <c:pt idx="4">
                  <c:v>1983.3599999999992</c:v>
                </c:pt>
                <c:pt idx="5">
                  <c:v>5609.789222136601</c:v>
                </c:pt>
                <c:pt idx="6">
                  <c:v>15866.879999999992</c:v>
                </c:pt>
                <c:pt idx="7">
                  <c:v>44878.313777092801</c:v>
                </c:pt>
                <c:pt idx="8">
                  <c:v>126935.03999999991</c:v>
                </c:pt>
                <c:pt idx="9">
                  <c:v>359026.51021674235</c:v>
                </c:pt>
                <c:pt idx="10">
                  <c:v>1015480.3199999991</c:v>
                </c:pt>
                <c:pt idx="11">
                  <c:v>2872212.0817339383</c:v>
                </c:pt>
                <c:pt idx="12">
                  <c:v>8123842.5599999912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70-4E6C-88BB-BD34554C1028}"/>
            </c:ext>
          </c:extLst>
        </c:ser>
        <c:ser>
          <c:idx val="1"/>
          <c:order val="1"/>
          <c:tx>
            <c:strRef>
              <c:f>Tabelle1!$D$3</c:f>
              <c:strCache>
                <c:ptCount val="1"/>
                <c:pt idx="0">
                  <c:v>Summe inkl. Mehrwertsteuer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Tabelle1!$B$4:$B$16</c:f>
              <c:numCache>
                <c:formatCode>m/d/yyyy</c:formatCode>
                <c:ptCount val="13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  <c:pt idx="6">
                  <c:v>44013</c:v>
                </c:pt>
                <c:pt idx="7">
                  <c:v>44044</c:v>
                </c:pt>
                <c:pt idx="8">
                  <c:v>44075</c:v>
                </c:pt>
                <c:pt idx="9">
                  <c:v>44105</c:v>
                </c:pt>
                <c:pt idx="10">
                  <c:v>44136</c:v>
                </c:pt>
                <c:pt idx="11">
                  <c:v>44166</c:v>
                </c:pt>
                <c:pt idx="12">
                  <c:v>44197</c:v>
                </c:pt>
              </c:numCache>
            </c:numRef>
          </c:cat>
          <c:val>
            <c:numRef>
              <c:f>Tabelle1!$D$4:$D$16</c:f>
              <c:numCache>
                <c:formatCode>_-* #,##0.00\ [$€-407]_-;\-* #,##0.00\ [$€-407]_-;_-* "-"??\ [$€-407]_-;_-@_-</c:formatCode>
                <c:ptCount val="13"/>
                <c:pt idx="0">
                  <c:v>36.880000000000003</c:v>
                </c:pt>
                <c:pt idx="1">
                  <c:v>104.31</c:v>
                </c:pt>
                <c:pt idx="2">
                  <c:v>295.02</c:v>
                </c:pt>
                <c:pt idx="3">
                  <c:v>834.46</c:v>
                </c:pt>
                <c:pt idx="4">
                  <c:v>2360.1999999999998</c:v>
                </c:pt>
                <c:pt idx="5">
                  <c:v>6675.65</c:v>
                </c:pt>
                <c:pt idx="6">
                  <c:v>18881.59</c:v>
                </c:pt>
                <c:pt idx="7">
                  <c:v>53405.19</c:v>
                </c:pt>
                <c:pt idx="8">
                  <c:v>151052.70000000001</c:v>
                </c:pt>
                <c:pt idx="9">
                  <c:v>427241.55</c:v>
                </c:pt>
                <c:pt idx="10">
                  <c:v>1208421.58</c:v>
                </c:pt>
                <c:pt idx="11">
                  <c:v>3417932.38</c:v>
                </c:pt>
                <c:pt idx="12">
                  <c:v>9667372.6500000004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70-4E6C-88BB-BD34554C1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9685784"/>
        <c:axId val="579679552"/>
      </c:lineChart>
      <c:dateAx>
        <c:axId val="579685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9679552"/>
        <c:crosses val="autoZero"/>
        <c:auto val="1"/>
        <c:lblOffset val="100"/>
        <c:baseTimeUnit val="months"/>
      </c:dateAx>
      <c:valAx>
        <c:axId val="579679552"/>
        <c:scaling>
          <c:logBase val="2"/>
          <c:orientation val="minMax"/>
          <c:max val="1000000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9685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270510</xdr:colOff>
      <xdr:row>1</xdr:row>
      <xdr:rowOff>40004</xdr:rowOff>
    </xdr:from>
    <xdr:to>
      <xdr:col>13</xdr:col>
      <xdr:colOff>742950</xdr:colOff>
      <xdr:row>25</xdr:row>
      <xdr:rowOff>49529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B80D08A-8F16-47F7-9AA2-FEFEC48B9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5943FC-B791-489F-92F3-E0266273AAEB}" name="Tabelle3" displayName="Tabelle3" ref="B3:D16">
  <autoFilter ref="B3:D16" xr:uid="{DCE1B6E3-F7C9-49C0-AA10-FAD00EDEF27F}">
    <filterColumn colId="0" hiddenButton="1"/>
    <filterColumn colId="1" hiddenButton="1"/>
    <filterColumn colId="2" hiddenButton="1"/>
  </autoFilter>
  <tableColumns count="3">
    <tableColumn id="1" xr3:uid="{00AE56BD-0757-4AB5-8F21-D1BDAFD37FEF}" name="Datum" totalsRowLabel="Ergebnis" dataDxfId="3"/>
    <tableColumn id="2" xr3:uid="{002C9410-77D0-43DB-9056-6E5A5C158D18}" name="Summe" dataDxfId="2">
      <calculatedColumnFormula>C3*2^(1.5)</calculatedColumnFormula>
    </tableColumn>
    <tableColumn id="3" xr3:uid="{06A8114D-F317-465F-97CA-101D5848C548}" name="Summe inkl. Mehrwertsteuer" totalsRowFunction="sum" dataDxfId="1" totalsRowDxfId="0">
      <calculatedColumnFormula>ROUND(C4*(1+$B$2),2)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C504D-C406-4820-9805-346F1E16C9C1}">
  <dimension ref="B2:E19"/>
  <sheetViews>
    <sheetView tabSelected="1" topLeftCell="B1" zoomScaleNormal="100" workbookViewId="0">
      <selection activeCell="C5" sqref="C5"/>
    </sheetView>
  </sheetViews>
  <sheetFormatPr baseColWidth="10" defaultRowHeight="14.4" x14ac:dyDescent="0.55000000000000004"/>
  <cols>
    <col min="3" max="3" width="15.734375" bestFit="1" customWidth="1"/>
    <col min="4" max="4" width="26.41796875" customWidth="1"/>
    <col min="5" max="5" width="11.20703125" bestFit="1" customWidth="1"/>
  </cols>
  <sheetData>
    <row r="2" spans="2:5" x14ac:dyDescent="0.55000000000000004">
      <c r="B2">
        <v>0.19</v>
      </c>
    </row>
    <row r="3" spans="2:5" x14ac:dyDescent="0.55000000000000004">
      <c r="B3" t="s">
        <v>0</v>
      </c>
      <c r="C3" t="s">
        <v>1</v>
      </c>
      <c r="D3" t="s">
        <v>2</v>
      </c>
    </row>
    <row r="4" spans="2:5" x14ac:dyDescent="0.55000000000000004">
      <c r="B4" s="2">
        <v>43831</v>
      </c>
      <c r="C4" s="1">
        <v>30.99</v>
      </c>
      <c r="D4" s="3">
        <f>ROUND(C4*(1+$B$2),2)</f>
        <v>36.880000000000003</v>
      </c>
    </row>
    <row r="5" spans="2:5" x14ac:dyDescent="0.55000000000000004">
      <c r="B5" s="2">
        <v>43862</v>
      </c>
      <c r="C5" s="3">
        <f>C4*2^(1.5)</f>
        <v>87.652956595884419</v>
      </c>
      <c r="D5" s="3">
        <f>ROUND(C5*(1+$B$2),2)</f>
        <v>104.31</v>
      </c>
    </row>
    <row r="6" spans="2:5" x14ac:dyDescent="0.55000000000000004">
      <c r="B6" s="2">
        <v>43891</v>
      </c>
      <c r="C6" s="3">
        <f>C5*2^(1.5)</f>
        <v>247.91999999999993</v>
      </c>
      <c r="D6" s="3">
        <f>ROUND(C6*(1+$B$2),2)</f>
        <v>295.02</v>
      </c>
    </row>
    <row r="7" spans="2:5" x14ac:dyDescent="0.55000000000000004">
      <c r="B7" s="2">
        <v>43922</v>
      </c>
      <c r="C7" s="3">
        <f>C6*2^(1.5)</f>
        <v>701.22365276707524</v>
      </c>
      <c r="D7" s="3">
        <f>ROUND(C7*(1+$B$2),2)</f>
        <v>834.46</v>
      </c>
    </row>
    <row r="8" spans="2:5" x14ac:dyDescent="0.55000000000000004">
      <c r="B8" s="2">
        <v>43952</v>
      </c>
      <c r="C8" s="3">
        <f>C7*2^(1.5)</f>
        <v>1983.3599999999992</v>
      </c>
      <c r="D8" s="3">
        <f>ROUND(C8*(1+$B$2),2)</f>
        <v>2360.1999999999998</v>
      </c>
    </row>
    <row r="9" spans="2:5" x14ac:dyDescent="0.55000000000000004">
      <c r="B9" s="2">
        <v>43983</v>
      </c>
      <c r="C9" s="3">
        <f>C8*2^(1.5)</f>
        <v>5609.789222136601</v>
      </c>
      <c r="D9" s="3">
        <f>ROUND(C9*(1+$B$2),2)</f>
        <v>6675.65</v>
      </c>
    </row>
    <row r="10" spans="2:5" x14ac:dyDescent="0.55000000000000004">
      <c r="B10" s="2">
        <v>44013</v>
      </c>
      <c r="C10" s="3">
        <f>C9*2^(1.5)</f>
        <v>15866.879999999992</v>
      </c>
      <c r="D10" s="3">
        <f>ROUND(C10*(1+$B$2),2)</f>
        <v>18881.59</v>
      </c>
    </row>
    <row r="11" spans="2:5" x14ac:dyDescent="0.55000000000000004">
      <c r="B11" s="2">
        <v>44044</v>
      </c>
      <c r="C11" s="3">
        <f>C10*2^(1.5)</f>
        <v>44878.313777092801</v>
      </c>
      <c r="D11" s="3">
        <f>ROUND(C11*(1+$B$2),2)</f>
        <v>53405.19</v>
      </c>
    </row>
    <row r="12" spans="2:5" x14ac:dyDescent="0.55000000000000004">
      <c r="B12" s="2">
        <v>44075</v>
      </c>
      <c r="C12" s="3">
        <f>C11*2^(1.5)</f>
        <v>126935.03999999991</v>
      </c>
      <c r="D12" s="3">
        <f>ROUND(C12*(1+$B$2),2)</f>
        <v>151052.70000000001</v>
      </c>
    </row>
    <row r="13" spans="2:5" x14ac:dyDescent="0.55000000000000004">
      <c r="B13" s="2">
        <v>44105</v>
      </c>
      <c r="C13" s="3">
        <f>C12*2^(1.5)</f>
        <v>359026.51021674235</v>
      </c>
      <c r="D13" s="3">
        <f>ROUND(C13*(1+$B$2),2)</f>
        <v>427241.55</v>
      </c>
    </row>
    <row r="14" spans="2:5" x14ac:dyDescent="0.55000000000000004">
      <c r="B14" s="2">
        <v>44136</v>
      </c>
      <c r="C14" s="3">
        <f>C13*2^(1.5)</f>
        <v>1015480.3199999991</v>
      </c>
      <c r="D14" s="3">
        <f>ROUND(C14*(1+$B$2),2)</f>
        <v>1208421.58</v>
      </c>
    </row>
    <row r="15" spans="2:5" x14ac:dyDescent="0.55000000000000004">
      <c r="B15" s="2">
        <v>44166</v>
      </c>
      <c r="C15" s="3">
        <f>C14*2^(1.5)</f>
        <v>2872212.0817339383</v>
      </c>
      <c r="D15" s="3">
        <f>ROUND(C15*(1+$B$2),2)</f>
        <v>3417932.38</v>
      </c>
    </row>
    <row r="16" spans="2:5" x14ac:dyDescent="0.55000000000000004">
      <c r="B16" s="2">
        <v>44197</v>
      </c>
      <c r="C16" s="3">
        <f>C15*2^(1.5)</f>
        <v>8123842.5599999912</v>
      </c>
      <c r="D16" s="3">
        <f>ROUND(C16*(1+$B$2),2)</f>
        <v>9667372.6500000004</v>
      </c>
      <c r="E16" s="3"/>
    </row>
    <row r="17" spans="2:4" x14ac:dyDescent="0.55000000000000004">
      <c r="B17" s="2"/>
      <c r="C17" s="3"/>
      <c r="D17" s="3"/>
    </row>
    <row r="18" spans="2:4" x14ac:dyDescent="0.55000000000000004">
      <c r="B18" s="2"/>
      <c r="C18" s="3"/>
      <c r="D18" s="3"/>
    </row>
    <row r="19" spans="2:4" x14ac:dyDescent="0.55000000000000004">
      <c r="B19" s="2"/>
      <c r="C19" s="3"/>
      <c r="D19" s="3"/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 St</dc:creator>
  <cp:lastModifiedBy>Leon St</cp:lastModifiedBy>
  <dcterms:created xsi:type="dcterms:W3CDTF">2020-01-12T15:54:24Z</dcterms:created>
  <dcterms:modified xsi:type="dcterms:W3CDTF">2020-01-21T22:10:26Z</dcterms:modified>
</cp:coreProperties>
</file>